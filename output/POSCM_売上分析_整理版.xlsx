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ブランド別サマリー" sheetId="1" state="visible" r:id="rId3"/>
    <sheet name="店舗別明細" sheetId="2" state="visible" r:id="rId4"/>
    <sheet name="施設別" sheetId="3" state="visible" r:id="rId5"/>
    <sheet name="元データ" sheetId="4" state="visible" r:id="rId6"/>
  </sheets>
  <definedNames>
    <definedName function="false" hidden="false" localSheetId="1" name="_xlnm.Print_Titles" vbProcedure="false">店舗別明細!$4:$4</definedName>
    <definedName function="false" hidden="true" localSheetId="1" name="_xlnm._FilterDatabase" vbProcedure="false">店舗別明細!$A$4:$K$51</definedName>
    <definedName function="false" hidden="true" localSheetId="2" name="_xlnm._FilterDatabase" vbProcedure="false">施設別!$A$4:$J$40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<sst xmlns="http://schemas.openxmlformats.org/spreadsheetml/2006/main" count="322" uniqueCount="177">
  <si>
    <r>
      <rPr>
        <b val="true"/>
        <sz val="14"/>
        <color rgb="FF1F3864"/>
        <rFont val="Meiryo UI"/>
        <family val="0"/>
        <charset val="1"/>
      </rPr>
      <t xml:space="preserve">POS</t>
    </r>
    <r>
      <rPr>
        <b val="true"/>
        <sz val="14"/>
        <color rgb="FF1F3864"/>
        <rFont val="WenQuanYi Zen Hei"/>
        <family val="2"/>
      </rPr>
      <t xml:space="preserve">売上 予算・前年対比（</t>
    </r>
    <r>
      <rPr>
        <b val="true"/>
        <sz val="14"/>
        <color rgb="FF1F3864"/>
        <rFont val="Meiryo UI"/>
        <family val="0"/>
        <charset val="1"/>
      </rPr>
      <t xml:space="preserve">2026</t>
    </r>
    <r>
      <rPr>
        <b val="true"/>
        <sz val="14"/>
        <color rgb="FF1F3864"/>
        <rFont val="WenQuanYi Zen Hei"/>
        <family val="2"/>
      </rPr>
      <t xml:space="preserve">年</t>
    </r>
    <r>
      <rPr>
        <b val="true"/>
        <sz val="14"/>
        <color rgb="FF1F3864"/>
        <rFont val="Meiryo UI"/>
        <family val="0"/>
        <charset val="1"/>
      </rPr>
      <t xml:space="preserve">10</t>
    </r>
    <r>
      <rPr>
        <b val="true"/>
        <sz val="14"/>
        <color rgb="FF1F3864"/>
        <rFont val="WenQuanYi Zen Hei"/>
        <family val="2"/>
      </rPr>
      <t xml:space="preserve">月度／前年同月 </t>
    </r>
    <r>
      <rPr>
        <b val="true"/>
        <sz val="14"/>
        <color rgb="FF1F3864"/>
        <rFont val="Meiryo UI"/>
        <family val="0"/>
        <charset val="1"/>
      </rPr>
      <t xml:space="preserve">2025</t>
    </r>
    <r>
      <rPr>
        <b val="true"/>
        <sz val="14"/>
        <color rgb="FF1F3864"/>
        <rFont val="WenQuanYi Zen Hei"/>
        <family val="2"/>
      </rPr>
      <t xml:space="preserve">年</t>
    </r>
    <r>
      <rPr>
        <b val="true"/>
        <sz val="14"/>
        <color rgb="FF1F3864"/>
        <rFont val="Meiryo UI"/>
        <family val="0"/>
        <charset val="1"/>
      </rPr>
      <t xml:space="preserve">10</t>
    </r>
    <r>
      <rPr>
        <b val="true"/>
        <sz val="14"/>
        <color rgb="FF1F3864"/>
        <rFont val="WenQuanYi Zen Hei"/>
        <family val="2"/>
      </rPr>
      <t xml:space="preserve">月）</t>
    </r>
  </si>
  <si>
    <t xml:space="preserve">ブランド系統別の集計（店舗別明細シートの小計を参照）</t>
  </si>
  <si>
    <t xml:space="preserve">ブランド系統</t>
  </si>
  <si>
    <t xml:space="preserve">店舗数</t>
  </si>
  <si>
    <t xml:space="preserve">売上金額</t>
  </si>
  <si>
    <t xml:space="preserve">売上構成比</t>
  </si>
  <si>
    <t xml:space="preserve">予算金額</t>
  </si>
  <si>
    <t xml:space="preserve">予算達成率</t>
  </si>
  <si>
    <t xml:space="preserve">予算差額</t>
  </si>
  <si>
    <t xml:space="preserve">前年売上金額</t>
  </si>
  <si>
    <t xml:space="preserve">前年対比</t>
  </si>
  <si>
    <t xml:space="preserve">前年差額</t>
  </si>
  <si>
    <t xml:space="preserve">アルチビオ</t>
  </si>
  <si>
    <t xml:space="preserve">スタジオピッコーネ／ピッコーネクラブ</t>
  </si>
  <si>
    <t xml:space="preserve">ピッコーネ</t>
  </si>
  <si>
    <t xml:space="preserve">複合（アルチビオ＋ピッコーネ系）</t>
  </si>
  <si>
    <t xml:space="preserve">合計</t>
  </si>
  <si>
    <t xml:space="preserve">※ 前年対比には前年実績なしの大宮高島屋（スタジオピッコーネ系）の売上も含む。</t>
  </si>
  <si>
    <r>
      <rPr>
        <sz val="9"/>
        <color rgb="FF404040"/>
        <rFont val="WenQuanYi Zen Hei"/>
        <family val="2"/>
      </rPr>
      <t xml:space="preserve">※ 複合 </t>
    </r>
    <r>
      <rPr>
        <sz val="9"/>
        <color rgb="FF404040"/>
        <rFont val="Meiryo UI"/>
        <family val="0"/>
        <charset val="1"/>
      </rPr>
      <t xml:space="preserve">= </t>
    </r>
    <r>
      <rPr>
        <sz val="9"/>
        <color rgb="FF404040"/>
        <rFont val="WenQuanYi Zen Hei"/>
        <family val="2"/>
      </rPr>
      <t xml:space="preserve">アルチビオとピッコーネ系を</t>
    </r>
    <r>
      <rPr>
        <sz val="9"/>
        <color rgb="FF404040"/>
        <rFont val="Meiryo UI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コードで計上している売場（内訳不明）。</t>
    </r>
  </si>
  <si>
    <t xml:space="preserve">ブランド系統ごとに店舗をまとめ、各系統内は予算達成率の高い順。達成率・差額・前年比は数式で計算。</t>
  </si>
  <si>
    <t xml:space="preserve">店舗コード</t>
  </si>
  <si>
    <t xml:space="preserve">施設・店舗名</t>
  </si>
  <si>
    <t xml:space="preserve">取扱ブランド（元データ表記）</t>
  </si>
  <si>
    <t xml:space="preserve">32673900</t>
  </si>
  <si>
    <t xml:space="preserve">高島屋高崎店</t>
  </si>
  <si>
    <t xml:space="preserve">32580400</t>
  </si>
  <si>
    <r>
      <rPr>
        <sz val="10"/>
        <rFont val="WenQuanYi Zen Hei"/>
        <family val="2"/>
      </rPr>
      <t xml:space="preserve">ハービス</t>
    </r>
    <r>
      <rPr>
        <sz val="10"/>
        <rFont val="Meiryo UI"/>
        <family val="0"/>
        <charset val="1"/>
      </rPr>
      <t xml:space="preserve">PLAZA</t>
    </r>
    <r>
      <rPr>
        <sz val="10"/>
        <rFont val="WenQuanYi Zen Hei"/>
        <family val="2"/>
      </rPr>
      <t xml:space="preserve">店</t>
    </r>
  </si>
  <si>
    <t xml:space="preserve">32670600</t>
  </si>
  <si>
    <t xml:space="preserve">高島屋新宿店</t>
  </si>
  <si>
    <t xml:space="preserve">32674900</t>
  </si>
  <si>
    <t xml:space="preserve">松屋銀座本店</t>
  </si>
  <si>
    <t xml:space="preserve">32570100</t>
  </si>
  <si>
    <t xml:space="preserve">高島屋大阪店</t>
  </si>
  <si>
    <t xml:space="preserve">32581000</t>
  </si>
  <si>
    <t xml:space="preserve">堀江店</t>
  </si>
  <si>
    <t xml:space="preserve">32673800</t>
  </si>
  <si>
    <t xml:space="preserve">高島屋横浜店</t>
  </si>
  <si>
    <t xml:space="preserve">32674400</t>
  </si>
  <si>
    <t xml:space="preserve">伊勢丹浦和店</t>
  </si>
  <si>
    <t xml:space="preserve">32673500</t>
  </si>
  <si>
    <t xml:space="preserve">日本橋三越本店</t>
  </si>
  <si>
    <t xml:space="preserve">32680600</t>
  </si>
  <si>
    <t xml:space="preserve">那須ガーデンアウトレット店</t>
  </si>
  <si>
    <t xml:space="preserve">32571600</t>
  </si>
  <si>
    <t xml:space="preserve">ジェイアール名古屋タカシマヤ店</t>
  </si>
  <si>
    <r>
      <rPr>
        <b val="true"/>
        <sz val="10"/>
        <rFont val="WenQuanYi Zen Hei"/>
        <family val="2"/>
      </rPr>
      <t xml:space="preserve">アルチビオ　小計（</t>
    </r>
    <r>
      <rPr>
        <b val="true"/>
        <sz val="10"/>
        <rFont val="Meiryo UI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店舗）</t>
    </r>
  </si>
  <si>
    <t xml:space="preserve">32570200</t>
  </si>
  <si>
    <t xml:space="preserve">スタジオピッコーネ・ピッコーネクラブ</t>
  </si>
  <si>
    <t xml:space="preserve">32676200</t>
  </si>
  <si>
    <t xml:space="preserve">東武宇都宮百貨店</t>
  </si>
  <si>
    <t xml:space="preserve">32574100</t>
  </si>
  <si>
    <t xml:space="preserve">広島三越店</t>
  </si>
  <si>
    <t xml:space="preserve">スタジオピッコーネ</t>
  </si>
  <si>
    <t xml:space="preserve">32675700</t>
  </si>
  <si>
    <t xml:space="preserve">静岡伊勢丹</t>
  </si>
  <si>
    <t xml:space="preserve">32670400</t>
  </si>
  <si>
    <t xml:space="preserve">32572600</t>
  </si>
  <si>
    <t xml:space="preserve">大丸福岡天神店</t>
  </si>
  <si>
    <t xml:space="preserve">32670200</t>
  </si>
  <si>
    <t xml:space="preserve">32573700</t>
  </si>
  <si>
    <t xml:space="preserve">近鉄百貨店上本町店</t>
  </si>
  <si>
    <t xml:space="preserve">32575700</t>
  </si>
  <si>
    <t xml:space="preserve">名古屋三越栄店</t>
  </si>
  <si>
    <t xml:space="preserve">32671900</t>
  </si>
  <si>
    <t xml:space="preserve">松坂屋上野店</t>
  </si>
  <si>
    <t xml:space="preserve">32675800</t>
  </si>
  <si>
    <t xml:space="preserve">伊勢丹立川店</t>
  </si>
  <si>
    <t xml:space="preserve">32573400</t>
  </si>
  <si>
    <t xml:space="preserve">近鉄百貨店和歌山店</t>
  </si>
  <si>
    <t xml:space="preserve">32674500</t>
  </si>
  <si>
    <t xml:space="preserve">仙台三越</t>
  </si>
  <si>
    <t xml:space="preserve">32675600</t>
  </si>
  <si>
    <t xml:space="preserve">ながの東急百貨店</t>
  </si>
  <si>
    <t xml:space="preserve">32573900</t>
  </si>
  <si>
    <t xml:space="preserve">近鉄百貨店橿原店</t>
  </si>
  <si>
    <t xml:space="preserve">32573200</t>
  </si>
  <si>
    <t xml:space="preserve">あべのハルカス近鉄本店</t>
  </si>
  <si>
    <t xml:space="preserve">32673300</t>
  </si>
  <si>
    <t xml:space="preserve">32573800</t>
  </si>
  <si>
    <t xml:space="preserve">近鉄百貨店奈良店</t>
  </si>
  <si>
    <t xml:space="preserve">32670900</t>
  </si>
  <si>
    <t xml:space="preserve">東武百貨店池袋店</t>
  </si>
  <si>
    <t xml:space="preserve">32676700</t>
  </si>
  <si>
    <t xml:space="preserve">高島屋大宮店</t>
  </si>
  <si>
    <t xml:space="preserve">32674100</t>
  </si>
  <si>
    <t xml:space="preserve">東武百貨店船橋店</t>
  </si>
  <si>
    <t xml:space="preserve">32671400</t>
  </si>
  <si>
    <t xml:space="preserve">32676300</t>
  </si>
  <si>
    <r>
      <rPr>
        <b val="true"/>
        <sz val="10"/>
        <rFont val="WenQuanYi Zen Hei"/>
        <family val="2"/>
      </rPr>
      <t xml:space="preserve">スタジオピッコーネ／ピッコーネクラブ　小計（</t>
    </r>
    <r>
      <rPr>
        <b val="true"/>
        <sz val="10"/>
        <rFont val="Meiryo UI"/>
        <family val="0"/>
        <charset val="1"/>
      </rPr>
      <t xml:space="preserve">23</t>
    </r>
    <r>
      <rPr>
        <b val="true"/>
        <sz val="10"/>
        <rFont val="WenQuanYi Zen Hei"/>
        <family val="2"/>
      </rPr>
      <t xml:space="preserve">店舗）</t>
    </r>
  </si>
  <si>
    <t xml:space="preserve">32675100</t>
  </si>
  <si>
    <t xml:space="preserve">東急百貨店たまプラーザ店</t>
  </si>
  <si>
    <t xml:space="preserve">32580700</t>
  </si>
  <si>
    <t xml:space="preserve">ホテルニューオータニ大阪店</t>
  </si>
  <si>
    <t xml:space="preserve">32580600</t>
  </si>
  <si>
    <t xml:space="preserve">ラポルテ芦屋店</t>
  </si>
  <si>
    <t xml:space="preserve">32675300</t>
  </si>
  <si>
    <t xml:space="preserve">東急百貨店吉祥寺店</t>
  </si>
  <si>
    <r>
      <rPr>
        <b val="true"/>
        <sz val="10"/>
        <rFont val="WenQuanYi Zen Hei"/>
        <family val="2"/>
      </rPr>
      <t xml:space="preserve">ピッコーネ　小計（</t>
    </r>
    <r>
      <rPr>
        <b val="true"/>
        <sz val="10"/>
        <rFont val="Meiryo UI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店舗）</t>
    </r>
  </si>
  <si>
    <t xml:space="preserve">32671500</t>
  </si>
  <si>
    <t xml:space="preserve">札幌三越</t>
  </si>
  <si>
    <t xml:space="preserve">ピッコーネ・アルチビオ</t>
  </si>
  <si>
    <t xml:space="preserve">32572200</t>
  </si>
  <si>
    <t xml:space="preserve">松坂屋名古屋店</t>
  </si>
  <si>
    <t xml:space="preserve">アルチビオ・ピッコーネクラブ</t>
  </si>
  <si>
    <t xml:space="preserve">32570800</t>
  </si>
  <si>
    <t xml:space="preserve">高島屋京都店</t>
  </si>
  <si>
    <t xml:space="preserve">32573300</t>
  </si>
  <si>
    <t xml:space="preserve">アルチビオ・ピッコ（元データで名称途切れ）</t>
  </si>
  <si>
    <t xml:space="preserve">32570700</t>
  </si>
  <si>
    <t xml:space="preserve">西宮阪急店</t>
  </si>
  <si>
    <t xml:space="preserve">ピッコーネクラブ・アルチビオ</t>
  </si>
  <si>
    <r>
      <rPr>
        <b val="true"/>
        <sz val="10"/>
        <rFont val="WenQuanYi Zen Hei"/>
        <family val="2"/>
      </rPr>
      <t xml:space="preserve">複合（アルチビオ＋ピッコーネ系）　小計（</t>
    </r>
    <r>
      <rPr>
        <b val="true"/>
        <sz val="10"/>
        <rFont val="Meiryo UI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店舗）</t>
    </r>
  </si>
  <si>
    <r>
      <rPr>
        <b val="true"/>
        <sz val="11"/>
        <rFont val="WenQuanYi Zen Hei"/>
        <family val="2"/>
      </rPr>
      <t xml:space="preserve">総合計（</t>
    </r>
    <r>
      <rPr>
        <b val="true"/>
        <sz val="11"/>
        <rFont val="Meiryo UI"/>
        <family val="0"/>
        <charset val="1"/>
      </rPr>
      <t xml:space="preserve">43</t>
    </r>
    <r>
      <rPr>
        <b val="true"/>
        <sz val="11"/>
        <rFont val="WenQuanYi Zen Hei"/>
        <family val="2"/>
      </rPr>
      <t xml:space="preserve">店舗）</t>
    </r>
  </si>
  <si>
    <t xml:space="preserve">【注記】</t>
  </si>
  <si>
    <r>
      <rPr>
        <sz val="9"/>
        <color rgb="FF404040"/>
        <rFont val="WenQuanYi Zen Hei"/>
        <family val="2"/>
      </rPr>
      <t xml:space="preserve">・元データ：</t>
    </r>
    <r>
      <rPr>
        <sz val="9"/>
        <color rgb="FF404040"/>
        <rFont val="Meiryo UI"/>
        <family val="0"/>
        <charset val="1"/>
      </rPr>
      <t xml:space="preserve">POSCM</t>
    </r>
    <r>
      <rPr>
        <sz val="9"/>
        <color rgb="FF404040"/>
        <rFont val="WenQuanYi Zen Hei"/>
        <family val="2"/>
      </rPr>
      <t xml:space="preserve">システム出力（</t>
    </r>
    <r>
      <rPr>
        <sz val="9"/>
        <color rgb="FF404040"/>
        <rFont val="Meiryo UI"/>
        <family val="0"/>
        <charset val="1"/>
      </rPr>
      <t xml:space="preserve">Sheet1</t>
    </r>
    <r>
      <rPr>
        <sz val="9"/>
        <color rgb="FF404040"/>
        <rFont val="WenQuanYi Zen Hei"/>
        <family val="2"/>
      </rPr>
      <t xml:space="preserve">）。数値は元データをそのまま使用し、合計は元データの合計行と一致することを確認済み。</t>
    </r>
  </si>
  <si>
    <t xml:space="preserve">・「施設・店舗名」「取扱ブランド」は元の店舗名から分割。半角カナを全角に統一し、以下の表記ゆれを統一：新宿高島屋→高島屋新宿店／髙島屋横浜店→高島屋横浜店／大宮高島屋→高島屋大宮店。</t>
  </si>
  <si>
    <r>
      <rPr>
        <sz val="9"/>
        <color rgb="FF404040"/>
        <rFont val="WenQuanYi Zen Hei"/>
        <family val="2"/>
      </rPr>
      <t xml:space="preserve">・元データで途切れていたブランド名を補正：「ﾋﾟｯｺｰﾈｸﾗﾌ」→ピッコーネクラブ、「アルチビオ・ピッコーネクラ」→アルチビオ・ピッコーネクラブ。あべのハルカス近鉄本店（</t>
    </r>
    <r>
      <rPr>
        <sz val="9"/>
        <color rgb="FF404040"/>
        <rFont val="Meiryo UI"/>
        <family val="0"/>
        <charset val="1"/>
      </rPr>
      <t xml:space="preserve">32573300</t>
    </r>
    <r>
      <rPr>
        <sz val="9"/>
        <color rgb="FF404040"/>
        <rFont val="WenQuanYi Zen Hei"/>
        <family val="2"/>
      </rPr>
      <t xml:space="preserve">）の「アルチビオ・ピッコ」は判別できないため原文のまま。</t>
    </r>
  </si>
  <si>
    <r>
      <rPr>
        <sz val="9"/>
        <color rgb="FF404040"/>
        <rFont val="WenQuanYi Zen Hei"/>
        <family val="2"/>
      </rPr>
      <t xml:space="preserve">・「複合」</t>
    </r>
    <r>
      <rPr>
        <sz val="9"/>
        <color rgb="FF404040"/>
        <rFont val="Meiryo UI"/>
        <family val="0"/>
        <charset val="1"/>
      </rPr>
      <t xml:space="preserve">= 1</t>
    </r>
    <r>
      <rPr>
        <sz val="9"/>
        <color rgb="FF404040"/>
        <rFont val="WenQuanYi Zen Hei"/>
        <family val="2"/>
      </rPr>
      <t xml:space="preserve">店舗コードでアルチビオとピッコーネ系の両方を扱う売場（ブランド別の内訳は元データになし）。</t>
    </r>
  </si>
  <si>
    <r>
      <rPr>
        <sz val="9"/>
        <color rgb="FF404040"/>
        <rFont val="WenQuanYi Zen Hei"/>
        <family val="2"/>
      </rPr>
      <t xml:space="preserve">・大宮高島屋（</t>
    </r>
    <r>
      <rPr>
        <sz val="9"/>
        <color rgb="FF404040"/>
        <rFont val="Meiryo UI"/>
        <family val="0"/>
        <charset val="1"/>
      </rPr>
      <t xml:space="preserve">32676700</t>
    </r>
    <r>
      <rPr>
        <sz val="9"/>
        <color rgb="FF404040"/>
        <rFont val="WenQuanYi Zen Hei"/>
        <family val="2"/>
      </rPr>
      <t xml:space="preserve">）は前年売上が</t>
    </r>
    <r>
      <rPr>
        <sz val="9"/>
        <color rgb="FF404040"/>
        <rFont val="Meiryo UI"/>
        <family val="0"/>
        <charset val="1"/>
      </rPr>
      <t xml:space="preserve">0</t>
    </r>
    <r>
      <rPr>
        <sz val="9"/>
        <color rgb="FF404040"/>
        <rFont val="WenQuanYi Zen Hei"/>
        <family val="2"/>
      </rPr>
      <t xml:space="preserve">のため前年対比は算出不可（新店の可能性あり・要確認）。</t>
    </r>
  </si>
  <si>
    <r>
      <rPr>
        <sz val="9"/>
        <color rgb="FF404040"/>
        <rFont val="WenQuanYi Zen Hei"/>
        <family val="2"/>
      </rPr>
      <t xml:space="preserve">・予算達成率・前年対比のバーは</t>
    </r>
    <r>
      <rPr>
        <sz val="9"/>
        <color rgb="FF404040"/>
        <rFont val="Meiryo UI"/>
        <family val="0"/>
        <charset val="1"/>
      </rPr>
      <t xml:space="preserve">100%</t>
    </r>
    <r>
      <rPr>
        <sz val="9"/>
        <color rgb="FF404040"/>
        <rFont val="WenQuanYi Zen Hei"/>
        <family val="2"/>
      </rPr>
      <t xml:space="preserve">を満タンとして表示。</t>
    </r>
  </si>
  <si>
    <r>
      <rPr>
        <sz val="9"/>
        <color rgb="FF595959"/>
        <rFont val="WenQuanYi Zen Hei"/>
        <family val="2"/>
      </rPr>
      <t xml:space="preserve">同じ施設に複数ブランドが入っている場合に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行にまとめた集計（売上の大きい順）。各値は店舗別明細から</t>
    </r>
    <r>
      <rPr>
        <sz val="9"/>
        <color rgb="FF595959"/>
        <rFont val="Meiryo UI"/>
        <family val="0"/>
        <charset val="1"/>
      </rPr>
      <t xml:space="preserve">SUMIFS</t>
    </r>
    <r>
      <rPr>
        <sz val="9"/>
        <color rgb="FF595959"/>
        <rFont val="WenQuanYi Zen Hei"/>
        <family val="2"/>
      </rPr>
      <t xml:space="preserve">で集計。</t>
    </r>
  </si>
  <si>
    <t xml:space="preserve">複合
（アルチビオ＋ピッコーネ系）</t>
  </si>
  <si>
    <t xml:space="preserve">売上合計</t>
  </si>
  <si>
    <t xml:space="preserve">予算合計</t>
  </si>
  <si>
    <t xml:space="preserve">前年売上合計</t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</si>
  <si>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Meiryo UI"/>
        <family val="0"/>
        <charset val="1"/>
      </rPr>
      <t xml:space="preserve">36</t>
    </r>
    <r>
      <rPr>
        <b val="true"/>
        <sz val="10"/>
        <rFont val="WenQuanYi Zen Hei"/>
        <family val="2"/>
      </rPr>
      <t xml:space="preserve">施設）</t>
    </r>
  </si>
  <si>
    <r>
      <rPr>
        <sz val="9"/>
        <color rgb="FF404040"/>
        <rFont val="WenQuanYi Zen Hei"/>
        <family val="2"/>
      </rPr>
      <t xml:space="preserve">※ 太字の施設は複数ブランド（複数店舗コード）を持つ施設。ブランド列の「</t>
    </r>
    <r>
      <rPr>
        <sz val="9"/>
        <color rgb="FF404040"/>
        <rFont val="Meiryo UI"/>
        <family val="0"/>
        <charset val="1"/>
      </rPr>
      <t xml:space="preserve">-</t>
    </r>
    <r>
      <rPr>
        <sz val="9"/>
        <color rgb="FF404040"/>
        <rFont val="WenQuanYi Zen Hei"/>
        <family val="2"/>
      </rPr>
      <t xml:space="preserve">」は該当ブランドなし。</t>
    </r>
  </si>
  <si>
    <t xml:space="preserve">店舗</t>
  </si>
  <si>
    <r>
      <rPr>
        <b val="true"/>
        <sz val="8.8"/>
        <color theme="1"/>
        <rFont val="WenQuanYi Zen Hei"/>
        <family val="2"/>
      </rPr>
      <t xml:space="preserve">指定月　【前年同月 </t>
    </r>
    <r>
      <rPr>
        <b val="true"/>
        <sz val="8.8"/>
        <color theme="1"/>
        <rFont val="MS PGothic"/>
        <family val="3"/>
        <charset val="1"/>
      </rPr>
      <t xml:space="preserve">2025/10</t>
    </r>
    <r>
      <rPr>
        <b val="true"/>
        <sz val="8.8"/>
        <color theme="1"/>
        <rFont val="WenQuanYi Zen Hei"/>
        <family val="2"/>
      </rPr>
      <t xml:space="preserve">】</t>
    </r>
  </si>
  <si>
    <t xml:space="preserve">詳細</t>
  </si>
  <si>
    <t xml:space="preserve">予算情報及び対比</t>
  </si>
  <si>
    <t xml:space="preserve">前年同月情報及び対比</t>
  </si>
  <si>
    <t xml:space="preserve">達成率</t>
  </si>
  <si>
    <t xml:space="preserve">差額</t>
  </si>
  <si>
    <r>
      <rPr>
        <sz val="8.8"/>
        <color theme="1"/>
        <rFont val="MS PGothic"/>
        <family val="3"/>
        <charset val="1"/>
      </rPr>
      <t xml:space="preserve">(32673900)</t>
    </r>
    <r>
      <rPr>
        <sz val="8.8"/>
        <color theme="1"/>
        <rFont val="WenQuanYi Zen Hei"/>
        <family val="2"/>
      </rPr>
      <t xml:space="preserve">高島屋高崎店アルチビオ</t>
    </r>
  </si>
  <si>
    <r>
      <rPr>
        <sz val="8.8"/>
        <color theme="1"/>
        <rFont val="MS PGothic"/>
        <family val="3"/>
        <charset val="1"/>
      </rPr>
      <t xml:space="preserve">(32580400)</t>
    </r>
    <r>
      <rPr>
        <sz val="8.8"/>
        <color theme="1"/>
        <rFont val="WenQuanYi Zen Hei"/>
        <family val="2"/>
      </rPr>
      <t xml:space="preserve">ハービス</t>
    </r>
    <r>
      <rPr>
        <sz val="8.8"/>
        <color theme="1"/>
        <rFont val="MS PGothic"/>
        <family val="3"/>
        <charset val="1"/>
      </rPr>
      <t xml:space="preserve">PLAZA</t>
    </r>
    <r>
      <rPr>
        <sz val="8.8"/>
        <color theme="1"/>
        <rFont val="WenQuanYi Zen Hei"/>
        <family val="2"/>
      </rPr>
      <t xml:space="preserve">店アルチビオ</t>
    </r>
  </si>
  <si>
    <r>
      <rPr>
        <sz val="8.8"/>
        <color theme="1"/>
        <rFont val="MS PGothic"/>
        <family val="3"/>
        <charset val="1"/>
      </rPr>
      <t xml:space="preserve">(32670600)</t>
    </r>
    <r>
      <rPr>
        <sz val="8.8"/>
        <color theme="1"/>
        <rFont val="WenQuanYi Zen Hei"/>
        <family val="2"/>
      </rPr>
      <t xml:space="preserve">高島屋新宿店アルチビオ</t>
    </r>
  </si>
  <si>
    <r>
      <rPr>
        <sz val="8.8"/>
        <color theme="1"/>
        <rFont val="MS PGothic"/>
        <family val="3"/>
        <charset val="1"/>
      </rPr>
      <t xml:space="preserve">(32671500)</t>
    </r>
    <r>
      <rPr>
        <sz val="8.8"/>
        <color theme="1"/>
        <rFont val="WenQuanYi Zen Hei"/>
        <family val="2"/>
      </rPr>
      <t xml:space="preserve">札幌三越ピッコーネ・アルチビオ</t>
    </r>
  </si>
  <si>
    <r>
      <rPr>
        <sz val="8.8"/>
        <color theme="1"/>
        <rFont val="MS PGothic"/>
        <family val="3"/>
        <charset val="1"/>
      </rPr>
      <t xml:space="preserve">(32674900)</t>
    </r>
    <r>
      <rPr>
        <sz val="8.8"/>
        <color theme="1"/>
        <rFont val="WenQuanYi Zen Hei"/>
        <family val="2"/>
      </rPr>
      <t xml:space="preserve">松屋銀座本店アルチビオ</t>
    </r>
  </si>
  <si>
    <r>
      <rPr>
        <sz val="8.8"/>
        <color theme="1"/>
        <rFont val="MS PGothic"/>
        <family val="3"/>
        <charset val="1"/>
      </rPr>
      <t xml:space="preserve">(32570100)</t>
    </r>
    <r>
      <rPr>
        <sz val="8.8"/>
        <color theme="1"/>
        <rFont val="WenQuanYi Zen Hei"/>
        <family val="2"/>
      </rPr>
      <t xml:space="preserve">高島屋大阪店アルチビオ</t>
    </r>
  </si>
  <si>
    <r>
      <rPr>
        <sz val="8.8"/>
        <color theme="1"/>
        <rFont val="MS PGothic"/>
        <family val="3"/>
        <charset val="1"/>
      </rPr>
      <t xml:space="preserve">(32570200)</t>
    </r>
    <r>
      <rPr>
        <sz val="8.8"/>
        <color theme="1"/>
        <rFont val="WenQuanYi Zen Hei"/>
        <family val="2"/>
      </rPr>
      <t xml:space="preserve">高島屋大阪店ｽﾀｼﾞｵﾋﾟｯｺｰﾈ・ﾋﾟｯｺｰﾈｸﾗﾌﾞ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</si>
  <si>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(32676200)</t>
    </r>
    <r>
      <rPr>
        <sz val="8.8"/>
        <color theme="1"/>
        <rFont val="WenQuanYi Zen Hei"/>
        <family val="2"/>
      </rPr>
      <t xml:space="preserve">東武宇都宮百貨店ｽﾀｼﾞｵﾋﾟｯｺｰﾈ・ﾋﾟｯｺｰﾈｸﾗﾌﾞ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</si>
  <si>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(32574100)</t>
    </r>
    <r>
      <rPr>
        <sz val="8.8"/>
        <color theme="1"/>
        <rFont val="WenQuanYi Zen Hei"/>
        <family val="2"/>
      </rPr>
      <t xml:space="preserve">広島三越店スタジオピッコーネ</t>
    </r>
  </si>
  <si>
    <r>
      <rPr>
        <sz val="8.8"/>
        <color theme="1"/>
        <rFont val="MS PGothic"/>
        <family val="3"/>
        <charset val="1"/>
      </rPr>
      <t xml:space="preserve">(32675700)</t>
    </r>
    <r>
      <rPr>
        <sz val="8.8"/>
        <color theme="1"/>
        <rFont val="WenQuanYi Zen Hei"/>
        <family val="2"/>
      </rPr>
      <t xml:space="preserve">静岡伊勢丹ｽﾀｼﾞｵﾋﾟｯｺｰﾈ・ﾋﾟｯｺｰﾈｸﾗﾌﾞ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</si>
  <si>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(32670400)</t>
    </r>
    <r>
      <rPr>
        <sz val="8.8"/>
        <color theme="1"/>
        <rFont val="WenQuanYi Zen Hei"/>
        <family val="2"/>
      </rPr>
      <t xml:space="preserve">高島屋高崎店ｽﾀｼﾞｵﾋﾟｯｺｰﾈ・ﾋﾟｯｺｰﾈｸﾗﾌﾞ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</si>
  <si>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(32581000)</t>
    </r>
    <r>
      <rPr>
        <sz val="8.8"/>
        <color theme="1"/>
        <rFont val="WenQuanYi Zen Hei"/>
        <family val="2"/>
      </rPr>
      <t xml:space="preserve">堀江店アルチビオ</t>
    </r>
  </si>
  <si>
    <r>
      <rPr>
        <sz val="8.8"/>
        <color theme="1"/>
        <rFont val="MS PGothic"/>
        <family val="3"/>
        <charset val="1"/>
      </rPr>
      <t xml:space="preserve">(32572600)</t>
    </r>
    <r>
      <rPr>
        <sz val="8.8"/>
        <color theme="1"/>
        <rFont val="WenQuanYi Zen Hei"/>
        <family val="2"/>
      </rPr>
      <t xml:space="preserve">大丸福岡天神店ｽﾀｼﾞｵﾋﾟｯｺｰﾈ・ﾋﾟｯｺｰﾈｸﾗﾌﾞ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</si>
  <si>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(32670200)</t>
    </r>
    <r>
      <rPr>
        <sz val="8.8"/>
        <color theme="1"/>
        <rFont val="WenQuanYi Zen Hei"/>
        <family val="2"/>
      </rPr>
      <t xml:space="preserve">髙島屋横浜店ｽﾀｼﾞｵﾋﾟｯｺｰﾈ・ﾋﾟｯｺｰﾈｸﾗﾌﾞ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</si>
  <si>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(32573700)</t>
    </r>
    <r>
      <rPr>
        <sz val="8.8"/>
        <color theme="1"/>
        <rFont val="WenQuanYi Zen Hei"/>
        <family val="2"/>
      </rPr>
      <t xml:space="preserve">近鉄百貨店上本町店ｽﾀｼﾞｵﾋﾟｯｺｰﾈ・ﾋﾟｯｺｰﾈｸﾗﾌ</t>
    </r>
  </si>
  <si>
    <r>
      <rPr>
        <sz val="8.8"/>
        <color theme="1"/>
        <rFont val="MS PGothic"/>
        <family val="3"/>
        <charset val="1"/>
      </rPr>
      <t xml:space="preserve">(32575700)</t>
    </r>
    <r>
      <rPr>
        <sz val="8.8"/>
        <color theme="1"/>
        <rFont val="WenQuanYi Zen Hei"/>
        <family val="2"/>
      </rPr>
      <t xml:space="preserve">名古屋三越栄店スタジオピッコーネ</t>
    </r>
  </si>
  <si>
    <r>
      <rPr>
        <sz val="8.8"/>
        <color theme="1"/>
        <rFont val="MS PGothic"/>
        <family val="3"/>
        <charset val="1"/>
      </rPr>
      <t xml:space="preserve">(32671900)</t>
    </r>
    <r>
      <rPr>
        <sz val="8.8"/>
        <color theme="1"/>
        <rFont val="WenQuanYi Zen Hei"/>
        <family val="2"/>
      </rPr>
      <t xml:space="preserve">松坂屋上野店ｽﾀｼﾞｵﾋﾟｯｺｰﾈ・ﾋﾟｯｺｰﾈｸﾗﾌﾞ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</si>
  <si>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(32673800)</t>
    </r>
    <r>
      <rPr>
        <sz val="8.8"/>
        <color theme="1"/>
        <rFont val="WenQuanYi Zen Hei"/>
        <family val="2"/>
      </rPr>
      <t xml:space="preserve">高島屋横浜店アルチビオ</t>
    </r>
  </si>
  <si>
    <r>
      <rPr>
        <sz val="8.8"/>
        <color theme="1"/>
        <rFont val="MS PGothic"/>
        <family val="3"/>
        <charset val="1"/>
      </rPr>
      <t xml:space="preserve">(32572200)</t>
    </r>
    <r>
      <rPr>
        <sz val="8.8"/>
        <color theme="1"/>
        <rFont val="WenQuanYi Zen Hei"/>
        <family val="2"/>
      </rPr>
      <t xml:space="preserve">松坂屋名古屋店アルチビオ・ピッコーネクラ</t>
    </r>
  </si>
  <si>
    <r>
      <rPr>
        <sz val="8.8"/>
        <color theme="1"/>
        <rFont val="MS PGothic"/>
        <family val="3"/>
        <charset val="1"/>
      </rPr>
      <t xml:space="preserve">(32675800)</t>
    </r>
    <r>
      <rPr>
        <sz val="8.8"/>
        <color theme="1"/>
        <rFont val="WenQuanYi Zen Hei"/>
        <family val="2"/>
      </rPr>
      <t xml:space="preserve">伊勢丹立川店ｽﾀｼﾞｵﾋﾟｯｺｰﾈ・ﾋﾟｯｺｰﾈｸﾗﾌﾞ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</si>
  <si>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(32674400)</t>
    </r>
    <r>
      <rPr>
        <sz val="8.8"/>
        <color theme="1"/>
        <rFont val="WenQuanYi Zen Hei"/>
        <family val="2"/>
      </rPr>
      <t xml:space="preserve">伊勢丹浦和店アルチビオ</t>
    </r>
  </si>
  <si>
    <r>
      <rPr>
        <sz val="8.8"/>
        <color theme="1"/>
        <rFont val="MS PGothic"/>
        <family val="3"/>
        <charset val="1"/>
      </rPr>
      <t xml:space="preserve">(32573400)</t>
    </r>
    <r>
      <rPr>
        <sz val="8.8"/>
        <color theme="1"/>
        <rFont val="WenQuanYi Zen Hei"/>
        <family val="2"/>
      </rPr>
      <t xml:space="preserve">近鉄百貨店和歌山店ｽﾀｼﾞｵﾋﾟｯｺｰﾈ・ﾋﾟｯｺｰﾈｸﾗﾌ</t>
    </r>
  </si>
  <si>
    <r>
      <rPr>
        <sz val="8.8"/>
        <color theme="1"/>
        <rFont val="MS PGothic"/>
        <family val="3"/>
        <charset val="1"/>
      </rPr>
      <t xml:space="preserve">(32674500)</t>
    </r>
    <r>
      <rPr>
        <sz val="8.8"/>
        <color theme="1"/>
        <rFont val="WenQuanYi Zen Hei"/>
        <family val="2"/>
      </rPr>
      <t xml:space="preserve">仙台三越ｽﾀｼﾞｵﾋﾟｯｺｰﾈ・ﾋﾟｯｺｰﾈｸﾗﾌﾞ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</si>
  <si>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(32570800)</t>
    </r>
    <r>
      <rPr>
        <sz val="8.8"/>
        <color theme="1"/>
        <rFont val="WenQuanYi Zen Hei"/>
        <family val="2"/>
      </rPr>
      <t xml:space="preserve">高島屋京都店アルチビオ・ピッコーネクラブ</t>
    </r>
  </si>
  <si>
    <r>
      <rPr>
        <sz val="8.8"/>
        <color theme="1"/>
        <rFont val="MS PGothic"/>
        <family val="3"/>
        <charset val="1"/>
      </rPr>
      <t xml:space="preserve">(32675600)</t>
    </r>
    <r>
      <rPr>
        <sz val="8.8"/>
        <color theme="1"/>
        <rFont val="WenQuanYi Zen Hei"/>
        <family val="2"/>
      </rPr>
      <t xml:space="preserve">ながの東急百貨店ｽﾀｼﾞｵﾋﾟｯｺｰﾈ・ﾋﾟｯｺｰﾈｸﾗﾌﾞ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</si>
  <si>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(32573900)</t>
    </r>
    <r>
      <rPr>
        <sz val="8.8"/>
        <color theme="1"/>
        <rFont val="WenQuanYi Zen Hei"/>
        <family val="2"/>
      </rPr>
      <t xml:space="preserve">近鉄百貨店橿原店スタジオピッコーネ</t>
    </r>
  </si>
  <si>
    <r>
      <rPr>
        <sz val="8.8"/>
        <color theme="1"/>
        <rFont val="MS PGothic"/>
        <family val="3"/>
        <charset val="1"/>
      </rPr>
      <t xml:space="preserve">(32673500)</t>
    </r>
    <r>
      <rPr>
        <sz val="8.8"/>
        <color theme="1"/>
        <rFont val="WenQuanYi Zen Hei"/>
        <family val="2"/>
      </rPr>
      <t xml:space="preserve">日本橋三越本店アルチビオ</t>
    </r>
  </si>
  <si>
    <r>
      <rPr>
        <sz val="8.8"/>
        <color theme="1"/>
        <rFont val="MS PGothic"/>
        <family val="3"/>
        <charset val="1"/>
      </rPr>
      <t xml:space="preserve">(32573200)</t>
    </r>
    <r>
      <rPr>
        <sz val="8.8"/>
        <color theme="1"/>
        <rFont val="WenQuanYi Zen Hei"/>
        <family val="2"/>
      </rPr>
      <t xml:space="preserve">あべのハルカス近鉄本店スタジオピッコーネ</t>
    </r>
  </si>
  <si>
    <r>
      <rPr>
        <sz val="8.8"/>
        <color theme="1"/>
        <rFont val="MS PGothic"/>
        <family val="3"/>
        <charset val="1"/>
      </rPr>
      <t xml:space="preserve">(32675100)</t>
    </r>
    <r>
      <rPr>
        <sz val="8.8"/>
        <color theme="1"/>
        <rFont val="WenQuanYi Zen Hei"/>
        <family val="2"/>
      </rPr>
      <t xml:space="preserve">ﾋﾟｯｺｰﾈ　東急百貨店たまﾌﾟﾗｰｻﾞ店</t>
    </r>
  </si>
  <si>
    <r>
      <rPr>
        <sz val="8.8"/>
        <color theme="1"/>
        <rFont val="MS PGothic"/>
        <family val="3"/>
        <charset val="1"/>
      </rPr>
      <t xml:space="preserve">(32673300)</t>
    </r>
    <r>
      <rPr>
        <sz val="8.8"/>
        <color theme="1"/>
        <rFont val="WenQuanYi Zen Hei"/>
        <family val="2"/>
      </rPr>
      <t xml:space="preserve">松屋銀座本店ｽﾀｼﾞｵﾋﾟｯｺｰﾈ・ﾋﾟｯｺｰﾈｸﾗﾌﾞ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</si>
  <si>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(32573800)</t>
    </r>
    <r>
      <rPr>
        <sz val="8.8"/>
        <color theme="1"/>
        <rFont val="WenQuanYi Zen Hei"/>
        <family val="2"/>
      </rPr>
      <t xml:space="preserve">近鉄百貨店奈良店ｽﾀｼﾞｵﾋﾟｯｺｰﾈ・ﾋﾟｯｺｰﾈｸﾗﾌﾞ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</si>
  <si>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(32580700)</t>
    </r>
    <r>
      <rPr>
        <sz val="8.8"/>
        <color theme="1"/>
        <rFont val="WenQuanYi Zen Hei"/>
        <family val="2"/>
      </rPr>
      <t xml:space="preserve">ホテルニューオータニ大阪店ピッコーネ</t>
    </r>
  </si>
  <si>
    <r>
      <rPr>
        <sz val="8.8"/>
        <color theme="1"/>
        <rFont val="MS PGothic"/>
        <family val="3"/>
        <charset val="1"/>
      </rPr>
      <t xml:space="preserve">(32670900)</t>
    </r>
    <r>
      <rPr>
        <sz val="8.8"/>
        <color theme="1"/>
        <rFont val="WenQuanYi Zen Hei"/>
        <family val="2"/>
      </rPr>
      <t xml:space="preserve">東武百貨店池袋店ｽﾀｼﾞｵﾋﾟｯｺｰﾈ・ﾋﾟｯｺｰﾈｸﾗﾌﾞ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</si>
  <si>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(32573300)</t>
    </r>
    <r>
      <rPr>
        <sz val="8.8"/>
        <color theme="1"/>
        <rFont val="WenQuanYi Zen Hei"/>
        <family val="2"/>
      </rPr>
      <t xml:space="preserve">あべのハルカス近鉄本店アルチビオ・ピッコ</t>
    </r>
  </si>
  <si>
    <r>
      <rPr>
        <sz val="8.8"/>
        <color theme="1"/>
        <rFont val="MS PGothic"/>
        <family val="3"/>
        <charset val="1"/>
      </rPr>
      <t xml:space="preserve">(32580600)</t>
    </r>
    <r>
      <rPr>
        <sz val="8.8"/>
        <color theme="1"/>
        <rFont val="WenQuanYi Zen Hei"/>
        <family val="2"/>
      </rPr>
      <t xml:space="preserve">ラポルテ芦屋店ピッコーネ</t>
    </r>
  </si>
  <si>
    <r>
      <rPr>
        <sz val="8.8"/>
        <color theme="1"/>
        <rFont val="MS PGothic"/>
        <family val="3"/>
        <charset val="1"/>
      </rPr>
      <t xml:space="preserve">(32570700)</t>
    </r>
    <r>
      <rPr>
        <sz val="8.8"/>
        <color theme="1"/>
        <rFont val="WenQuanYi Zen Hei"/>
        <family val="2"/>
      </rPr>
      <t xml:space="preserve">西宮阪急店ピッコーネクラブ・アルチビオ</t>
    </r>
  </si>
  <si>
    <r>
      <rPr>
        <sz val="8.8"/>
        <color theme="1"/>
        <rFont val="MS PGothic"/>
        <family val="3"/>
        <charset val="1"/>
      </rPr>
      <t xml:space="preserve">(32674100)</t>
    </r>
    <r>
      <rPr>
        <sz val="8.8"/>
        <color theme="1"/>
        <rFont val="WenQuanYi Zen Hei"/>
        <family val="2"/>
      </rPr>
      <t xml:space="preserve">東武百貨店船橋店ｽﾀｼﾞｵﾋﾟｯｺｰﾈ・ﾋﾟｯｺｰﾈｸﾗﾌﾞ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</si>
  <si>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(32676700)</t>
    </r>
    <r>
      <rPr>
        <sz val="8.8"/>
        <color theme="1"/>
        <rFont val="WenQuanYi Zen Hei"/>
        <family val="2"/>
      </rPr>
      <t xml:space="preserve">大宮高島屋ｽﾀｼﾞｵﾋﾟｯｺｰﾈ・ﾋﾟｯｺｰﾈｸﾗﾌﾞ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</si>
  <si>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(32675300)</t>
    </r>
    <r>
      <rPr>
        <sz val="8.8"/>
        <color theme="1"/>
        <rFont val="WenQuanYi Zen Hei"/>
        <family val="2"/>
      </rPr>
      <t xml:space="preserve">ピッコーネ　東急百貨店吉祥寺店</t>
    </r>
  </si>
  <si>
    <r>
      <rPr>
        <sz val="8.8"/>
        <color theme="1"/>
        <rFont val="MS PGothic"/>
        <family val="3"/>
        <charset val="1"/>
      </rPr>
      <t xml:space="preserve">(32671400)</t>
    </r>
    <r>
      <rPr>
        <sz val="8.8"/>
        <color theme="1"/>
        <rFont val="WenQuanYi Zen Hei"/>
        <family val="2"/>
      </rPr>
      <t xml:space="preserve">日本橋三越本店ｽﾀｼﾞｵﾋﾟｯｺｰﾈ・ﾋﾟｯｺｰﾈｸﾗﾌﾞ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</si>
  <si>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(32680600)</t>
    </r>
    <r>
      <rPr>
        <sz val="8.8"/>
        <color theme="1"/>
        <rFont val="WenQuanYi Zen Hei"/>
        <family val="2"/>
      </rPr>
      <t xml:space="preserve">那須ｶﾞｰﾃﾞﾝｱｳﾄﾚｯﾄ店アルチビオ</t>
    </r>
  </si>
  <si>
    <r>
      <rPr>
        <sz val="8.8"/>
        <color theme="1"/>
        <rFont val="MS PGothic"/>
        <family val="3"/>
        <charset val="1"/>
      </rPr>
      <t xml:space="preserve">(32676300)</t>
    </r>
    <r>
      <rPr>
        <sz val="8.8"/>
        <color theme="1"/>
        <rFont val="WenQuanYi Zen Hei"/>
        <family val="2"/>
      </rPr>
      <t xml:space="preserve">新宿高島屋ｽﾀｼﾞｵﾋﾟｯｺｰﾈ・ﾋﾟｯｺｰﾈｸﾗﾌﾞ</t>
    </r>
  </si>
  <si>
    <r>
      <rPr>
        <sz val="8.8"/>
        <color theme="1"/>
        <rFont val="MS PGothic"/>
        <family val="3"/>
        <charset val="1"/>
      </rPr>
      <t xml:space="preserve">(32571600)</t>
    </r>
    <r>
      <rPr>
        <sz val="8.8"/>
        <color theme="1"/>
        <rFont val="WenQuanYi Zen Hei"/>
        <family val="2"/>
      </rPr>
      <t xml:space="preserve">ジェイアール名古屋タカシマヤ店アルチビオ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</si>
</sst>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-#,##0;\-"/>
    <numFmt numFmtId="166" formatCode="0.0%;[RED]\-0.0%;\-"/>
    <numFmt numFmtId="167" formatCode="General"/>
    <numFmt numFmtId="168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 UI"/>
      <family val="0"/>
      <charset val="1"/>
    </font>
    <font>
      <b val="true"/>
      <sz val="14"/>
      <color rgb="FF1F3864"/>
      <name val="WenQuanYi Zen Hei"/>
      <family val="2"/>
    </font>
    <font>
      <sz val="9"/>
      <color rgb="FF595959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1"/>
      <name val="WenQuanYi Zen Hei"/>
      <family val="2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sz val="9"/>
      <color rgb="FF404040"/>
      <name val="WenQuanYi Zen Hei"/>
      <family val="2"/>
    </font>
    <font>
      <sz val="9"/>
      <color rgb="FF404040"/>
      <name val="Meiryo UI"/>
      <family val="0"/>
      <charset val="1"/>
    </font>
    <font>
      <sz val="10"/>
      <name val="WenQuanYi Zen Hei"/>
      <family val="2"/>
    </font>
    <font>
      <sz val="10"/>
      <name val="Meiryo UI"/>
      <family val="0"/>
      <charset val="1"/>
    </font>
    <font>
      <b val="true"/>
      <sz val="10"/>
      <name val="WenQuanYi Zen Hei"/>
      <family val="2"/>
    </font>
    <font>
      <b val="true"/>
      <sz val="10"/>
      <name val="Meiryo UI"/>
      <family val="0"/>
      <charset val="1"/>
    </font>
    <font>
      <sz val="9"/>
      <color rgb="FF7F7F7F"/>
      <name val="Meiryo UI"/>
      <family val="0"/>
      <charset val="1"/>
    </font>
    <font>
      <b val="true"/>
      <sz val="9"/>
      <color rgb="FF404040"/>
      <name val="WenQuanYi Zen Hei"/>
      <family val="2"/>
    </font>
    <font>
      <sz val="9"/>
      <color rgb="FF595959"/>
      <name val="Meiryo UI"/>
      <family val="0"/>
      <charset val="1"/>
    </font>
    <font>
      <b val="true"/>
      <sz val="10"/>
      <color rgb="FF000000"/>
      <name val="WenQuanYi Zen Hei"/>
      <family val="2"/>
    </font>
    <font>
      <b val="true"/>
      <sz val="8.8"/>
      <color theme="1"/>
      <name val="WenQuanYi Zen Hei"/>
      <family val="2"/>
    </font>
    <font>
      <b val="true"/>
      <sz val="8.8"/>
      <color theme="1"/>
      <name val="MS PGothic"/>
      <family val="3"/>
      <charset val="1"/>
    </font>
    <font>
      <sz val="8.8"/>
      <color theme="1"/>
      <name val="MS PGothic"/>
      <family val="3"/>
      <charset val="1"/>
    </font>
    <font>
      <sz val="8.8"/>
      <color theme="1"/>
      <name val="WenQuanYi Zen He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DE7F6"/>
      </patternFill>
    </fill>
    <fill>
      <patternFill patternType="solid">
        <fgColor rgb="FFFCE4D6"/>
        <bgColor rgb="FFEDE7F6"/>
      </patternFill>
    </fill>
    <fill>
      <patternFill patternType="solid">
        <fgColor rgb="FFE2EFDA"/>
        <bgColor rgb="FFDDEBF7"/>
      </patternFill>
    </fill>
    <fill>
      <patternFill patternType="solid">
        <fgColor rgb="FFEDE7F6"/>
        <bgColor rgb="FFF2F2F2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DE7F6"/>
      </patternFill>
    </fill>
    <fill>
      <patternFill patternType="solid">
        <fgColor rgb="FFCCCCFF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CCFFCC"/>
        <bgColor rgb="FFE2EFDA"/>
      </patternFill>
    </fill>
    <fill>
      <patternFill patternType="solid">
        <fgColor rgb="FFFFCCCC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CE4D6"/>
      <rgbColor rgb="FFD9D9D9"/>
      <rgbColor rgb="FFEDE7F6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4" hidden="false" customHeight="true" outlineLevel="0" collapsed="false">
      <c r="A5" s="4" t="s">
        <v>12</v>
      </c>
      <c r="B5" s="5" t="n">
        <v>11</v>
      </c>
      <c r="C5" s="6" t="n">
        <f aca="false">店舗別明細!E16</f>
        <v>8874005</v>
      </c>
      <c r="D5" s="7" t="n">
        <f aca="false">IF($C$9=0,"-",C5/$C$9)</f>
        <v>0.358959003296726</v>
      </c>
      <c r="E5" s="6" t="n">
        <f aca="false">店舗別明細!F16</f>
        <v>42800000</v>
      </c>
      <c r="F5" s="7" t="n">
        <f aca="false">IF(E5=0,"-",C5/E5)</f>
        <v>0.207336565420561</v>
      </c>
      <c r="G5" s="6" t="n">
        <f aca="false">C5-E5</f>
        <v>-33925995</v>
      </c>
      <c r="H5" s="6" t="n">
        <f aca="false">店舗別明細!I16</f>
        <v>38987668</v>
      </c>
      <c r="I5" s="7" t="n">
        <f aca="false">IF(H5=0,"-",C5/H5)</f>
        <v>0.227610561370329</v>
      </c>
      <c r="J5" s="6" t="n">
        <f aca="false">C5-H5</f>
        <v>-30113663</v>
      </c>
    </row>
    <row r="6" customFormat="false" ht="24" hidden="false" customHeight="true" outlineLevel="0" collapsed="false">
      <c r="A6" s="8" t="s">
        <v>13</v>
      </c>
      <c r="B6" s="5" t="n">
        <v>23</v>
      </c>
      <c r="C6" s="6" t="n">
        <f aca="false">店舗別明細!E40</f>
        <v>11150262</v>
      </c>
      <c r="D6" s="7" t="n">
        <f aca="false">IF($C$9=0,"-",C6/$C$9)</f>
        <v>0.451035010011528</v>
      </c>
      <c r="E6" s="6" t="n">
        <f aca="false">店舗別明細!F40</f>
        <v>85888000</v>
      </c>
      <c r="F6" s="7" t="n">
        <f aca="false">IF(E6=0,"-",C6/E6)</f>
        <v>0.129823281482861</v>
      </c>
      <c r="G6" s="6" t="n">
        <f aca="false">C6-E6</f>
        <v>-74737738</v>
      </c>
      <c r="H6" s="6" t="n">
        <f aca="false">店舗別明細!I40</f>
        <v>78268222</v>
      </c>
      <c r="I6" s="7" t="n">
        <f aca="false">IF(H6=0,"-",C6/H6)</f>
        <v>0.142462185994208</v>
      </c>
      <c r="J6" s="6" t="n">
        <f aca="false">C6-H6</f>
        <v>-67117960</v>
      </c>
    </row>
    <row r="7" customFormat="false" ht="24" hidden="false" customHeight="true" outlineLevel="0" collapsed="false">
      <c r="A7" s="9" t="s">
        <v>14</v>
      </c>
      <c r="B7" s="5" t="n">
        <v>4</v>
      </c>
      <c r="C7" s="6" t="n">
        <f aca="false">店舗別明細!E45</f>
        <v>1026732</v>
      </c>
      <c r="D7" s="7" t="n">
        <f aca="false">IF($C$9=0,"-",C7/$C$9)</f>
        <v>0.0415319458770706</v>
      </c>
      <c r="E7" s="6" t="n">
        <f aca="false">店舗別明細!F45</f>
        <v>11700000</v>
      </c>
      <c r="F7" s="7" t="n">
        <f aca="false">IF(E7=0,"-",C7/E7)</f>
        <v>0.0877548717948718</v>
      </c>
      <c r="G7" s="6" t="n">
        <f aca="false">C7-E7</f>
        <v>-10673268</v>
      </c>
      <c r="H7" s="6" t="n">
        <f aca="false">店舗別明細!I45</f>
        <v>12271253</v>
      </c>
      <c r="I7" s="7" t="n">
        <f aca="false">IF(H7=0,"-",C7/H7)</f>
        <v>0.0836696953440696</v>
      </c>
      <c r="J7" s="6" t="n">
        <f aca="false">C7-H7</f>
        <v>-11244521</v>
      </c>
    </row>
    <row r="8" customFormat="false" ht="24" hidden="false" customHeight="true" outlineLevel="0" collapsed="false">
      <c r="A8" s="10" t="s">
        <v>15</v>
      </c>
      <c r="B8" s="5" t="n">
        <v>5</v>
      </c>
      <c r="C8" s="6" t="n">
        <f aca="false">店舗別明細!E51</f>
        <v>3670501</v>
      </c>
      <c r="D8" s="7" t="n">
        <f aca="false">IF($C$9=0,"-",C8/$C$9)</f>
        <v>0.148474040814676</v>
      </c>
      <c r="E8" s="6" t="n">
        <f aca="false">店舗別明細!F51</f>
        <v>24321000</v>
      </c>
      <c r="F8" s="7" t="n">
        <f aca="false">IF(E8=0,"-",C8/E8)</f>
        <v>0.150919000041117</v>
      </c>
      <c r="G8" s="6" t="n">
        <f aca="false">C8-E8</f>
        <v>-20650499</v>
      </c>
      <c r="H8" s="6" t="n">
        <f aca="false">店舗別明細!I51</f>
        <v>20612405</v>
      </c>
      <c r="I8" s="7" t="n">
        <f aca="false">IF(H8=0,"-",C8/H8)</f>
        <v>0.178072427744361</v>
      </c>
      <c r="J8" s="6" t="n">
        <f aca="false">C8-H8</f>
        <v>-16941904</v>
      </c>
    </row>
    <row r="9" customFormat="false" ht="24" hidden="false" customHeight="true" outlineLevel="0" collapsed="false">
      <c r="A9" s="11" t="s">
        <v>16</v>
      </c>
      <c r="B9" s="12" t="n">
        <f aca="false">SUM(B5:B8)</f>
        <v>43</v>
      </c>
      <c r="C9" s="13" t="n">
        <f aca="false">SUM(C5:C8)</f>
        <v>24721500</v>
      </c>
      <c r="D9" s="14" t="n">
        <f aca="false">IF($C$9=0,"-",C9/$C$9)</f>
        <v>1</v>
      </c>
      <c r="E9" s="13" t="n">
        <f aca="false">SUM(E5:E8)</f>
        <v>164709000</v>
      </c>
      <c r="F9" s="14" t="n">
        <f aca="false">IF(E9=0,"-",C9/E9)</f>
        <v>0.1500919804018</v>
      </c>
      <c r="G9" s="13" t="n">
        <f aca="false">C9-E9</f>
        <v>-139987500</v>
      </c>
      <c r="H9" s="13" t="n">
        <f aca="false">SUM(H5:H8)</f>
        <v>150139548</v>
      </c>
      <c r="I9" s="14" t="n">
        <f aca="false">IF(H9=0,"-",C9/H9)</f>
        <v>0.164656816470501</v>
      </c>
      <c r="J9" s="13" t="n">
        <f aca="false">C9-H9</f>
        <v>-125418048</v>
      </c>
    </row>
    <row r="11" customFormat="false" ht="15" hidden="false" customHeight="false" outlineLevel="0" collapsed="false">
      <c r="A11" s="15" t="s">
        <v>17</v>
      </c>
    </row>
    <row r="12" customFormat="false" ht="15" hidden="false" customHeight="false" outlineLevel="0" collapsed="false">
      <c r="A12" s="15" t="s">
        <v>18</v>
      </c>
    </row>
  </sheetData>
  <conditionalFormatting sqref="F5:F8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{FAD4BAFB-8066-45C3-B0F7-D4C648A9EAA7}</x14:id>
        </ext>
      </extLst>
    </cfRule>
  </conditionalFormatting>
  <conditionalFormatting sqref="I5:I8">
    <cfRule type="dataBar" priority="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{B21FBCD2-EBD1-419F-A314-5A34A08D4C69}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D4BAFB-8066-45C3-B0F7-D4C648A9EAA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F5:F8</xm:sqref>
        </x14:conditionalFormatting>
        <x14:conditionalFormatting xmlns:xm="http://schemas.microsoft.com/office/excel/2006/main">
          <x14:cfRule type="dataBar" id="{B21FBCD2-EBD1-419F-A314-5A34A08D4C6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I5:I8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</v>
      </c>
    </row>
    <row r="4" customFormat="false" ht="31.5" hidden="false" customHeight="true" outlineLevel="0" collapsed="false">
      <c r="A4" s="3" t="s">
        <v>2</v>
      </c>
      <c r="B4" s="3" t="s">
        <v>20</v>
      </c>
      <c r="C4" s="3" t="s">
        <v>21</v>
      </c>
      <c r="D4" s="3" t="s">
        <v>22</v>
      </c>
      <c r="E4" s="3" t="s">
        <v>4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customFormat="false" ht="18" hidden="false" customHeight="true" outlineLevel="0" collapsed="false">
      <c r="A5" s="16" t="s">
        <v>12</v>
      </c>
      <c r="B5" s="17" t="s">
        <v>23</v>
      </c>
      <c r="C5" s="18" t="s">
        <v>24</v>
      </c>
      <c r="D5" s="18" t="s">
        <v>12</v>
      </c>
      <c r="E5" s="19" t="n">
        <v>897774</v>
      </c>
      <c r="F5" s="19" t="n">
        <v>1200000</v>
      </c>
      <c r="G5" s="20" t="n">
        <f aca="false">IF(F5=0,"-",E5/F5)</f>
        <v>0.748145</v>
      </c>
      <c r="H5" s="19" t="n">
        <f aca="false">E5-F5</f>
        <v>-302226</v>
      </c>
      <c r="I5" s="19" t="n">
        <v>1184930</v>
      </c>
      <c r="J5" s="20" t="n">
        <f aca="false">IF(I5=0,"前年実績なし",E5/I5)</f>
        <v>0.757659946157157</v>
      </c>
      <c r="K5" s="19" t="n">
        <f aca="false">E5-I5</f>
        <v>-287156</v>
      </c>
    </row>
    <row r="6" customFormat="false" ht="18" hidden="false" customHeight="true" outlineLevel="0" collapsed="false">
      <c r="A6" s="16" t="s">
        <v>12</v>
      </c>
      <c r="B6" s="17" t="s">
        <v>25</v>
      </c>
      <c r="C6" s="18" t="s">
        <v>26</v>
      </c>
      <c r="D6" s="18" t="s">
        <v>12</v>
      </c>
      <c r="E6" s="19" t="n">
        <v>1942301</v>
      </c>
      <c r="F6" s="19" t="n">
        <v>3812000</v>
      </c>
      <c r="G6" s="20" t="n">
        <f aca="false">IF(F6=0,"-",E6/F6)</f>
        <v>0.509522822665268</v>
      </c>
      <c r="H6" s="19" t="n">
        <f aca="false">E6-F6</f>
        <v>-1869699</v>
      </c>
      <c r="I6" s="19" t="n">
        <v>3514950</v>
      </c>
      <c r="J6" s="20" t="n">
        <f aca="false">IF(I6=0,"前年実績なし",E6/I6)</f>
        <v>0.552582824791249</v>
      </c>
      <c r="K6" s="19" t="n">
        <f aca="false">E6-I6</f>
        <v>-1572649</v>
      </c>
    </row>
    <row r="7" customFormat="false" ht="18" hidden="false" customHeight="true" outlineLevel="0" collapsed="false">
      <c r="A7" s="16" t="s">
        <v>12</v>
      </c>
      <c r="B7" s="17" t="s">
        <v>27</v>
      </c>
      <c r="C7" s="18" t="s">
        <v>28</v>
      </c>
      <c r="D7" s="18" t="s">
        <v>12</v>
      </c>
      <c r="E7" s="19" t="n">
        <v>1202200</v>
      </c>
      <c r="F7" s="19" t="n">
        <v>3958000</v>
      </c>
      <c r="G7" s="20" t="n">
        <f aca="false">IF(F7=0,"-",E7/F7)</f>
        <v>0.303739262253664</v>
      </c>
      <c r="H7" s="19" t="n">
        <f aca="false">E7-F7</f>
        <v>-2755800</v>
      </c>
      <c r="I7" s="19" t="n">
        <v>3803490</v>
      </c>
      <c r="J7" s="20" t="n">
        <f aca="false">IF(I7=0,"前年実績なし",E7/I7)</f>
        <v>0.316078128245375</v>
      </c>
      <c r="K7" s="19" t="n">
        <f aca="false">E7-I7</f>
        <v>-2601290</v>
      </c>
    </row>
    <row r="8" customFormat="false" ht="18" hidden="false" customHeight="true" outlineLevel="0" collapsed="false">
      <c r="A8" s="16" t="s">
        <v>12</v>
      </c>
      <c r="B8" s="17" t="s">
        <v>29</v>
      </c>
      <c r="C8" s="18" t="s">
        <v>30</v>
      </c>
      <c r="D8" s="18" t="s">
        <v>12</v>
      </c>
      <c r="E8" s="19" t="n">
        <v>856826</v>
      </c>
      <c r="F8" s="19" t="n">
        <v>2900000</v>
      </c>
      <c r="G8" s="20" t="n">
        <f aca="false">IF(F8=0,"-",E8/F8)</f>
        <v>0.29545724137931</v>
      </c>
      <c r="H8" s="19" t="n">
        <f aca="false">E8-F8</f>
        <v>-2043174</v>
      </c>
      <c r="I8" s="19" t="n">
        <v>2769045</v>
      </c>
      <c r="J8" s="20" t="n">
        <f aca="false">IF(I8=0,"前年実績なし",E8/I8)</f>
        <v>0.30943014649455</v>
      </c>
      <c r="K8" s="19" t="n">
        <f aca="false">E8-I8</f>
        <v>-1912219</v>
      </c>
    </row>
    <row r="9" customFormat="false" ht="18" hidden="false" customHeight="true" outlineLevel="0" collapsed="false">
      <c r="A9" s="16" t="s">
        <v>12</v>
      </c>
      <c r="B9" s="17" t="s">
        <v>31</v>
      </c>
      <c r="C9" s="18" t="s">
        <v>32</v>
      </c>
      <c r="D9" s="18" t="s">
        <v>12</v>
      </c>
      <c r="E9" s="19" t="n">
        <v>1650946</v>
      </c>
      <c r="F9" s="19" t="n">
        <v>6591000</v>
      </c>
      <c r="G9" s="20" t="n">
        <f aca="false">IF(F9=0,"-",E9/F9)</f>
        <v>0.250484903656501</v>
      </c>
      <c r="H9" s="19" t="n">
        <f aca="false">E9-F9</f>
        <v>-4940054</v>
      </c>
      <c r="I9" s="19" t="n">
        <v>4992300</v>
      </c>
      <c r="J9" s="20" t="n">
        <f aca="false">IF(I9=0,"前年実績なし",E9/I9)</f>
        <v>0.330698475652505</v>
      </c>
      <c r="K9" s="19" t="n">
        <f aca="false">E9-I9</f>
        <v>-3341354</v>
      </c>
    </row>
    <row r="10" customFormat="false" ht="18" hidden="false" customHeight="true" outlineLevel="0" collapsed="false">
      <c r="A10" s="16" t="s">
        <v>12</v>
      </c>
      <c r="B10" s="17" t="s">
        <v>33</v>
      </c>
      <c r="C10" s="18" t="s">
        <v>34</v>
      </c>
      <c r="D10" s="18" t="s">
        <v>12</v>
      </c>
      <c r="E10" s="19" t="n">
        <v>898194</v>
      </c>
      <c r="F10" s="19" t="n">
        <v>4782000</v>
      </c>
      <c r="G10" s="20" t="n">
        <f aca="false">IF(F10=0,"-",E10/F10)</f>
        <v>0.187828105395232</v>
      </c>
      <c r="H10" s="19" t="n">
        <f aca="false">E10-F10</f>
        <v>-3883806</v>
      </c>
      <c r="I10" s="19" t="n">
        <v>4451408</v>
      </c>
      <c r="J10" s="20" t="n">
        <f aca="false">IF(I10=0,"前年実績なし",E10/I10)</f>
        <v>0.201777505005158</v>
      </c>
      <c r="K10" s="19" t="n">
        <f aca="false">E10-I10</f>
        <v>-3553214</v>
      </c>
    </row>
    <row r="11" customFormat="false" ht="18" hidden="false" customHeight="true" outlineLevel="0" collapsed="false">
      <c r="A11" s="16" t="s">
        <v>12</v>
      </c>
      <c r="B11" s="17" t="s">
        <v>35</v>
      </c>
      <c r="C11" s="18" t="s">
        <v>36</v>
      </c>
      <c r="D11" s="18" t="s">
        <v>12</v>
      </c>
      <c r="E11" s="19" t="n">
        <v>371528</v>
      </c>
      <c r="F11" s="19" t="n">
        <v>2180000</v>
      </c>
      <c r="G11" s="20" t="n">
        <f aca="false">IF(F11=0,"-",E11/F11)</f>
        <v>0.170425688073395</v>
      </c>
      <c r="H11" s="19" t="n">
        <f aca="false">E11-F11</f>
        <v>-1808472</v>
      </c>
      <c r="I11" s="19" t="n">
        <v>1807900</v>
      </c>
      <c r="J11" s="20" t="n">
        <f aca="false">IF(I11=0,"前年実績なし",E11/I11)</f>
        <v>0.20550251673212</v>
      </c>
      <c r="K11" s="19" t="n">
        <f aca="false">E11-I11</f>
        <v>-1436372</v>
      </c>
    </row>
    <row r="12" customFormat="false" ht="18" hidden="false" customHeight="true" outlineLevel="0" collapsed="false">
      <c r="A12" s="16" t="s">
        <v>12</v>
      </c>
      <c r="B12" s="17" t="s">
        <v>37</v>
      </c>
      <c r="C12" s="18" t="s">
        <v>38</v>
      </c>
      <c r="D12" s="18" t="s">
        <v>12</v>
      </c>
      <c r="E12" s="19" t="n">
        <v>212253</v>
      </c>
      <c r="F12" s="19" t="n">
        <v>1470000</v>
      </c>
      <c r="G12" s="20" t="n">
        <f aca="false">IF(F12=0,"-",E12/F12)</f>
        <v>0.144389795918367</v>
      </c>
      <c r="H12" s="19" t="n">
        <f aca="false">E12-F12</f>
        <v>-1257747</v>
      </c>
      <c r="I12" s="19" t="n">
        <v>1293200</v>
      </c>
      <c r="J12" s="20" t="n">
        <f aca="false">IF(I12=0,"前年実績なし",E12/I12)</f>
        <v>0.16413006495515</v>
      </c>
      <c r="K12" s="19" t="n">
        <f aca="false">E12-I12</f>
        <v>-1080947</v>
      </c>
    </row>
    <row r="13" customFormat="false" ht="18" hidden="false" customHeight="true" outlineLevel="0" collapsed="false">
      <c r="A13" s="16" t="s">
        <v>12</v>
      </c>
      <c r="B13" s="17" t="s">
        <v>39</v>
      </c>
      <c r="C13" s="18" t="s">
        <v>40</v>
      </c>
      <c r="D13" s="18" t="s">
        <v>12</v>
      </c>
      <c r="E13" s="19" t="n">
        <v>526863</v>
      </c>
      <c r="F13" s="19" t="n">
        <v>4457000</v>
      </c>
      <c r="G13" s="20" t="n">
        <f aca="false">IF(F13=0,"-",E13/F13)</f>
        <v>0.118210231097151</v>
      </c>
      <c r="H13" s="19" t="n">
        <f aca="false">E13-F13</f>
        <v>-3930137</v>
      </c>
      <c r="I13" s="19" t="n">
        <v>4363100</v>
      </c>
      <c r="J13" s="20" t="n">
        <f aca="false">IF(I13=0,"前年実績なし",E13/I13)</f>
        <v>0.12075428021361</v>
      </c>
      <c r="K13" s="19" t="n">
        <f aca="false">E13-I13</f>
        <v>-3836237</v>
      </c>
    </row>
    <row r="14" customFormat="false" ht="18" hidden="false" customHeight="true" outlineLevel="0" collapsed="false">
      <c r="A14" s="16" t="s">
        <v>12</v>
      </c>
      <c r="B14" s="17" t="s">
        <v>41</v>
      </c>
      <c r="C14" s="18" t="s">
        <v>42</v>
      </c>
      <c r="D14" s="18" t="s">
        <v>12</v>
      </c>
      <c r="E14" s="19" t="n">
        <v>132320</v>
      </c>
      <c r="F14" s="19" t="n">
        <v>3050000</v>
      </c>
      <c r="G14" s="20" t="n">
        <f aca="false">IF(F14=0,"-",E14/F14)</f>
        <v>0.0433836065573771</v>
      </c>
      <c r="H14" s="19" t="n">
        <f aca="false">E14-F14</f>
        <v>-2917680</v>
      </c>
      <c r="I14" s="19" t="n">
        <v>2677580</v>
      </c>
      <c r="J14" s="20" t="n">
        <f aca="false">IF(I14=0,"前年実績なし",E14/I14)</f>
        <v>0.0494177578260967</v>
      </c>
      <c r="K14" s="19" t="n">
        <f aca="false">E14-I14</f>
        <v>-2545260</v>
      </c>
    </row>
    <row r="15" customFormat="false" ht="18" hidden="false" customHeight="true" outlineLevel="0" collapsed="false">
      <c r="A15" s="16" t="s">
        <v>12</v>
      </c>
      <c r="B15" s="17" t="s">
        <v>43</v>
      </c>
      <c r="C15" s="18" t="s">
        <v>44</v>
      </c>
      <c r="D15" s="18" t="s">
        <v>12</v>
      </c>
      <c r="E15" s="19" t="n">
        <v>182800</v>
      </c>
      <c r="F15" s="19" t="n">
        <v>8400000</v>
      </c>
      <c r="G15" s="20" t="n">
        <f aca="false">IF(F15=0,"-",E15/F15)</f>
        <v>0.0217619047619048</v>
      </c>
      <c r="H15" s="19" t="n">
        <f aca="false">E15-F15</f>
        <v>-8217200</v>
      </c>
      <c r="I15" s="19" t="n">
        <v>8129765</v>
      </c>
      <c r="J15" s="20" t="n">
        <f aca="false">IF(I15=0,"前年実績なし",E15/I15)</f>
        <v>0.0224852747896157</v>
      </c>
      <c r="K15" s="19" t="n">
        <f aca="false">E15-I15</f>
        <v>-7946965</v>
      </c>
    </row>
    <row r="16" customFormat="false" ht="18" hidden="false" customHeight="true" outlineLevel="0" collapsed="false">
      <c r="A16" s="21" t="s">
        <v>45</v>
      </c>
      <c r="B16" s="21"/>
      <c r="C16" s="21"/>
      <c r="D16" s="21"/>
      <c r="E16" s="22" t="n">
        <f aca="false">SUBTOTAL(9,E5:E15)</f>
        <v>8874005</v>
      </c>
      <c r="F16" s="22" t="n">
        <f aca="false">SUBTOTAL(9,F5:F15)</f>
        <v>42800000</v>
      </c>
      <c r="G16" s="23" t="n">
        <f aca="false">IF(F16=0,"-",E16/F16)</f>
        <v>0.207336565420561</v>
      </c>
      <c r="H16" s="22" t="n">
        <f aca="false">E16-F16</f>
        <v>-33925995</v>
      </c>
      <c r="I16" s="22" t="n">
        <f aca="false">SUBTOTAL(9,I5:I15)</f>
        <v>38987668</v>
      </c>
      <c r="J16" s="23" t="n">
        <f aca="false">IF(I16=0,"-",E16/I16)</f>
        <v>0.227610561370329</v>
      </c>
      <c r="K16" s="22" t="n">
        <f aca="false">E16-I16</f>
        <v>-30113663</v>
      </c>
    </row>
    <row r="17" customFormat="false" ht="18" hidden="false" customHeight="true" outlineLevel="0" collapsed="false">
      <c r="A17" s="24" t="s">
        <v>13</v>
      </c>
      <c r="B17" s="17" t="s">
        <v>46</v>
      </c>
      <c r="C17" s="18" t="s">
        <v>32</v>
      </c>
      <c r="D17" s="18" t="s">
        <v>47</v>
      </c>
      <c r="E17" s="19" t="n">
        <v>1262854</v>
      </c>
      <c r="F17" s="19" t="n">
        <v>5370000</v>
      </c>
      <c r="G17" s="20" t="n">
        <f aca="false">IF(F17=0,"-",E17/F17)</f>
        <v>0.23516834264432</v>
      </c>
      <c r="H17" s="19" t="n">
        <f aca="false">E17-F17</f>
        <v>-4107146</v>
      </c>
      <c r="I17" s="19" t="n">
        <v>4965460</v>
      </c>
      <c r="J17" s="20" t="n">
        <f aca="false">IF(I17=0,"前年実績なし",E17/I17)</f>
        <v>0.254327695722048</v>
      </c>
      <c r="K17" s="19" t="n">
        <f aca="false">E17-I17</f>
        <v>-3702606</v>
      </c>
    </row>
    <row r="18" customFormat="false" ht="18" hidden="false" customHeight="true" outlineLevel="0" collapsed="false">
      <c r="A18" s="24" t="s">
        <v>13</v>
      </c>
      <c r="B18" s="17" t="s">
        <v>48</v>
      </c>
      <c r="C18" s="18" t="s">
        <v>49</v>
      </c>
      <c r="D18" s="18" t="s">
        <v>47</v>
      </c>
      <c r="E18" s="19" t="n">
        <v>419700</v>
      </c>
      <c r="F18" s="19" t="n">
        <v>2100000</v>
      </c>
      <c r="G18" s="20" t="n">
        <f aca="false">IF(F18=0,"-",E18/F18)</f>
        <v>0.199857142857143</v>
      </c>
      <c r="H18" s="19" t="n">
        <f aca="false">E18-F18</f>
        <v>-1680300</v>
      </c>
      <c r="I18" s="19" t="n">
        <v>1953490</v>
      </c>
      <c r="J18" s="20" t="n">
        <f aca="false">IF(I18=0,"前年実績なし",E18/I18)</f>
        <v>0.214846249532887</v>
      </c>
      <c r="K18" s="19" t="n">
        <f aca="false">E18-I18</f>
        <v>-1533790</v>
      </c>
    </row>
    <row r="19" customFormat="false" ht="18" hidden="false" customHeight="true" outlineLevel="0" collapsed="false">
      <c r="A19" s="24" t="s">
        <v>13</v>
      </c>
      <c r="B19" s="17" t="s">
        <v>50</v>
      </c>
      <c r="C19" s="18" t="s">
        <v>51</v>
      </c>
      <c r="D19" s="18" t="s">
        <v>52</v>
      </c>
      <c r="E19" s="19" t="n">
        <v>507400</v>
      </c>
      <c r="F19" s="19" t="n">
        <v>2600000</v>
      </c>
      <c r="G19" s="20" t="n">
        <f aca="false">IF(F19=0,"-",E19/F19)</f>
        <v>0.195153846153846</v>
      </c>
      <c r="H19" s="19" t="n">
        <f aca="false">E19-F19</f>
        <v>-2092600</v>
      </c>
      <c r="I19" s="19" t="n">
        <v>1796500</v>
      </c>
      <c r="J19" s="20" t="n">
        <f aca="false">IF(I19=0,"前年実績なし",E19/I19)</f>
        <v>0.282438074032842</v>
      </c>
      <c r="K19" s="19" t="n">
        <f aca="false">E19-I19</f>
        <v>-1289100</v>
      </c>
    </row>
    <row r="20" customFormat="false" ht="18" hidden="false" customHeight="true" outlineLevel="0" collapsed="false">
      <c r="A20" s="24" t="s">
        <v>13</v>
      </c>
      <c r="B20" s="17" t="s">
        <v>53</v>
      </c>
      <c r="C20" s="18" t="s">
        <v>54</v>
      </c>
      <c r="D20" s="18" t="s">
        <v>47</v>
      </c>
      <c r="E20" s="19" t="n">
        <v>241380</v>
      </c>
      <c r="F20" s="19" t="n">
        <v>1250000</v>
      </c>
      <c r="G20" s="20" t="n">
        <f aca="false">IF(F20=0,"-",E20/F20)</f>
        <v>0.193104</v>
      </c>
      <c r="H20" s="19" t="n">
        <f aca="false">E20-F20</f>
        <v>-1008620</v>
      </c>
      <c r="I20" s="19" t="n">
        <v>997950</v>
      </c>
      <c r="J20" s="20" t="n">
        <f aca="false">IF(I20=0,"前年実績なし",E20/I20)</f>
        <v>0.241875845483241</v>
      </c>
      <c r="K20" s="19" t="n">
        <f aca="false">E20-I20</f>
        <v>-756570</v>
      </c>
    </row>
    <row r="21" customFormat="false" ht="18" hidden="false" customHeight="true" outlineLevel="0" collapsed="false">
      <c r="A21" s="24" t="s">
        <v>13</v>
      </c>
      <c r="B21" s="17" t="s">
        <v>55</v>
      </c>
      <c r="C21" s="18" t="s">
        <v>24</v>
      </c>
      <c r="D21" s="18" t="s">
        <v>47</v>
      </c>
      <c r="E21" s="19" t="n">
        <v>776168</v>
      </c>
      <c r="F21" s="19" t="n">
        <v>4050000</v>
      </c>
      <c r="G21" s="20" t="n">
        <f aca="false">IF(F21=0,"-",E21/F21)</f>
        <v>0.191646419753086</v>
      </c>
      <c r="H21" s="19" t="n">
        <f aca="false">E21-F21</f>
        <v>-3273832</v>
      </c>
      <c r="I21" s="19" t="n">
        <v>3884330</v>
      </c>
      <c r="J21" s="20" t="n">
        <f aca="false">IF(I21=0,"前年実績なし",E21/I21)</f>
        <v>0.199820303630227</v>
      </c>
      <c r="K21" s="19" t="n">
        <f aca="false">E21-I21</f>
        <v>-3108162</v>
      </c>
    </row>
    <row r="22" customFormat="false" ht="18" hidden="false" customHeight="true" outlineLevel="0" collapsed="false">
      <c r="A22" s="24" t="s">
        <v>13</v>
      </c>
      <c r="B22" s="17" t="s">
        <v>56</v>
      </c>
      <c r="C22" s="18" t="s">
        <v>57</v>
      </c>
      <c r="D22" s="18" t="s">
        <v>47</v>
      </c>
      <c r="E22" s="19" t="n">
        <v>521900</v>
      </c>
      <c r="F22" s="19" t="n">
        <v>2830000</v>
      </c>
      <c r="G22" s="20" t="n">
        <f aca="false">IF(F22=0,"-",E22/F22)</f>
        <v>0.184416961130742</v>
      </c>
      <c r="H22" s="19" t="n">
        <f aca="false">E22-F22</f>
        <v>-2308100</v>
      </c>
      <c r="I22" s="19" t="n">
        <v>2230000</v>
      </c>
      <c r="J22" s="20" t="n">
        <f aca="false">IF(I22=0,"前年実績なし",E22/I22)</f>
        <v>0.234035874439462</v>
      </c>
      <c r="K22" s="19" t="n">
        <f aca="false">E22-I22</f>
        <v>-1708100</v>
      </c>
    </row>
    <row r="23" customFormat="false" ht="18" hidden="false" customHeight="true" outlineLevel="0" collapsed="false">
      <c r="A23" s="24" t="s">
        <v>13</v>
      </c>
      <c r="B23" s="17" t="s">
        <v>58</v>
      </c>
      <c r="C23" s="18" t="s">
        <v>36</v>
      </c>
      <c r="D23" s="18" t="s">
        <v>47</v>
      </c>
      <c r="E23" s="19" t="n">
        <v>920100</v>
      </c>
      <c r="F23" s="19" t="n">
        <v>5100000</v>
      </c>
      <c r="G23" s="20" t="n">
        <f aca="false">IF(F23=0,"-",E23/F23)</f>
        <v>0.180411764705882</v>
      </c>
      <c r="H23" s="19" t="n">
        <f aca="false">E23-F23</f>
        <v>-4179900</v>
      </c>
      <c r="I23" s="19" t="n">
        <v>4342490</v>
      </c>
      <c r="J23" s="20" t="n">
        <f aca="false">IF(I23=0,"前年実績なし",E23/I23)</f>
        <v>0.211883044059975</v>
      </c>
      <c r="K23" s="19" t="n">
        <f aca="false">E23-I23</f>
        <v>-3422390</v>
      </c>
    </row>
    <row r="24" customFormat="false" ht="18" hidden="false" customHeight="true" outlineLevel="0" collapsed="false">
      <c r="A24" s="24" t="s">
        <v>13</v>
      </c>
      <c r="B24" s="17" t="s">
        <v>59</v>
      </c>
      <c r="C24" s="18" t="s">
        <v>60</v>
      </c>
      <c r="D24" s="18" t="s">
        <v>47</v>
      </c>
      <c r="E24" s="19" t="n">
        <v>691454</v>
      </c>
      <c r="F24" s="19" t="n">
        <v>3940000</v>
      </c>
      <c r="G24" s="20" t="n">
        <f aca="false">IF(F24=0,"-",E24/F24)</f>
        <v>0.175495939086294</v>
      </c>
      <c r="H24" s="19" t="n">
        <f aca="false">E24-F24</f>
        <v>-3248546</v>
      </c>
      <c r="I24" s="19" t="n">
        <v>3597695</v>
      </c>
      <c r="J24" s="20" t="n">
        <f aca="false">IF(I24=0,"前年実績なし",E24/I24)</f>
        <v>0.192193612854897</v>
      </c>
      <c r="K24" s="19" t="n">
        <f aca="false">E24-I24</f>
        <v>-2906241</v>
      </c>
    </row>
    <row r="25" customFormat="false" ht="18" hidden="false" customHeight="true" outlineLevel="0" collapsed="false">
      <c r="A25" s="24" t="s">
        <v>13</v>
      </c>
      <c r="B25" s="17" t="s">
        <v>61</v>
      </c>
      <c r="C25" s="18" t="s">
        <v>62</v>
      </c>
      <c r="D25" s="18" t="s">
        <v>52</v>
      </c>
      <c r="E25" s="19" t="n">
        <v>721272</v>
      </c>
      <c r="F25" s="19" t="n">
        <v>4200000</v>
      </c>
      <c r="G25" s="20" t="n">
        <f aca="false">IF(F25=0,"-",E25/F25)</f>
        <v>0.171731428571429</v>
      </c>
      <c r="H25" s="19" t="n">
        <f aca="false">E25-F25</f>
        <v>-3478728</v>
      </c>
      <c r="I25" s="19" t="n">
        <v>4050580</v>
      </c>
      <c r="J25" s="20" t="n">
        <f aca="false">IF(I25=0,"前年実績なし",E25/I25)</f>
        <v>0.17806635099171</v>
      </c>
      <c r="K25" s="19" t="n">
        <f aca="false">E25-I25</f>
        <v>-3329308</v>
      </c>
    </row>
    <row r="26" customFormat="false" ht="18" hidden="false" customHeight="true" outlineLevel="0" collapsed="false">
      <c r="A26" s="24" t="s">
        <v>13</v>
      </c>
      <c r="B26" s="17" t="s">
        <v>63</v>
      </c>
      <c r="C26" s="18" t="s">
        <v>64</v>
      </c>
      <c r="D26" s="18" t="s">
        <v>47</v>
      </c>
      <c r="E26" s="19" t="n">
        <v>492100</v>
      </c>
      <c r="F26" s="19" t="n">
        <v>2900000</v>
      </c>
      <c r="G26" s="20" t="n">
        <f aca="false">IF(F26=0,"-",E26/F26)</f>
        <v>0.169689655172414</v>
      </c>
      <c r="H26" s="19" t="n">
        <f aca="false">E26-F26</f>
        <v>-2407900</v>
      </c>
      <c r="I26" s="19" t="n">
        <v>2327950</v>
      </c>
      <c r="J26" s="20" t="n">
        <f aca="false">IF(I26=0,"前年実績なし",E26/I26)</f>
        <v>0.211387701625894</v>
      </c>
      <c r="K26" s="19" t="n">
        <f aca="false">E26-I26</f>
        <v>-1835850</v>
      </c>
    </row>
    <row r="27" customFormat="false" ht="18" hidden="false" customHeight="true" outlineLevel="0" collapsed="false">
      <c r="A27" s="24" t="s">
        <v>13</v>
      </c>
      <c r="B27" s="17" t="s">
        <v>65</v>
      </c>
      <c r="C27" s="18" t="s">
        <v>66</v>
      </c>
      <c r="D27" s="18" t="s">
        <v>47</v>
      </c>
      <c r="E27" s="19" t="n">
        <v>414000</v>
      </c>
      <c r="F27" s="19" t="n">
        <v>2650000</v>
      </c>
      <c r="G27" s="20" t="n">
        <f aca="false">IF(F27=0,"-",E27/F27)</f>
        <v>0.15622641509434</v>
      </c>
      <c r="H27" s="19" t="n">
        <f aca="false">E27-F27</f>
        <v>-2236000</v>
      </c>
      <c r="I27" s="19" t="n">
        <v>2438700</v>
      </c>
      <c r="J27" s="20" t="n">
        <f aca="false">IF(I27=0,"前年実績なし",E27/I27)</f>
        <v>0.16976257842293</v>
      </c>
      <c r="K27" s="19" t="n">
        <f aca="false">E27-I27</f>
        <v>-2024700</v>
      </c>
    </row>
    <row r="28" customFormat="false" ht="18" hidden="false" customHeight="true" outlineLevel="0" collapsed="false">
      <c r="A28" s="24" t="s">
        <v>13</v>
      </c>
      <c r="B28" s="17" t="s">
        <v>67</v>
      </c>
      <c r="C28" s="18" t="s">
        <v>68</v>
      </c>
      <c r="D28" s="18" t="s">
        <v>47</v>
      </c>
      <c r="E28" s="19" t="n">
        <v>315700</v>
      </c>
      <c r="F28" s="19" t="n">
        <v>2280000</v>
      </c>
      <c r="G28" s="20" t="n">
        <f aca="false">IF(F28=0,"-",E28/F28)</f>
        <v>0.138464912280702</v>
      </c>
      <c r="H28" s="19" t="n">
        <f aca="false">E28-F28</f>
        <v>-1964300</v>
      </c>
      <c r="I28" s="19" t="n">
        <v>2014530</v>
      </c>
      <c r="J28" s="20" t="n">
        <f aca="false">IF(I28=0,"前年実績なし",E28/I28)</f>
        <v>0.156711491017756</v>
      </c>
      <c r="K28" s="19" t="n">
        <f aca="false">E28-I28</f>
        <v>-1698830</v>
      </c>
    </row>
    <row r="29" customFormat="false" ht="18" hidden="false" customHeight="true" outlineLevel="0" collapsed="false">
      <c r="A29" s="24" t="s">
        <v>13</v>
      </c>
      <c r="B29" s="17" t="s">
        <v>69</v>
      </c>
      <c r="C29" s="18" t="s">
        <v>70</v>
      </c>
      <c r="D29" s="18" t="s">
        <v>47</v>
      </c>
      <c r="E29" s="19" t="n">
        <v>255700</v>
      </c>
      <c r="F29" s="19" t="n">
        <v>1900000</v>
      </c>
      <c r="G29" s="20" t="n">
        <f aca="false">IF(F29=0,"-",E29/F29)</f>
        <v>0.134578947368421</v>
      </c>
      <c r="H29" s="19" t="n">
        <f aca="false">E29-F29</f>
        <v>-1644300</v>
      </c>
      <c r="I29" s="19" t="n">
        <v>1610700</v>
      </c>
      <c r="J29" s="20" t="n">
        <f aca="false">IF(I29=0,"前年実績なし",E29/I29)</f>
        <v>0.158750853666108</v>
      </c>
      <c r="K29" s="19" t="n">
        <f aca="false">E29-I29</f>
        <v>-1355000</v>
      </c>
    </row>
    <row r="30" customFormat="false" ht="18" hidden="false" customHeight="true" outlineLevel="0" collapsed="false">
      <c r="A30" s="24" t="s">
        <v>13</v>
      </c>
      <c r="B30" s="17" t="s">
        <v>71</v>
      </c>
      <c r="C30" s="18" t="s">
        <v>72</v>
      </c>
      <c r="D30" s="18" t="s">
        <v>47</v>
      </c>
      <c r="E30" s="19" t="n">
        <v>512090</v>
      </c>
      <c r="F30" s="19" t="n">
        <v>4100000</v>
      </c>
      <c r="G30" s="20" t="n">
        <f aca="false">IF(F30=0,"-",E30/F30)</f>
        <v>0.1249</v>
      </c>
      <c r="H30" s="19" t="n">
        <f aca="false">E30-F30</f>
        <v>-3587910</v>
      </c>
      <c r="I30" s="19" t="n">
        <v>4075700</v>
      </c>
      <c r="J30" s="20" t="n">
        <f aca="false">IF(I30=0,"前年実績なし",E30/I30)</f>
        <v>0.125644674534436</v>
      </c>
      <c r="K30" s="19" t="n">
        <f aca="false">E30-I30</f>
        <v>-3563610</v>
      </c>
    </row>
    <row r="31" customFormat="false" ht="18" hidden="false" customHeight="true" outlineLevel="0" collapsed="false">
      <c r="A31" s="24" t="s">
        <v>13</v>
      </c>
      <c r="B31" s="17" t="s">
        <v>73</v>
      </c>
      <c r="C31" s="18" t="s">
        <v>74</v>
      </c>
      <c r="D31" s="18" t="s">
        <v>52</v>
      </c>
      <c r="E31" s="19" t="n">
        <v>313800</v>
      </c>
      <c r="F31" s="19" t="n">
        <v>2600000</v>
      </c>
      <c r="G31" s="20" t="n">
        <f aca="false">IF(F31=0,"-",E31/F31)</f>
        <v>0.120692307692308</v>
      </c>
      <c r="H31" s="19" t="n">
        <f aca="false">E31-F31</f>
        <v>-2286200</v>
      </c>
      <c r="I31" s="19" t="n">
        <v>2629520</v>
      </c>
      <c r="J31" s="20" t="n">
        <f aca="false">IF(I31=0,"前年実績なし",E31/I31)</f>
        <v>0.119337369557942</v>
      </c>
      <c r="K31" s="19" t="n">
        <f aca="false">E31-I31</f>
        <v>-2315720</v>
      </c>
    </row>
    <row r="32" customFormat="false" ht="18" hidden="false" customHeight="true" outlineLevel="0" collapsed="false">
      <c r="A32" s="24" t="s">
        <v>13</v>
      </c>
      <c r="B32" s="17" t="s">
        <v>75</v>
      </c>
      <c r="C32" s="18" t="s">
        <v>76</v>
      </c>
      <c r="D32" s="18" t="s">
        <v>52</v>
      </c>
      <c r="E32" s="19" t="n">
        <v>506300</v>
      </c>
      <c r="F32" s="19" t="n">
        <v>4400000</v>
      </c>
      <c r="G32" s="20" t="n">
        <f aca="false">IF(F32=0,"-",E32/F32)</f>
        <v>0.115068181818182</v>
      </c>
      <c r="H32" s="19" t="n">
        <f aca="false">E32-F32</f>
        <v>-3893700</v>
      </c>
      <c r="I32" s="19" t="n">
        <v>4159145</v>
      </c>
      <c r="J32" s="20" t="n">
        <f aca="false">IF(I32=0,"前年実績なし",E32/I32)</f>
        <v>0.12173175015538</v>
      </c>
      <c r="K32" s="19" t="n">
        <f aca="false">E32-I32</f>
        <v>-3652845</v>
      </c>
    </row>
    <row r="33" customFormat="false" ht="18" hidden="false" customHeight="true" outlineLevel="0" collapsed="false">
      <c r="A33" s="24" t="s">
        <v>13</v>
      </c>
      <c r="B33" s="17" t="s">
        <v>77</v>
      </c>
      <c r="C33" s="18" t="s">
        <v>30</v>
      </c>
      <c r="D33" s="18" t="s">
        <v>47</v>
      </c>
      <c r="E33" s="19" t="n">
        <v>312500</v>
      </c>
      <c r="F33" s="19" t="n">
        <v>3100000</v>
      </c>
      <c r="G33" s="20" t="n">
        <f aca="false">IF(F33=0,"-",E33/F33)</f>
        <v>0.100806451612903</v>
      </c>
      <c r="H33" s="19" t="n">
        <f aca="false">E33-F33</f>
        <v>-2787500</v>
      </c>
      <c r="I33" s="19" t="n">
        <v>2923612</v>
      </c>
      <c r="J33" s="20" t="n">
        <f aca="false">IF(I33=0,"前年実績なし",E33/I33)</f>
        <v>0.106888328547016</v>
      </c>
      <c r="K33" s="19" t="n">
        <f aca="false">E33-I33</f>
        <v>-2611112</v>
      </c>
    </row>
    <row r="34" customFormat="false" ht="18" hidden="false" customHeight="true" outlineLevel="0" collapsed="false">
      <c r="A34" s="24" t="s">
        <v>13</v>
      </c>
      <c r="B34" s="17" t="s">
        <v>78</v>
      </c>
      <c r="C34" s="18" t="s">
        <v>79</v>
      </c>
      <c r="D34" s="18" t="s">
        <v>47</v>
      </c>
      <c r="E34" s="19" t="n">
        <v>304800</v>
      </c>
      <c r="F34" s="19" t="n">
        <v>3050000</v>
      </c>
      <c r="G34" s="20" t="n">
        <f aca="false">IF(F34=0,"-",E34/F34)</f>
        <v>0.0999344262295082</v>
      </c>
      <c r="H34" s="19" t="n">
        <f aca="false">E34-F34</f>
        <v>-2745200</v>
      </c>
      <c r="I34" s="19" t="n">
        <v>3027600</v>
      </c>
      <c r="J34" s="20" t="n">
        <f aca="false">IF(I34=0,"前年実績なし",E34/I34)</f>
        <v>0.100673801030519</v>
      </c>
      <c r="K34" s="19" t="n">
        <f aca="false">E34-I34</f>
        <v>-2722800</v>
      </c>
    </row>
    <row r="35" customFormat="false" ht="18" hidden="false" customHeight="true" outlineLevel="0" collapsed="false">
      <c r="A35" s="24" t="s">
        <v>13</v>
      </c>
      <c r="B35" s="17" t="s">
        <v>80</v>
      </c>
      <c r="C35" s="18" t="s">
        <v>81</v>
      </c>
      <c r="D35" s="18" t="s">
        <v>47</v>
      </c>
      <c r="E35" s="19" t="n">
        <v>644000</v>
      </c>
      <c r="F35" s="19" t="n">
        <v>6700000</v>
      </c>
      <c r="G35" s="20" t="n">
        <f aca="false">IF(F35=0,"-",E35/F35)</f>
        <v>0.0961194029850746</v>
      </c>
      <c r="H35" s="19" t="n">
        <f aca="false">E35-F35</f>
        <v>-6056000</v>
      </c>
      <c r="I35" s="19" t="n">
        <v>6535150</v>
      </c>
      <c r="J35" s="20" t="n">
        <f aca="false">IF(I35=0,"前年実績なし",E35/I35)</f>
        <v>0.0985440272985318</v>
      </c>
      <c r="K35" s="19" t="n">
        <f aca="false">E35-I35</f>
        <v>-5891150</v>
      </c>
    </row>
    <row r="36" customFormat="false" ht="18" hidden="false" customHeight="true" outlineLevel="0" collapsed="false">
      <c r="A36" s="24" t="s">
        <v>13</v>
      </c>
      <c r="B36" s="17" t="s">
        <v>82</v>
      </c>
      <c r="C36" s="18" t="s">
        <v>83</v>
      </c>
      <c r="D36" s="18" t="s">
        <v>47</v>
      </c>
      <c r="E36" s="19" t="n">
        <v>119200</v>
      </c>
      <c r="F36" s="19" t="n">
        <v>1700000</v>
      </c>
      <c r="G36" s="20" t="n">
        <f aca="false">IF(F36=0,"-",E36/F36)</f>
        <v>0.0701176470588235</v>
      </c>
      <c r="H36" s="19" t="n">
        <f aca="false">E36-F36</f>
        <v>-1580800</v>
      </c>
      <c r="I36" s="19" t="n">
        <v>0</v>
      </c>
      <c r="J36" s="25" t="str">
        <f aca="false">IF(I36=0,"前年実績なし",E36/I36)</f>
        <v>前年実績なし</v>
      </c>
      <c r="K36" s="19" t="n">
        <f aca="false">E36-I36</f>
        <v>119200</v>
      </c>
    </row>
    <row r="37" customFormat="false" ht="18" hidden="false" customHeight="true" outlineLevel="0" collapsed="false">
      <c r="A37" s="24" t="s">
        <v>13</v>
      </c>
      <c r="B37" s="17" t="s">
        <v>84</v>
      </c>
      <c r="C37" s="18" t="s">
        <v>85</v>
      </c>
      <c r="D37" s="18" t="s">
        <v>47</v>
      </c>
      <c r="E37" s="19" t="n">
        <v>151000</v>
      </c>
      <c r="F37" s="19" t="n">
        <v>2168000</v>
      </c>
      <c r="G37" s="20" t="n">
        <f aca="false">IF(F37=0,"-",E37/F37)</f>
        <v>0.0696494464944649</v>
      </c>
      <c r="H37" s="19" t="n">
        <f aca="false">E37-F37</f>
        <v>-2017000</v>
      </c>
      <c r="I37" s="19" t="n">
        <v>2059800</v>
      </c>
      <c r="J37" s="20" t="n">
        <f aca="false">IF(I37=0,"前年実績なし",E37/I37)</f>
        <v>0.0733080881638994</v>
      </c>
      <c r="K37" s="19" t="n">
        <f aca="false">E37-I37</f>
        <v>-1908800</v>
      </c>
    </row>
    <row r="38" customFormat="false" ht="18" hidden="false" customHeight="true" outlineLevel="0" collapsed="false">
      <c r="A38" s="24" t="s">
        <v>13</v>
      </c>
      <c r="B38" s="17" t="s">
        <v>86</v>
      </c>
      <c r="C38" s="18" t="s">
        <v>40</v>
      </c>
      <c r="D38" s="18" t="s">
        <v>47</v>
      </c>
      <c r="E38" s="19" t="n">
        <v>619544</v>
      </c>
      <c r="F38" s="19" t="n">
        <v>12000000</v>
      </c>
      <c r="G38" s="20" t="n">
        <f aca="false">IF(F38=0,"-",E38/F38)</f>
        <v>0.0516286666666667</v>
      </c>
      <c r="H38" s="19" t="n">
        <f aca="false">E38-F38</f>
        <v>-11380456</v>
      </c>
      <c r="I38" s="19" t="n">
        <v>11765100</v>
      </c>
      <c r="J38" s="20" t="n">
        <f aca="false">IF(I38=0,"前年実績なし",E38/I38)</f>
        <v>0.0526594759075571</v>
      </c>
      <c r="K38" s="19" t="n">
        <f aca="false">E38-I38</f>
        <v>-11145556</v>
      </c>
    </row>
    <row r="39" customFormat="false" ht="18" hidden="false" customHeight="true" outlineLevel="0" collapsed="false">
      <c r="A39" s="24" t="s">
        <v>13</v>
      </c>
      <c r="B39" s="17" t="s">
        <v>87</v>
      </c>
      <c r="C39" s="18" t="s">
        <v>28</v>
      </c>
      <c r="D39" s="18" t="s">
        <v>47</v>
      </c>
      <c r="E39" s="19" t="n">
        <v>127300</v>
      </c>
      <c r="F39" s="19" t="n">
        <v>4900000</v>
      </c>
      <c r="G39" s="20" t="n">
        <f aca="false">IF(F39=0,"-",E39/F39)</f>
        <v>0.0259795918367347</v>
      </c>
      <c r="H39" s="19" t="n">
        <f aca="false">E39-F39</f>
        <v>-4772700</v>
      </c>
      <c r="I39" s="19" t="n">
        <v>4882220</v>
      </c>
      <c r="J39" s="20" t="n">
        <f aca="false">IF(I39=0,"前年実績なし",E39/I39)</f>
        <v>0.0260742039482039</v>
      </c>
      <c r="K39" s="19" t="n">
        <f aca="false">E39-I39</f>
        <v>-4754920</v>
      </c>
    </row>
    <row r="40" customFormat="false" ht="18" hidden="false" customHeight="true" outlineLevel="0" collapsed="false">
      <c r="A40" s="21" t="s">
        <v>88</v>
      </c>
      <c r="B40" s="21"/>
      <c r="C40" s="21"/>
      <c r="D40" s="21"/>
      <c r="E40" s="22" t="n">
        <f aca="false">SUBTOTAL(9,E17:E39)</f>
        <v>11150262</v>
      </c>
      <c r="F40" s="22" t="n">
        <f aca="false">SUBTOTAL(9,F17:F39)</f>
        <v>85888000</v>
      </c>
      <c r="G40" s="23" t="n">
        <f aca="false">IF(F40=0,"-",E40/F40)</f>
        <v>0.129823281482861</v>
      </c>
      <c r="H40" s="22" t="n">
        <f aca="false">E40-F40</f>
        <v>-74737738</v>
      </c>
      <c r="I40" s="22" t="n">
        <f aca="false">SUBTOTAL(9,I17:I39)</f>
        <v>78268222</v>
      </c>
      <c r="J40" s="23" t="n">
        <f aca="false">IF(I40=0,"-",E40/I40)</f>
        <v>0.142462185994208</v>
      </c>
      <c r="K40" s="22" t="n">
        <f aca="false">E40-I40</f>
        <v>-67117960</v>
      </c>
    </row>
    <row r="41" customFormat="false" ht="18" hidden="false" customHeight="true" outlineLevel="0" collapsed="false">
      <c r="A41" s="26" t="s">
        <v>14</v>
      </c>
      <c r="B41" s="17" t="s">
        <v>89</v>
      </c>
      <c r="C41" s="18" t="s">
        <v>90</v>
      </c>
      <c r="D41" s="18" t="s">
        <v>14</v>
      </c>
      <c r="E41" s="19" t="n">
        <v>413000</v>
      </c>
      <c r="F41" s="19" t="n">
        <v>3650000</v>
      </c>
      <c r="G41" s="20" t="n">
        <f aca="false">IF(F41=0,"-",E41/F41)</f>
        <v>0.113150684931507</v>
      </c>
      <c r="H41" s="19" t="n">
        <f aca="false">E41-F41</f>
        <v>-3237000</v>
      </c>
      <c r="I41" s="19" t="n">
        <v>3418600</v>
      </c>
      <c r="J41" s="20" t="n">
        <f aca="false">IF(I41=0,"前年実績なし",E41/I41)</f>
        <v>0.120809688176447</v>
      </c>
      <c r="K41" s="19" t="n">
        <f aca="false">E41-I41</f>
        <v>-3005600</v>
      </c>
    </row>
    <row r="42" customFormat="false" ht="18" hidden="false" customHeight="true" outlineLevel="0" collapsed="false">
      <c r="A42" s="26" t="s">
        <v>14</v>
      </c>
      <c r="B42" s="17" t="s">
        <v>91</v>
      </c>
      <c r="C42" s="18" t="s">
        <v>92</v>
      </c>
      <c r="D42" s="18" t="s">
        <v>14</v>
      </c>
      <c r="E42" s="19" t="n">
        <v>147316</v>
      </c>
      <c r="F42" s="19" t="n">
        <v>1520000</v>
      </c>
      <c r="G42" s="20" t="n">
        <f aca="false">IF(F42=0,"-",E42/F42)</f>
        <v>0.0969184210526316</v>
      </c>
      <c r="H42" s="19" t="n">
        <f aca="false">E42-F42</f>
        <v>-1372684</v>
      </c>
      <c r="I42" s="19" t="n">
        <v>1451810</v>
      </c>
      <c r="J42" s="20" t="n">
        <f aca="false">IF(I42=0,"前年実績なし",E42/I42)</f>
        <v>0.101470578105951</v>
      </c>
      <c r="K42" s="19" t="n">
        <f aca="false">E42-I42</f>
        <v>-1304494</v>
      </c>
    </row>
    <row r="43" customFormat="false" ht="18" hidden="false" customHeight="true" outlineLevel="0" collapsed="false">
      <c r="A43" s="26" t="s">
        <v>14</v>
      </c>
      <c r="B43" s="17" t="s">
        <v>93</v>
      </c>
      <c r="C43" s="18" t="s">
        <v>94</v>
      </c>
      <c r="D43" s="18" t="s">
        <v>14</v>
      </c>
      <c r="E43" s="19" t="n">
        <v>263871</v>
      </c>
      <c r="F43" s="19" t="n">
        <v>3130000</v>
      </c>
      <c r="G43" s="20" t="n">
        <f aca="false">IF(F43=0,"-",E43/F43)</f>
        <v>0.0843038338658147</v>
      </c>
      <c r="H43" s="19" t="n">
        <f aca="false">E43-F43</f>
        <v>-2866129</v>
      </c>
      <c r="I43" s="19" t="n">
        <v>2850123</v>
      </c>
      <c r="J43" s="20" t="n">
        <f aca="false">IF(I43=0,"前年実績なし",E43/I43)</f>
        <v>0.092582320131447</v>
      </c>
      <c r="K43" s="19" t="n">
        <f aca="false">E43-I43</f>
        <v>-2586252</v>
      </c>
    </row>
    <row r="44" customFormat="false" ht="18" hidden="false" customHeight="true" outlineLevel="0" collapsed="false">
      <c r="A44" s="26" t="s">
        <v>14</v>
      </c>
      <c r="B44" s="17" t="s">
        <v>95</v>
      </c>
      <c r="C44" s="18" t="s">
        <v>96</v>
      </c>
      <c r="D44" s="18" t="s">
        <v>14</v>
      </c>
      <c r="E44" s="19" t="n">
        <v>202545</v>
      </c>
      <c r="F44" s="19" t="n">
        <v>3400000</v>
      </c>
      <c r="G44" s="20" t="n">
        <f aca="false">IF(F44=0,"-",E44/F44)</f>
        <v>0.0595720588235294</v>
      </c>
      <c r="H44" s="19" t="n">
        <f aca="false">E44-F44</f>
        <v>-3197455</v>
      </c>
      <c r="I44" s="19" t="n">
        <v>4550720</v>
      </c>
      <c r="J44" s="20" t="n">
        <f aca="false">IF(I44=0,"前年実績なし",E44/I44)</f>
        <v>0.0445083415371634</v>
      </c>
      <c r="K44" s="19" t="n">
        <f aca="false">E44-I44</f>
        <v>-4348175</v>
      </c>
    </row>
    <row r="45" customFormat="false" ht="18" hidden="false" customHeight="true" outlineLevel="0" collapsed="false">
      <c r="A45" s="21" t="s">
        <v>97</v>
      </c>
      <c r="B45" s="21"/>
      <c r="C45" s="21"/>
      <c r="D45" s="21"/>
      <c r="E45" s="22" t="n">
        <f aca="false">SUBTOTAL(9,E41:E44)</f>
        <v>1026732</v>
      </c>
      <c r="F45" s="22" t="n">
        <f aca="false">SUBTOTAL(9,F41:F44)</f>
        <v>11700000</v>
      </c>
      <c r="G45" s="23" t="n">
        <f aca="false">IF(F45=0,"-",E45/F45)</f>
        <v>0.0877548717948718</v>
      </c>
      <c r="H45" s="22" t="n">
        <f aca="false">E45-F45</f>
        <v>-10673268</v>
      </c>
      <c r="I45" s="22" t="n">
        <f aca="false">SUBTOTAL(9,I41:I44)</f>
        <v>12271253</v>
      </c>
      <c r="J45" s="23" t="n">
        <f aca="false">IF(I45=0,"-",E45/I45)</f>
        <v>0.0836696953440696</v>
      </c>
      <c r="K45" s="22" t="n">
        <f aca="false">E45-I45</f>
        <v>-11244521</v>
      </c>
    </row>
    <row r="46" customFormat="false" ht="18" hidden="false" customHeight="true" outlineLevel="0" collapsed="false">
      <c r="A46" s="27" t="s">
        <v>15</v>
      </c>
      <c r="B46" s="17" t="s">
        <v>98</v>
      </c>
      <c r="C46" s="18" t="s">
        <v>99</v>
      </c>
      <c r="D46" s="18" t="s">
        <v>100</v>
      </c>
      <c r="E46" s="19" t="n">
        <v>922530</v>
      </c>
      <c r="F46" s="19" t="n">
        <v>3079000</v>
      </c>
      <c r="G46" s="20" t="n">
        <f aca="false">IF(F46=0,"-",E46/F46)</f>
        <v>0.299620006495615</v>
      </c>
      <c r="H46" s="19" t="n">
        <f aca="false">E46-F46</f>
        <v>-2156470</v>
      </c>
      <c r="I46" s="19" t="n">
        <v>2912300</v>
      </c>
      <c r="J46" s="20" t="n">
        <f aca="false">IF(I46=0,"前年実績なし",E46/I46)</f>
        <v>0.316770250317618</v>
      </c>
      <c r="K46" s="19" t="n">
        <f aca="false">E46-I46</f>
        <v>-1989770</v>
      </c>
    </row>
    <row r="47" customFormat="false" ht="18" hidden="false" customHeight="true" outlineLevel="0" collapsed="false">
      <c r="A47" s="27" t="s">
        <v>15</v>
      </c>
      <c r="B47" s="17" t="s">
        <v>101</v>
      </c>
      <c r="C47" s="18" t="s">
        <v>102</v>
      </c>
      <c r="D47" s="18" t="s">
        <v>103</v>
      </c>
      <c r="E47" s="19" t="n">
        <v>1582708</v>
      </c>
      <c r="F47" s="19" t="n">
        <v>9500000</v>
      </c>
      <c r="G47" s="20" t="n">
        <f aca="false">IF(F47=0,"-",E47/F47)</f>
        <v>0.166600842105263</v>
      </c>
      <c r="H47" s="19" t="n">
        <f aca="false">E47-F47</f>
        <v>-7917292</v>
      </c>
      <c r="I47" s="19" t="n">
        <v>9277415</v>
      </c>
      <c r="J47" s="20" t="n">
        <f aca="false">IF(I47=0,"前年実績なし",E47/I47)</f>
        <v>0.170597952123517</v>
      </c>
      <c r="K47" s="19" t="n">
        <f aca="false">E47-I47</f>
        <v>-7694707</v>
      </c>
    </row>
    <row r="48" customFormat="false" ht="18" hidden="false" customHeight="true" outlineLevel="0" collapsed="false">
      <c r="A48" s="27" t="s">
        <v>15</v>
      </c>
      <c r="B48" s="17" t="s">
        <v>104</v>
      </c>
      <c r="C48" s="18" t="s">
        <v>105</v>
      </c>
      <c r="D48" s="18" t="s">
        <v>103</v>
      </c>
      <c r="E48" s="19" t="n">
        <v>597712</v>
      </c>
      <c r="F48" s="19" t="n">
        <v>4687000</v>
      </c>
      <c r="G48" s="20" t="n">
        <f aca="false">IF(F48=0,"-",E48/F48)</f>
        <v>0.127525496052912</v>
      </c>
      <c r="H48" s="19" t="n">
        <f aca="false">E48-F48</f>
        <v>-4089288</v>
      </c>
      <c r="I48" s="19" t="n">
        <v>3376895</v>
      </c>
      <c r="J48" s="20" t="n">
        <f aca="false">IF(I48=0,"前年実績なし",E48/I48)</f>
        <v>0.177000469366089</v>
      </c>
      <c r="K48" s="19" t="n">
        <f aca="false">E48-I48</f>
        <v>-2779183</v>
      </c>
    </row>
    <row r="49" customFormat="false" ht="18" hidden="false" customHeight="true" outlineLevel="0" collapsed="false">
      <c r="A49" s="27" t="s">
        <v>15</v>
      </c>
      <c r="B49" s="17" t="s">
        <v>106</v>
      </c>
      <c r="C49" s="18" t="s">
        <v>76</v>
      </c>
      <c r="D49" s="18" t="s">
        <v>107</v>
      </c>
      <c r="E49" s="19" t="n">
        <v>247325</v>
      </c>
      <c r="F49" s="19" t="n">
        <v>2883000</v>
      </c>
      <c r="G49" s="20" t="n">
        <f aca="false">IF(F49=0,"-",E49/F49)</f>
        <v>0.0857873742629206</v>
      </c>
      <c r="H49" s="19" t="n">
        <f aca="false">E49-F49</f>
        <v>-2635675</v>
      </c>
      <c r="I49" s="19" t="n">
        <v>2232420</v>
      </c>
      <c r="J49" s="20" t="n">
        <f aca="false">IF(I49=0,"前年実績なし",E49/I49)</f>
        <v>0.110787844581217</v>
      </c>
      <c r="K49" s="19" t="n">
        <f aca="false">E49-I49</f>
        <v>-1985095</v>
      </c>
    </row>
    <row r="50" customFormat="false" ht="18" hidden="false" customHeight="true" outlineLevel="0" collapsed="false">
      <c r="A50" s="27" t="s">
        <v>15</v>
      </c>
      <c r="B50" s="17" t="s">
        <v>108</v>
      </c>
      <c r="C50" s="18" t="s">
        <v>109</v>
      </c>
      <c r="D50" s="18" t="s">
        <v>110</v>
      </c>
      <c r="E50" s="19" t="n">
        <v>320226</v>
      </c>
      <c r="F50" s="19" t="n">
        <v>4172000</v>
      </c>
      <c r="G50" s="20" t="n">
        <f aca="false">IF(F50=0,"-",E50/F50)</f>
        <v>0.0767559923298178</v>
      </c>
      <c r="H50" s="19" t="n">
        <f aca="false">E50-F50</f>
        <v>-3851774</v>
      </c>
      <c r="I50" s="19" t="n">
        <v>2813375</v>
      </c>
      <c r="J50" s="20" t="n">
        <f aca="false">IF(I50=0,"前年実績なし",E50/I50)</f>
        <v>0.113822721819878</v>
      </c>
      <c r="K50" s="19" t="n">
        <f aca="false">E50-I50</f>
        <v>-2493149</v>
      </c>
    </row>
    <row r="51" customFormat="false" ht="18" hidden="false" customHeight="true" outlineLevel="0" collapsed="false">
      <c r="A51" s="21" t="s">
        <v>111</v>
      </c>
      <c r="B51" s="21"/>
      <c r="C51" s="21"/>
      <c r="D51" s="21"/>
      <c r="E51" s="22" t="n">
        <f aca="false">SUBTOTAL(9,E46:E50)</f>
        <v>3670501</v>
      </c>
      <c r="F51" s="22" t="n">
        <f aca="false">SUBTOTAL(9,F46:F50)</f>
        <v>24321000</v>
      </c>
      <c r="G51" s="23" t="n">
        <f aca="false">IF(F51=0,"-",E51/F51)</f>
        <v>0.150919000041117</v>
      </c>
      <c r="H51" s="22" t="n">
        <f aca="false">E51-F51</f>
        <v>-20650499</v>
      </c>
      <c r="I51" s="22" t="n">
        <f aca="false">SUBTOTAL(9,I46:I50)</f>
        <v>20612405</v>
      </c>
      <c r="J51" s="23" t="n">
        <f aca="false">IF(I51=0,"-",E51/I51)</f>
        <v>0.178072427744361</v>
      </c>
      <c r="K51" s="22" t="n">
        <f aca="false">E51-I51</f>
        <v>-16941904</v>
      </c>
    </row>
    <row r="52" customFormat="false" ht="18" hidden="false" customHeight="true" outlineLevel="0" collapsed="false">
      <c r="A52" s="28" t="s">
        <v>112</v>
      </c>
      <c r="B52" s="28"/>
      <c r="C52" s="28"/>
      <c r="D52" s="28"/>
      <c r="E52" s="29" t="n">
        <f aca="false">SUBTOTAL(9,E5:E51)</f>
        <v>24721500</v>
      </c>
      <c r="F52" s="29" t="n">
        <f aca="false">SUBTOTAL(9,F5:F51)</f>
        <v>164709000</v>
      </c>
      <c r="G52" s="30" t="n">
        <f aca="false">IF(F52=0,"-",E52/F52)</f>
        <v>0.1500919804018</v>
      </c>
      <c r="H52" s="29" t="n">
        <f aca="false">E52-F52</f>
        <v>-139987500</v>
      </c>
      <c r="I52" s="29" t="n">
        <f aca="false">SUBTOTAL(9,I5:I51)</f>
        <v>150139548</v>
      </c>
      <c r="J52" s="30" t="n">
        <f aca="false">IF(I52=0,"-",E52/I52)</f>
        <v>0.164656816470501</v>
      </c>
      <c r="K52" s="29" t="n">
        <f aca="false">E52-I52</f>
        <v>-125418048</v>
      </c>
    </row>
    <row r="54" customFormat="false" ht="15" hidden="false" customHeight="false" outlineLevel="0" collapsed="false">
      <c r="A54" s="31" t="s">
        <v>113</v>
      </c>
    </row>
    <row r="55" customFormat="false" ht="15" hidden="false" customHeight="false" outlineLevel="0" collapsed="false">
      <c r="A55" s="15" t="s">
        <v>114</v>
      </c>
    </row>
    <row r="56" customFormat="false" ht="15" hidden="false" customHeight="false" outlineLevel="0" collapsed="false">
      <c r="A56" s="15" t="s">
        <v>115</v>
      </c>
    </row>
    <row r="57" customFormat="false" ht="15" hidden="false" customHeight="false" outlineLevel="0" collapsed="false">
      <c r="A57" s="15" t="s">
        <v>116</v>
      </c>
    </row>
    <row r="58" customFormat="false" ht="15" hidden="false" customHeight="false" outlineLevel="0" collapsed="false">
      <c r="A58" s="15" t="s">
        <v>117</v>
      </c>
    </row>
    <row r="59" customFormat="false" ht="15" hidden="false" customHeight="false" outlineLevel="0" collapsed="false">
      <c r="A59" s="15" t="s">
        <v>118</v>
      </c>
    </row>
    <row r="60" customFormat="false" ht="15" hidden="false" customHeight="false" outlineLevel="0" collapsed="false">
      <c r="A60" s="15" t="s">
        <v>119</v>
      </c>
    </row>
  </sheetData>
  <autoFilter ref="A4:K51"/>
  <mergeCells count="5">
    <mergeCell ref="A16:D16"/>
    <mergeCell ref="A40:D40"/>
    <mergeCell ref="A45:D45"/>
    <mergeCell ref="A51:D51"/>
    <mergeCell ref="A52:D52"/>
  </mergeCells>
  <conditionalFormatting sqref="G5:G15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{2D12EFD9-90EF-48D0-8374-392C67ECD55B}</x14:id>
        </ext>
      </extLst>
    </cfRule>
  </conditionalFormatting>
  <conditionalFormatting sqref="J5:J15">
    <cfRule type="dataBar" priority="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{EFC116B7-F551-4B6E-88DC-1D9A308A5356}</x14:id>
        </ext>
      </extLst>
    </cfRule>
  </conditionalFormatting>
  <conditionalFormatting sqref="G17:G39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{E1E7A789-1CD9-446E-8D81-80DAF6B328A0}</x14:id>
        </ext>
      </extLst>
    </cfRule>
  </conditionalFormatting>
  <conditionalFormatting sqref="J17:J39">
    <cfRule type="dataBar" priority="5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{119EA977-4413-4D16-8E6D-14F387547441}</x14:id>
        </ext>
      </extLst>
    </cfRule>
  </conditionalFormatting>
  <conditionalFormatting sqref="G41:G44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{9690826E-364A-43E8-A9AF-6B4E6D60A040}</x14:id>
        </ext>
      </extLst>
    </cfRule>
  </conditionalFormatting>
  <conditionalFormatting sqref="J41:J44">
    <cfRule type="dataBar" priority="7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{425EE7C8-8F65-4EFE-BFA1-40C47474AE17}</x14:id>
        </ext>
      </extLst>
    </cfRule>
  </conditionalFormatting>
  <conditionalFormatting sqref="G46:G50">
    <cfRule type="dataBar" priority="8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{AEBCB1C7-1B81-45C0-AF73-FA459FDCB8F7}</x14:id>
        </ext>
      </extLst>
    </cfRule>
  </conditionalFormatting>
  <conditionalFormatting sqref="J46:J50">
    <cfRule type="dataBar" priority="9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{F9DE9ADC-4ACD-4CA6-8BD8-3AE3ADFDF91F}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12EFD9-90EF-48D0-8374-392C67ECD55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G5:G15</xm:sqref>
        </x14:conditionalFormatting>
        <x14:conditionalFormatting xmlns:xm="http://schemas.microsoft.com/office/excel/2006/main">
          <x14:cfRule type="dataBar" id="{EFC116B7-F551-4B6E-88DC-1D9A308A535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J5:J15</xm:sqref>
        </x14:conditionalFormatting>
        <x14:conditionalFormatting xmlns:xm="http://schemas.microsoft.com/office/excel/2006/main">
          <x14:cfRule type="dataBar" id="{E1E7A789-1CD9-446E-8D81-80DAF6B328A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G17:G39</xm:sqref>
        </x14:conditionalFormatting>
        <x14:conditionalFormatting xmlns:xm="http://schemas.microsoft.com/office/excel/2006/main">
          <x14:cfRule type="dataBar" id="{119EA977-4413-4D16-8E6D-14F38754744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J17:J39</xm:sqref>
        </x14:conditionalFormatting>
        <x14:conditionalFormatting xmlns:xm="http://schemas.microsoft.com/office/excel/2006/main">
          <x14:cfRule type="dataBar" id="{9690826E-364A-43E8-A9AF-6B4E6D60A04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G41:G44</xm:sqref>
        </x14:conditionalFormatting>
        <x14:conditionalFormatting xmlns:xm="http://schemas.microsoft.com/office/excel/2006/main">
          <x14:cfRule type="dataBar" id="{425EE7C8-8F65-4EFE-BFA1-40C47474AE1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J41:J44</xm:sqref>
        </x14:conditionalFormatting>
        <x14:conditionalFormatting xmlns:xm="http://schemas.microsoft.com/office/excel/2006/main">
          <x14:cfRule type="dataBar" id="{AEBCB1C7-1B81-45C0-AF73-FA459FDCB8F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G46:G50</xm:sqref>
        </x14:conditionalFormatting>
        <x14:conditionalFormatting xmlns:xm="http://schemas.microsoft.com/office/excel/2006/main">
          <x14:cfRule type="dataBar" id="{F9DE9ADC-4ACD-4CA6-8BD8-3AE3ADFDF91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J46:J50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120</v>
      </c>
    </row>
    <row r="4" customFormat="false" ht="43.5" hidden="false" customHeight="true" outlineLevel="0" collapsed="false">
      <c r="A4" s="3" t="s">
        <v>21</v>
      </c>
      <c r="B4" s="32" t="s">
        <v>12</v>
      </c>
      <c r="C4" s="33" t="s">
        <v>13</v>
      </c>
      <c r="D4" s="34" t="s">
        <v>14</v>
      </c>
      <c r="E4" s="35" t="s">
        <v>121</v>
      </c>
      <c r="F4" s="3" t="s">
        <v>122</v>
      </c>
      <c r="G4" s="3" t="s">
        <v>123</v>
      </c>
      <c r="H4" s="3" t="s">
        <v>7</v>
      </c>
      <c r="I4" s="3" t="s">
        <v>124</v>
      </c>
      <c r="J4" s="3" t="s">
        <v>10</v>
      </c>
    </row>
    <row r="5" customFormat="false" ht="15" hidden="false" customHeight="false" outlineLevel="0" collapsed="false">
      <c r="A5" s="36" t="s">
        <v>32</v>
      </c>
      <c r="B5" s="19" t="n">
        <f aca="false">SUMIFS(店舗別明細!$E$5:$E$51,店舗別明細!$C$5:$C$51,$A5,店舗別明細!$A$5:$A$51,"アルチビオ")</f>
        <v>1650946</v>
      </c>
      <c r="C5" s="19" t="n">
        <f aca="false">SUMIFS(店舗別明細!$E$5:$E$51,店舗別明細!$C$5:$C$51,$A5,店舗別明細!$A$5:$A$51,"スタジオピッコーネ／ピッコーネクラブ")</f>
        <v>1262854</v>
      </c>
      <c r="D5" s="19" t="n">
        <f aca="false">SUMIFS(店舗別明細!$E$5:$E$51,店舗別明細!$C$5:$C$51,$A5,店舗別明細!$A$5:$A$51,"ピッコーネ")</f>
        <v>0</v>
      </c>
      <c r="E5" s="19" t="n">
        <f aca="false">SUMIFS(店舗別明細!$E$5:$E$51,店舗別明細!$C$5:$C$51,$A5,店舗別明細!$A$5:$A$51,"複合（アルチビオ＋ピッコーネ系）")</f>
        <v>0</v>
      </c>
      <c r="F5" s="19" t="n">
        <f aca="false">SUM(B5:E5)</f>
        <v>2913800</v>
      </c>
      <c r="G5" s="19" t="n">
        <f aca="false">SUMIFS(店舗別明細!$F$5:$F$51,店舗別明細!$C$5:$C$51,$A5)</f>
        <v>11961000</v>
      </c>
      <c r="H5" s="20" t="n">
        <f aca="false">IF(G5=0,"-",F5/G5)</f>
        <v>0.243608393946994</v>
      </c>
      <c r="I5" s="19" t="n">
        <f aca="false">SUMIFS(店舗別明細!$I$5:$I$51,店舗別明細!$C$5:$C$51,$A5)</f>
        <v>9957760</v>
      </c>
      <c r="J5" s="20" t="n">
        <f aca="false">IF(I5=0,"前年実績なし",F5/I5)</f>
        <v>0.292616010026351</v>
      </c>
    </row>
    <row r="6" customFormat="false" ht="15" hidden="false" customHeight="false" outlineLevel="0" collapsed="false">
      <c r="A6" s="37" t="s">
        <v>26</v>
      </c>
      <c r="B6" s="37" t="n">
        <f aca="false">SUMIFS(店舗別明細!$E$5:$E$51,店舗別明細!$C$5:$C$51,$A6,店舗別明細!$A$5:$A$51,"アルチビオ")</f>
        <v>1942301</v>
      </c>
      <c r="C6" s="37" t="n">
        <f aca="false">SUMIFS(店舗別明細!$E$5:$E$51,店舗別明細!$C$5:$C$51,$A6,店舗別明細!$A$5:$A$51,"スタジオピッコーネ／ピッコーネクラブ")</f>
        <v>0</v>
      </c>
      <c r="D6" s="37" t="n">
        <f aca="false">SUMIFS(店舗別明細!$E$5:$E$51,店舗別明細!$C$5:$C$51,$A6,店舗別明細!$A$5:$A$51,"ピッコーネ")</f>
        <v>0</v>
      </c>
      <c r="E6" s="37" t="n">
        <f aca="false">SUMIFS(店舗別明細!$E$5:$E$51,店舗別明細!$C$5:$C$51,$A6,店舗別明細!$A$5:$A$51,"複合（アルチビオ＋ピッコーネ系）")</f>
        <v>0</v>
      </c>
      <c r="F6" s="37" t="n">
        <f aca="false">SUM(B6:E6)</f>
        <v>1942301</v>
      </c>
      <c r="G6" s="37" t="n">
        <f aca="false">SUMIFS(店舗別明細!$F$5:$F$51,店舗別明細!$C$5:$C$51,$A6)</f>
        <v>3812000</v>
      </c>
      <c r="H6" s="20" t="n">
        <f aca="false">IF(G6=0,"-",F6/G6)</f>
        <v>0.509522822665268</v>
      </c>
      <c r="I6" s="37" t="n">
        <f aca="false">SUMIFS(店舗別明細!$I$5:$I$51,店舗別明細!$C$5:$C$51,$A6)</f>
        <v>3514950</v>
      </c>
      <c r="J6" s="20" t="n">
        <f aca="false">IF(I6=0,"前年実績なし",F6/I6)</f>
        <v>0.552582824791249</v>
      </c>
    </row>
    <row r="7" customFormat="false" ht="15" hidden="false" customHeight="false" outlineLevel="0" collapsed="false">
      <c r="A7" s="36" t="s">
        <v>24</v>
      </c>
      <c r="B7" s="37" t="n">
        <f aca="false">SUMIFS(店舗別明細!$E$5:$E$51,店舗別明細!$C$5:$C$51,$A7,店舗別明細!$A$5:$A$51,"アルチビオ")</f>
        <v>897774</v>
      </c>
      <c r="C7" s="37" t="n">
        <f aca="false">SUMIFS(店舗別明細!$E$5:$E$51,店舗別明細!$C$5:$C$51,$A7,店舗別明細!$A$5:$A$51,"スタジオピッコーネ／ピッコーネクラブ")</f>
        <v>776168</v>
      </c>
      <c r="D7" s="37" t="n">
        <f aca="false">SUMIFS(店舗別明細!$E$5:$E$51,店舗別明細!$C$5:$C$51,$A7,店舗別明細!$A$5:$A$51,"ピッコーネ")</f>
        <v>0</v>
      </c>
      <c r="E7" s="37" t="n">
        <f aca="false">SUMIFS(店舗別明細!$E$5:$E$51,店舗別明細!$C$5:$C$51,$A7,店舗別明細!$A$5:$A$51,"複合（アルチビオ＋ピッコーネ系）")</f>
        <v>0</v>
      </c>
      <c r="F7" s="37" t="n">
        <f aca="false">SUM(B7:E7)</f>
        <v>1673942</v>
      </c>
      <c r="G7" s="37" t="n">
        <f aca="false">SUMIFS(店舗別明細!$F$5:$F$51,店舗別明細!$C$5:$C$51,$A7)</f>
        <v>5250000</v>
      </c>
      <c r="H7" s="20" t="n">
        <f aca="false">IF(G7=0,"-",F7/G7)</f>
        <v>0.318846095238095</v>
      </c>
      <c r="I7" s="37" t="n">
        <f aca="false">SUMIFS(店舗別明細!$I$5:$I$51,店舗別明細!$C$5:$C$51,$A7)</f>
        <v>5069260</v>
      </c>
      <c r="J7" s="20" t="n">
        <f aca="false">IF(I7=0,"前年実績なし",F7/I7)</f>
        <v>0.330214271905564</v>
      </c>
    </row>
    <row r="8" customFormat="false" ht="15" hidden="false" customHeight="false" outlineLevel="0" collapsed="false">
      <c r="A8" s="37" t="s">
        <v>102</v>
      </c>
      <c r="B8" s="37" t="n">
        <f aca="false">SUMIFS(店舗別明細!$E$5:$E$51,店舗別明細!$C$5:$C$51,$A8,店舗別明細!$A$5:$A$51,"アルチビオ")</f>
        <v>0</v>
      </c>
      <c r="C8" s="37" t="n">
        <f aca="false">SUMIFS(店舗別明細!$E$5:$E$51,店舗別明細!$C$5:$C$51,$A8,店舗別明細!$A$5:$A$51,"スタジオピッコーネ／ピッコーネクラブ")</f>
        <v>0</v>
      </c>
      <c r="D8" s="37" t="n">
        <f aca="false">SUMIFS(店舗別明細!$E$5:$E$51,店舗別明細!$C$5:$C$51,$A8,店舗別明細!$A$5:$A$51,"ピッコーネ")</f>
        <v>0</v>
      </c>
      <c r="E8" s="37" t="n">
        <f aca="false">SUMIFS(店舗別明細!$E$5:$E$51,店舗別明細!$C$5:$C$51,$A8,店舗別明細!$A$5:$A$51,"複合（アルチビオ＋ピッコーネ系）")</f>
        <v>1582708</v>
      </c>
      <c r="F8" s="37" t="n">
        <f aca="false">SUM(B8:E8)</f>
        <v>1582708</v>
      </c>
      <c r="G8" s="37" t="n">
        <f aca="false">SUMIFS(店舗別明細!$F$5:$F$51,店舗別明細!$C$5:$C$51,$A8)</f>
        <v>9500000</v>
      </c>
      <c r="H8" s="20" t="n">
        <f aca="false">IF(G8=0,"-",F8/G8)</f>
        <v>0.166600842105263</v>
      </c>
      <c r="I8" s="37" t="n">
        <f aca="false">SUMIFS(店舗別明細!$I$5:$I$51,店舗別明細!$C$5:$C$51,$A8)</f>
        <v>9277415</v>
      </c>
      <c r="J8" s="20" t="n">
        <f aca="false">IF(I8=0,"前年実績なし",F8/I8)</f>
        <v>0.170597952123517</v>
      </c>
    </row>
    <row r="9" customFormat="false" ht="15" hidden="false" customHeight="false" outlineLevel="0" collapsed="false">
      <c r="A9" s="36" t="s">
        <v>28</v>
      </c>
      <c r="B9" s="37" t="n">
        <f aca="false">SUMIFS(店舗別明細!$E$5:$E$51,店舗別明細!$C$5:$C$51,$A9,店舗別明細!$A$5:$A$51,"アルチビオ")</f>
        <v>1202200</v>
      </c>
      <c r="C9" s="37" t="n">
        <f aca="false">SUMIFS(店舗別明細!$E$5:$E$51,店舗別明細!$C$5:$C$51,$A9,店舗別明細!$A$5:$A$51,"スタジオピッコーネ／ピッコーネクラブ")</f>
        <v>127300</v>
      </c>
      <c r="D9" s="37" t="n">
        <f aca="false">SUMIFS(店舗別明細!$E$5:$E$51,店舗別明細!$C$5:$C$51,$A9,店舗別明細!$A$5:$A$51,"ピッコーネ")</f>
        <v>0</v>
      </c>
      <c r="E9" s="37" t="n">
        <f aca="false">SUMIFS(店舗別明細!$E$5:$E$51,店舗別明細!$C$5:$C$51,$A9,店舗別明細!$A$5:$A$51,"複合（アルチビオ＋ピッコーネ系）")</f>
        <v>0</v>
      </c>
      <c r="F9" s="37" t="n">
        <f aca="false">SUM(B9:E9)</f>
        <v>1329500</v>
      </c>
      <c r="G9" s="37" t="n">
        <f aca="false">SUMIFS(店舗別明細!$F$5:$F$51,店舗別明細!$C$5:$C$51,$A9)</f>
        <v>8858000</v>
      </c>
      <c r="H9" s="20" t="n">
        <f aca="false">IF(G9=0,"-",F9/G9)</f>
        <v>0.150090313840596</v>
      </c>
      <c r="I9" s="37" t="n">
        <f aca="false">SUMIFS(店舗別明細!$I$5:$I$51,店舗別明細!$C$5:$C$51,$A9)</f>
        <v>8685710</v>
      </c>
      <c r="J9" s="20" t="n">
        <f aca="false">IF(I9=0,"前年実績なし",F9/I9)</f>
        <v>0.153067509737258</v>
      </c>
    </row>
    <row r="10" customFormat="false" ht="15" hidden="false" customHeight="false" outlineLevel="0" collapsed="false">
      <c r="A10" s="36" t="s">
        <v>36</v>
      </c>
      <c r="B10" s="37" t="n">
        <f aca="false">SUMIFS(店舗別明細!$E$5:$E$51,店舗別明細!$C$5:$C$51,$A10,店舗別明細!$A$5:$A$51,"アルチビオ")</f>
        <v>371528</v>
      </c>
      <c r="C10" s="37" t="n">
        <f aca="false">SUMIFS(店舗別明細!$E$5:$E$51,店舗別明細!$C$5:$C$51,$A10,店舗別明細!$A$5:$A$51,"スタジオピッコーネ／ピッコーネクラブ")</f>
        <v>920100</v>
      </c>
      <c r="D10" s="37" t="n">
        <f aca="false">SUMIFS(店舗別明細!$E$5:$E$51,店舗別明細!$C$5:$C$51,$A10,店舗別明細!$A$5:$A$51,"ピッコーネ")</f>
        <v>0</v>
      </c>
      <c r="E10" s="37" t="n">
        <f aca="false">SUMIFS(店舗別明細!$E$5:$E$51,店舗別明細!$C$5:$C$51,$A10,店舗別明細!$A$5:$A$51,"複合（アルチビオ＋ピッコーネ系）")</f>
        <v>0</v>
      </c>
      <c r="F10" s="37" t="n">
        <f aca="false">SUM(B10:E10)</f>
        <v>1291628</v>
      </c>
      <c r="G10" s="37" t="n">
        <f aca="false">SUMIFS(店舗別明細!$F$5:$F$51,店舗別明細!$C$5:$C$51,$A10)</f>
        <v>7280000</v>
      </c>
      <c r="H10" s="20" t="n">
        <f aca="false">IF(G10=0,"-",F10/G10)</f>
        <v>0.177421428571429</v>
      </c>
      <c r="I10" s="37" t="n">
        <f aca="false">SUMIFS(店舗別明細!$I$5:$I$51,店舗別明細!$C$5:$C$51,$A10)</f>
        <v>6150390</v>
      </c>
      <c r="J10" s="20" t="n">
        <f aca="false">IF(I10=0,"前年実績なし",F10/I10)</f>
        <v>0.210007495459638</v>
      </c>
    </row>
    <row r="11" customFormat="false" ht="15" hidden="false" customHeight="false" outlineLevel="0" collapsed="false">
      <c r="A11" s="36" t="s">
        <v>30</v>
      </c>
      <c r="B11" s="37" t="n">
        <f aca="false">SUMIFS(店舗別明細!$E$5:$E$51,店舗別明細!$C$5:$C$51,$A11,店舗別明細!$A$5:$A$51,"アルチビオ")</f>
        <v>856826</v>
      </c>
      <c r="C11" s="37" t="n">
        <f aca="false">SUMIFS(店舗別明細!$E$5:$E$51,店舗別明細!$C$5:$C$51,$A11,店舗別明細!$A$5:$A$51,"スタジオピッコーネ／ピッコーネクラブ")</f>
        <v>312500</v>
      </c>
      <c r="D11" s="37" t="n">
        <f aca="false">SUMIFS(店舗別明細!$E$5:$E$51,店舗別明細!$C$5:$C$51,$A11,店舗別明細!$A$5:$A$51,"ピッコーネ")</f>
        <v>0</v>
      </c>
      <c r="E11" s="37" t="n">
        <f aca="false">SUMIFS(店舗別明細!$E$5:$E$51,店舗別明細!$C$5:$C$51,$A11,店舗別明細!$A$5:$A$51,"複合（アルチビオ＋ピッコーネ系）")</f>
        <v>0</v>
      </c>
      <c r="F11" s="37" t="n">
        <f aca="false">SUM(B11:E11)</f>
        <v>1169326</v>
      </c>
      <c r="G11" s="37" t="n">
        <f aca="false">SUMIFS(店舗別明細!$F$5:$F$51,店舗別明細!$C$5:$C$51,$A11)</f>
        <v>6000000</v>
      </c>
      <c r="H11" s="20" t="n">
        <f aca="false">IF(G11=0,"-",F11/G11)</f>
        <v>0.194887666666667</v>
      </c>
      <c r="I11" s="37" t="n">
        <f aca="false">SUMIFS(店舗別明細!$I$5:$I$51,店舗別明細!$C$5:$C$51,$A11)</f>
        <v>5692657</v>
      </c>
      <c r="J11" s="20" t="n">
        <f aca="false">IF(I11=0,"前年実績なし",F11/I11)</f>
        <v>0.205409530207072</v>
      </c>
    </row>
    <row r="12" customFormat="false" ht="15" hidden="false" customHeight="false" outlineLevel="0" collapsed="false">
      <c r="A12" s="36" t="s">
        <v>40</v>
      </c>
      <c r="B12" s="37" t="n">
        <f aca="false">SUMIFS(店舗別明細!$E$5:$E$51,店舗別明細!$C$5:$C$51,$A12,店舗別明細!$A$5:$A$51,"アルチビオ")</f>
        <v>526863</v>
      </c>
      <c r="C12" s="37" t="n">
        <f aca="false">SUMIFS(店舗別明細!$E$5:$E$51,店舗別明細!$C$5:$C$51,$A12,店舗別明細!$A$5:$A$51,"スタジオピッコーネ／ピッコーネクラブ")</f>
        <v>619544</v>
      </c>
      <c r="D12" s="37" t="n">
        <f aca="false">SUMIFS(店舗別明細!$E$5:$E$51,店舗別明細!$C$5:$C$51,$A12,店舗別明細!$A$5:$A$51,"ピッコーネ")</f>
        <v>0</v>
      </c>
      <c r="E12" s="37" t="n">
        <f aca="false">SUMIFS(店舗別明細!$E$5:$E$51,店舗別明細!$C$5:$C$51,$A12,店舗別明細!$A$5:$A$51,"複合（アルチビオ＋ピッコーネ系）")</f>
        <v>0</v>
      </c>
      <c r="F12" s="37" t="n">
        <f aca="false">SUM(B12:E12)</f>
        <v>1146407</v>
      </c>
      <c r="G12" s="37" t="n">
        <f aca="false">SUMIFS(店舗別明細!$F$5:$F$51,店舗別明細!$C$5:$C$51,$A12)</f>
        <v>16457000</v>
      </c>
      <c r="H12" s="20" t="n">
        <f aca="false">IF(G12=0,"-",F12/G12)</f>
        <v>0.0696607522634745</v>
      </c>
      <c r="I12" s="37" t="n">
        <f aca="false">SUMIFS(店舗別明細!$I$5:$I$51,店舗別明細!$C$5:$C$51,$A12)</f>
        <v>16128200</v>
      </c>
      <c r="J12" s="20" t="n">
        <f aca="false">IF(I12=0,"前年実績なし",F12/I12)</f>
        <v>0.0710809017745316</v>
      </c>
    </row>
    <row r="13" customFormat="false" ht="15" hidden="false" customHeight="false" outlineLevel="0" collapsed="false">
      <c r="A13" s="37" t="s">
        <v>99</v>
      </c>
      <c r="B13" s="37" t="n">
        <f aca="false">SUMIFS(店舗別明細!$E$5:$E$51,店舗別明細!$C$5:$C$51,$A13,店舗別明細!$A$5:$A$51,"アルチビオ")</f>
        <v>0</v>
      </c>
      <c r="C13" s="37" t="n">
        <f aca="false">SUMIFS(店舗別明細!$E$5:$E$51,店舗別明細!$C$5:$C$51,$A13,店舗別明細!$A$5:$A$51,"スタジオピッコーネ／ピッコーネクラブ")</f>
        <v>0</v>
      </c>
      <c r="D13" s="37" t="n">
        <f aca="false">SUMIFS(店舗別明細!$E$5:$E$51,店舗別明細!$C$5:$C$51,$A13,店舗別明細!$A$5:$A$51,"ピッコーネ")</f>
        <v>0</v>
      </c>
      <c r="E13" s="37" t="n">
        <f aca="false">SUMIFS(店舗別明細!$E$5:$E$51,店舗別明細!$C$5:$C$51,$A13,店舗別明細!$A$5:$A$51,"複合（アルチビオ＋ピッコーネ系）")</f>
        <v>922530</v>
      </c>
      <c r="F13" s="37" t="n">
        <f aca="false">SUM(B13:E13)</f>
        <v>922530</v>
      </c>
      <c r="G13" s="37" t="n">
        <f aca="false">SUMIFS(店舗別明細!$F$5:$F$51,店舗別明細!$C$5:$C$51,$A13)</f>
        <v>3079000</v>
      </c>
      <c r="H13" s="20" t="n">
        <f aca="false">IF(G13=0,"-",F13/G13)</f>
        <v>0.299620006495615</v>
      </c>
      <c r="I13" s="37" t="n">
        <f aca="false">SUMIFS(店舗別明細!$I$5:$I$51,店舗別明細!$C$5:$C$51,$A13)</f>
        <v>2912300</v>
      </c>
      <c r="J13" s="20" t="n">
        <f aca="false">IF(I13=0,"前年実績なし",F13/I13)</f>
        <v>0.316770250317618</v>
      </c>
    </row>
    <row r="14" customFormat="false" ht="15" hidden="false" customHeight="false" outlineLevel="0" collapsed="false">
      <c r="A14" s="37" t="s">
        <v>34</v>
      </c>
      <c r="B14" s="37" t="n">
        <f aca="false">SUMIFS(店舗別明細!$E$5:$E$51,店舗別明細!$C$5:$C$51,$A14,店舗別明細!$A$5:$A$51,"アルチビオ")</f>
        <v>898194</v>
      </c>
      <c r="C14" s="37" t="n">
        <f aca="false">SUMIFS(店舗別明細!$E$5:$E$51,店舗別明細!$C$5:$C$51,$A14,店舗別明細!$A$5:$A$51,"スタジオピッコーネ／ピッコーネクラブ")</f>
        <v>0</v>
      </c>
      <c r="D14" s="37" t="n">
        <f aca="false">SUMIFS(店舗別明細!$E$5:$E$51,店舗別明細!$C$5:$C$51,$A14,店舗別明細!$A$5:$A$51,"ピッコーネ")</f>
        <v>0</v>
      </c>
      <c r="E14" s="37" t="n">
        <f aca="false">SUMIFS(店舗別明細!$E$5:$E$51,店舗別明細!$C$5:$C$51,$A14,店舗別明細!$A$5:$A$51,"複合（アルチビオ＋ピッコーネ系）")</f>
        <v>0</v>
      </c>
      <c r="F14" s="37" t="n">
        <f aca="false">SUM(B14:E14)</f>
        <v>898194</v>
      </c>
      <c r="G14" s="37" t="n">
        <f aca="false">SUMIFS(店舗別明細!$F$5:$F$51,店舗別明細!$C$5:$C$51,$A14)</f>
        <v>4782000</v>
      </c>
      <c r="H14" s="20" t="n">
        <f aca="false">IF(G14=0,"-",F14/G14)</f>
        <v>0.187828105395232</v>
      </c>
      <c r="I14" s="37" t="n">
        <f aca="false">SUMIFS(店舗別明細!$I$5:$I$51,店舗別明細!$C$5:$C$51,$A14)</f>
        <v>4451408</v>
      </c>
      <c r="J14" s="20" t="n">
        <f aca="false">IF(I14=0,"前年実績なし",F14/I14)</f>
        <v>0.201777505005158</v>
      </c>
    </row>
    <row r="15" customFormat="false" ht="15" hidden="false" customHeight="false" outlineLevel="0" collapsed="false">
      <c r="A15" s="36" t="s">
        <v>76</v>
      </c>
      <c r="B15" s="37" t="n">
        <f aca="false">SUMIFS(店舗別明細!$E$5:$E$51,店舗別明細!$C$5:$C$51,$A15,店舗別明細!$A$5:$A$51,"アルチビオ")</f>
        <v>0</v>
      </c>
      <c r="C15" s="37" t="n">
        <f aca="false">SUMIFS(店舗別明細!$E$5:$E$51,店舗別明細!$C$5:$C$51,$A15,店舗別明細!$A$5:$A$51,"スタジオピッコーネ／ピッコーネクラブ")</f>
        <v>506300</v>
      </c>
      <c r="D15" s="37" t="n">
        <f aca="false">SUMIFS(店舗別明細!$E$5:$E$51,店舗別明細!$C$5:$C$51,$A15,店舗別明細!$A$5:$A$51,"ピッコーネ")</f>
        <v>0</v>
      </c>
      <c r="E15" s="37" t="n">
        <f aca="false">SUMIFS(店舗別明細!$E$5:$E$51,店舗別明細!$C$5:$C$51,$A15,店舗別明細!$A$5:$A$51,"複合（アルチビオ＋ピッコーネ系）")</f>
        <v>247325</v>
      </c>
      <c r="F15" s="37" t="n">
        <f aca="false">SUM(B15:E15)</f>
        <v>753625</v>
      </c>
      <c r="G15" s="37" t="n">
        <f aca="false">SUMIFS(店舗別明細!$F$5:$F$51,店舗別明細!$C$5:$C$51,$A15)</f>
        <v>7283000</v>
      </c>
      <c r="H15" s="20" t="n">
        <f aca="false">IF(G15=0,"-",F15/G15)</f>
        <v>0.103477275847865</v>
      </c>
      <c r="I15" s="37" t="n">
        <f aca="false">SUMIFS(店舗別明細!$I$5:$I$51,店舗別明細!$C$5:$C$51,$A15)</f>
        <v>6391565</v>
      </c>
      <c r="J15" s="20" t="n">
        <f aca="false">IF(I15=0,"前年実績なし",F15/I15)</f>
        <v>0.117909307032002</v>
      </c>
    </row>
    <row r="16" customFormat="false" ht="15" hidden="false" customHeight="false" outlineLevel="0" collapsed="false">
      <c r="A16" s="37" t="s">
        <v>62</v>
      </c>
      <c r="B16" s="37" t="n">
        <f aca="false">SUMIFS(店舗別明細!$E$5:$E$51,店舗別明細!$C$5:$C$51,$A16,店舗別明細!$A$5:$A$51,"アルチビオ")</f>
        <v>0</v>
      </c>
      <c r="C16" s="37" t="n">
        <f aca="false">SUMIFS(店舗別明細!$E$5:$E$51,店舗別明細!$C$5:$C$51,$A16,店舗別明細!$A$5:$A$51,"スタジオピッコーネ／ピッコーネクラブ")</f>
        <v>721272</v>
      </c>
      <c r="D16" s="37" t="n">
        <f aca="false">SUMIFS(店舗別明細!$E$5:$E$51,店舗別明細!$C$5:$C$51,$A16,店舗別明細!$A$5:$A$51,"ピッコーネ")</f>
        <v>0</v>
      </c>
      <c r="E16" s="37" t="n">
        <f aca="false">SUMIFS(店舗別明細!$E$5:$E$51,店舗別明細!$C$5:$C$51,$A16,店舗別明細!$A$5:$A$51,"複合（アルチビオ＋ピッコーネ系）")</f>
        <v>0</v>
      </c>
      <c r="F16" s="37" t="n">
        <f aca="false">SUM(B16:E16)</f>
        <v>721272</v>
      </c>
      <c r="G16" s="37" t="n">
        <f aca="false">SUMIFS(店舗別明細!$F$5:$F$51,店舗別明細!$C$5:$C$51,$A16)</f>
        <v>4200000</v>
      </c>
      <c r="H16" s="20" t="n">
        <f aca="false">IF(G16=0,"-",F16/G16)</f>
        <v>0.171731428571429</v>
      </c>
      <c r="I16" s="37" t="n">
        <f aca="false">SUMIFS(店舗別明細!$I$5:$I$51,店舗別明細!$C$5:$C$51,$A16)</f>
        <v>4050580</v>
      </c>
      <c r="J16" s="20" t="n">
        <f aca="false">IF(I16=0,"前年実績なし",F16/I16)</f>
        <v>0.17806635099171</v>
      </c>
    </row>
    <row r="17" customFormat="false" ht="15" hidden="false" customHeight="false" outlineLevel="0" collapsed="false">
      <c r="A17" s="37" t="s">
        <v>60</v>
      </c>
      <c r="B17" s="37" t="n">
        <f aca="false">SUMIFS(店舗別明細!$E$5:$E$51,店舗別明細!$C$5:$C$51,$A17,店舗別明細!$A$5:$A$51,"アルチビオ")</f>
        <v>0</v>
      </c>
      <c r="C17" s="37" t="n">
        <f aca="false">SUMIFS(店舗別明細!$E$5:$E$51,店舗別明細!$C$5:$C$51,$A17,店舗別明細!$A$5:$A$51,"スタジオピッコーネ／ピッコーネクラブ")</f>
        <v>691454</v>
      </c>
      <c r="D17" s="37" t="n">
        <f aca="false">SUMIFS(店舗別明細!$E$5:$E$51,店舗別明細!$C$5:$C$51,$A17,店舗別明細!$A$5:$A$51,"ピッコーネ")</f>
        <v>0</v>
      </c>
      <c r="E17" s="37" t="n">
        <f aca="false">SUMIFS(店舗別明細!$E$5:$E$51,店舗別明細!$C$5:$C$51,$A17,店舗別明細!$A$5:$A$51,"複合（アルチビオ＋ピッコーネ系）")</f>
        <v>0</v>
      </c>
      <c r="F17" s="37" t="n">
        <f aca="false">SUM(B17:E17)</f>
        <v>691454</v>
      </c>
      <c r="G17" s="37" t="n">
        <f aca="false">SUMIFS(店舗別明細!$F$5:$F$51,店舗別明細!$C$5:$C$51,$A17)</f>
        <v>3940000</v>
      </c>
      <c r="H17" s="20" t="n">
        <f aca="false">IF(G17=0,"-",F17/G17)</f>
        <v>0.175495939086294</v>
      </c>
      <c r="I17" s="37" t="n">
        <f aca="false">SUMIFS(店舗別明細!$I$5:$I$51,店舗別明細!$C$5:$C$51,$A17)</f>
        <v>3597695</v>
      </c>
      <c r="J17" s="20" t="n">
        <f aca="false">IF(I17=0,"前年実績なし",F17/I17)</f>
        <v>0.192193612854897</v>
      </c>
    </row>
    <row r="18" customFormat="false" ht="15" hidden="false" customHeight="false" outlineLevel="0" collapsed="false">
      <c r="A18" s="37" t="s">
        <v>81</v>
      </c>
      <c r="B18" s="37" t="n">
        <f aca="false">SUMIFS(店舗別明細!$E$5:$E$51,店舗別明細!$C$5:$C$51,$A18,店舗別明細!$A$5:$A$51,"アルチビオ")</f>
        <v>0</v>
      </c>
      <c r="C18" s="37" t="n">
        <f aca="false">SUMIFS(店舗別明細!$E$5:$E$51,店舗別明細!$C$5:$C$51,$A18,店舗別明細!$A$5:$A$51,"スタジオピッコーネ／ピッコーネクラブ")</f>
        <v>644000</v>
      </c>
      <c r="D18" s="37" t="n">
        <f aca="false">SUMIFS(店舗別明細!$E$5:$E$51,店舗別明細!$C$5:$C$51,$A18,店舗別明細!$A$5:$A$51,"ピッコーネ")</f>
        <v>0</v>
      </c>
      <c r="E18" s="37" t="n">
        <f aca="false">SUMIFS(店舗別明細!$E$5:$E$51,店舗別明細!$C$5:$C$51,$A18,店舗別明細!$A$5:$A$51,"複合（アルチビオ＋ピッコーネ系）")</f>
        <v>0</v>
      </c>
      <c r="F18" s="37" t="n">
        <f aca="false">SUM(B18:E18)</f>
        <v>644000</v>
      </c>
      <c r="G18" s="37" t="n">
        <f aca="false">SUMIFS(店舗別明細!$F$5:$F$51,店舗別明細!$C$5:$C$51,$A18)</f>
        <v>6700000</v>
      </c>
      <c r="H18" s="20" t="n">
        <f aca="false">IF(G18=0,"-",F18/G18)</f>
        <v>0.0961194029850746</v>
      </c>
      <c r="I18" s="37" t="n">
        <f aca="false">SUMIFS(店舗別明細!$I$5:$I$51,店舗別明細!$C$5:$C$51,$A18)</f>
        <v>6535150</v>
      </c>
      <c r="J18" s="20" t="n">
        <f aca="false">IF(I18=0,"前年実績なし",F18/I18)</f>
        <v>0.0985440272985318</v>
      </c>
    </row>
    <row r="19" customFormat="false" ht="15" hidden="false" customHeight="false" outlineLevel="0" collapsed="false">
      <c r="A19" s="37" t="s">
        <v>105</v>
      </c>
      <c r="B19" s="37" t="n">
        <f aca="false">SUMIFS(店舗別明細!$E$5:$E$51,店舗別明細!$C$5:$C$51,$A19,店舗別明細!$A$5:$A$51,"アルチビオ")</f>
        <v>0</v>
      </c>
      <c r="C19" s="37" t="n">
        <f aca="false">SUMIFS(店舗別明細!$E$5:$E$51,店舗別明細!$C$5:$C$51,$A19,店舗別明細!$A$5:$A$51,"スタジオピッコーネ／ピッコーネクラブ")</f>
        <v>0</v>
      </c>
      <c r="D19" s="37" t="n">
        <f aca="false">SUMIFS(店舗別明細!$E$5:$E$51,店舗別明細!$C$5:$C$51,$A19,店舗別明細!$A$5:$A$51,"ピッコーネ")</f>
        <v>0</v>
      </c>
      <c r="E19" s="37" t="n">
        <f aca="false">SUMIFS(店舗別明細!$E$5:$E$51,店舗別明細!$C$5:$C$51,$A19,店舗別明細!$A$5:$A$51,"複合（アルチビオ＋ピッコーネ系）")</f>
        <v>597712</v>
      </c>
      <c r="F19" s="37" t="n">
        <f aca="false">SUM(B19:E19)</f>
        <v>597712</v>
      </c>
      <c r="G19" s="37" t="n">
        <f aca="false">SUMIFS(店舗別明細!$F$5:$F$51,店舗別明細!$C$5:$C$51,$A19)</f>
        <v>4687000</v>
      </c>
      <c r="H19" s="20" t="n">
        <f aca="false">IF(G19=0,"-",F19/G19)</f>
        <v>0.127525496052912</v>
      </c>
      <c r="I19" s="37" t="n">
        <f aca="false">SUMIFS(店舗別明細!$I$5:$I$51,店舗別明細!$C$5:$C$51,$A19)</f>
        <v>3376895</v>
      </c>
      <c r="J19" s="20" t="n">
        <f aca="false">IF(I19=0,"前年実績なし",F19/I19)</f>
        <v>0.177000469366089</v>
      </c>
    </row>
    <row r="20" customFormat="false" ht="15" hidden="false" customHeight="false" outlineLevel="0" collapsed="false">
      <c r="A20" s="37" t="s">
        <v>57</v>
      </c>
      <c r="B20" s="37" t="n">
        <f aca="false">SUMIFS(店舗別明細!$E$5:$E$51,店舗別明細!$C$5:$C$51,$A20,店舗別明細!$A$5:$A$51,"アルチビオ")</f>
        <v>0</v>
      </c>
      <c r="C20" s="37" t="n">
        <f aca="false">SUMIFS(店舗別明細!$E$5:$E$51,店舗別明細!$C$5:$C$51,$A20,店舗別明細!$A$5:$A$51,"スタジオピッコーネ／ピッコーネクラブ")</f>
        <v>521900</v>
      </c>
      <c r="D20" s="37" t="n">
        <f aca="false">SUMIFS(店舗別明細!$E$5:$E$51,店舗別明細!$C$5:$C$51,$A20,店舗別明細!$A$5:$A$51,"ピッコーネ")</f>
        <v>0</v>
      </c>
      <c r="E20" s="37" t="n">
        <f aca="false">SUMIFS(店舗別明細!$E$5:$E$51,店舗別明細!$C$5:$C$51,$A20,店舗別明細!$A$5:$A$51,"複合（アルチビオ＋ピッコーネ系）")</f>
        <v>0</v>
      </c>
      <c r="F20" s="37" t="n">
        <f aca="false">SUM(B20:E20)</f>
        <v>521900</v>
      </c>
      <c r="G20" s="37" t="n">
        <f aca="false">SUMIFS(店舗別明細!$F$5:$F$51,店舗別明細!$C$5:$C$51,$A20)</f>
        <v>2830000</v>
      </c>
      <c r="H20" s="20" t="n">
        <f aca="false">IF(G20=0,"-",F20/G20)</f>
        <v>0.184416961130742</v>
      </c>
      <c r="I20" s="37" t="n">
        <f aca="false">SUMIFS(店舗別明細!$I$5:$I$51,店舗別明細!$C$5:$C$51,$A20)</f>
        <v>2230000</v>
      </c>
      <c r="J20" s="20" t="n">
        <f aca="false">IF(I20=0,"前年実績なし",F20/I20)</f>
        <v>0.234035874439462</v>
      </c>
    </row>
    <row r="21" customFormat="false" ht="15" hidden="false" customHeight="false" outlineLevel="0" collapsed="false">
      <c r="A21" s="37" t="s">
        <v>72</v>
      </c>
      <c r="B21" s="37" t="n">
        <f aca="false">SUMIFS(店舗別明細!$E$5:$E$51,店舗別明細!$C$5:$C$51,$A21,店舗別明細!$A$5:$A$51,"アルチビオ")</f>
        <v>0</v>
      </c>
      <c r="C21" s="37" t="n">
        <f aca="false">SUMIFS(店舗別明細!$E$5:$E$51,店舗別明細!$C$5:$C$51,$A21,店舗別明細!$A$5:$A$51,"スタジオピッコーネ／ピッコーネクラブ")</f>
        <v>512090</v>
      </c>
      <c r="D21" s="37" t="n">
        <f aca="false">SUMIFS(店舗別明細!$E$5:$E$51,店舗別明細!$C$5:$C$51,$A21,店舗別明細!$A$5:$A$51,"ピッコーネ")</f>
        <v>0</v>
      </c>
      <c r="E21" s="37" t="n">
        <f aca="false">SUMIFS(店舗別明細!$E$5:$E$51,店舗別明細!$C$5:$C$51,$A21,店舗別明細!$A$5:$A$51,"複合（アルチビオ＋ピッコーネ系）")</f>
        <v>0</v>
      </c>
      <c r="F21" s="37" t="n">
        <f aca="false">SUM(B21:E21)</f>
        <v>512090</v>
      </c>
      <c r="G21" s="37" t="n">
        <f aca="false">SUMIFS(店舗別明細!$F$5:$F$51,店舗別明細!$C$5:$C$51,$A21)</f>
        <v>4100000</v>
      </c>
      <c r="H21" s="20" t="n">
        <f aca="false">IF(G21=0,"-",F21/G21)</f>
        <v>0.1249</v>
      </c>
      <c r="I21" s="37" t="n">
        <f aca="false">SUMIFS(店舗別明細!$I$5:$I$51,店舗別明細!$C$5:$C$51,$A21)</f>
        <v>4075700</v>
      </c>
      <c r="J21" s="20" t="n">
        <f aca="false">IF(I21=0,"前年実績なし",F21/I21)</f>
        <v>0.125644674534436</v>
      </c>
    </row>
    <row r="22" customFormat="false" ht="15" hidden="false" customHeight="false" outlineLevel="0" collapsed="false">
      <c r="A22" s="37" t="s">
        <v>51</v>
      </c>
      <c r="B22" s="37" t="n">
        <f aca="false">SUMIFS(店舗別明細!$E$5:$E$51,店舗別明細!$C$5:$C$51,$A22,店舗別明細!$A$5:$A$51,"アルチビオ")</f>
        <v>0</v>
      </c>
      <c r="C22" s="37" t="n">
        <f aca="false">SUMIFS(店舗別明細!$E$5:$E$51,店舗別明細!$C$5:$C$51,$A22,店舗別明細!$A$5:$A$51,"スタジオピッコーネ／ピッコーネクラブ")</f>
        <v>507400</v>
      </c>
      <c r="D22" s="37" t="n">
        <f aca="false">SUMIFS(店舗別明細!$E$5:$E$51,店舗別明細!$C$5:$C$51,$A22,店舗別明細!$A$5:$A$51,"ピッコーネ")</f>
        <v>0</v>
      </c>
      <c r="E22" s="37" t="n">
        <f aca="false">SUMIFS(店舗別明細!$E$5:$E$51,店舗別明細!$C$5:$C$51,$A22,店舗別明細!$A$5:$A$51,"複合（アルチビオ＋ピッコーネ系）")</f>
        <v>0</v>
      </c>
      <c r="F22" s="37" t="n">
        <f aca="false">SUM(B22:E22)</f>
        <v>507400</v>
      </c>
      <c r="G22" s="37" t="n">
        <f aca="false">SUMIFS(店舗別明細!$F$5:$F$51,店舗別明細!$C$5:$C$51,$A22)</f>
        <v>2600000</v>
      </c>
      <c r="H22" s="20" t="n">
        <f aca="false">IF(G22=0,"-",F22/G22)</f>
        <v>0.195153846153846</v>
      </c>
      <c r="I22" s="37" t="n">
        <f aca="false">SUMIFS(店舗別明細!$I$5:$I$51,店舗別明細!$C$5:$C$51,$A22)</f>
        <v>1796500</v>
      </c>
      <c r="J22" s="20" t="n">
        <f aca="false">IF(I22=0,"前年実績なし",F22/I22)</f>
        <v>0.282438074032842</v>
      </c>
    </row>
    <row r="23" customFormat="false" ht="15" hidden="false" customHeight="false" outlineLevel="0" collapsed="false">
      <c r="A23" s="37" t="s">
        <v>64</v>
      </c>
      <c r="B23" s="37" t="n">
        <f aca="false">SUMIFS(店舗別明細!$E$5:$E$51,店舗別明細!$C$5:$C$51,$A23,店舗別明細!$A$5:$A$51,"アルチビオ")</f>
        <v>0</v>
      </c>
      <c r="C23" s="37" t="n">
        <f aca="false">SUMIFS(店舗別明細!$E$5:$E$51,店舗別明細!$C$5:$C$51,$A23,店舗別明細!$A$5:$A$51,"スタジオピッコーネ／ピッコーネクラブ")</f>
        <v>492100</v>
      </c>
      <c r="D23" s="37" t="n">
        <f aca="false">SUMIFS(店舗別明細!$E$5:$E$51,店舗別明細!$C$5:$C$51,$A23,店舗別明細!$A$5:$A$51,"ピッコーネ")</f>
        <v>0</v>
      </c>
      <c r="E23" s="37" t="n">
        <f aca="false">SUMIFS(店舗別明細!$E$5:$E$51,店舗別明細!$C$5:$C$51,$A23,店舗別明細!$A$5:$A$51,"複合（アルチビオ＋ピッコーネ系）")</f>
        <v>0</v>
      </c>
      <c r="F23" s="37" t="n">
        <f aca="false">SUM(B23:E23)</f>
        <v>492100</v>
      </c>
      <c r="G23" s="37" t="n">
        <f aca="false">SUMIFS(店舗別明細!$F$5:$F$51,店舗別明細!$C$5:$C$51,$A23)</f>
        <v>2900000</v>
      </c>
      <c r="H23" s="20" t="n">
        <f aca="false">IF(G23=0,"-",F23/G23)</f>
        <v>0.169689655172414</v>
      </c>
      <c r="I23" s="37" t="n">
        <f aca="false">SUMIFS(店舗別明細!$I$5:$I$51,店舗別明細!$C$5:$C$51,$A23)</f>
        <v>2327950</v>
      </c>
      <c r="J23" s="20" t="n">
        <f aca="false">IF(I23=0,"前年実績なし",F23/I23)</f>
        <v>0.211387701625894</v>
      </c>
    </row>
    <row r="24" customFormat="false" ht="15" hidden="false" customHeight="false" outlineLevel="0" collapsed="false">
      <c r="A24" s="37" t="s">
        <v>49</v>
      </c>
      <c r="B24" s="37" t="n">
        <f aca="false">SUMIFS(店舗別明細!$E$5:$E$51,店舗別明細!$C$5:$C$51,$A24,店舗別明細!$A$5:$A$51,"アルチビオ")</f>
        <v>0</v>
      </c>
      <c r="C24" s="37" t="n">
        <f aca="false">SUMIFS(店舗別明細!$E$5:$E$51,店舗別明細!$C$5:$C$51,$A24,店舗別明細!$A$5:$A$51,"スタジオピッコーネ／ピッコーネクラブ")</f>
        <v>419700</v>
      </c>
      <c r="D24" s="37" t="n">
        <f aca="false">SUMIFS(店舗別明細!$E$5:$E$51,店舗別明細!$C$5:$C$51,$A24,店舗別明細!$A$5:$A$51,"ピッコーネ")</f>
        <v>0</v>
      </c>
      <c r="E24" s="37" t="n">
        <f aca="false">SUMIFS(店舗別明細!$E$5:$E$51,店舗別明細!$C$5:$C$51,$A24,店舗別明細!$A$5:$A$51,"複合（アルチビオ＋ピッコーネ系）")</f>
        <v>0</v>
      </c>
      <c r="F24" s="37" t="n">
        <f aca="false">SUM(B24:E24)</f>
        <v>419700</v>
      </c>
      <c r="G24" s="37" t="n">
        <f aca="false">SUMIFS(店舗別明細!$F$5:$F$51,店舗別明細!$C$5:$C$51,$A24)</f>
        <v>2100000</v>
      </c>
      <c r="H24" s="20" t="n">
        <f aca="false">IF(G24=0,"-",F24/G24)</f>
        <v>0.199857142857143</v>
      </c>
      <c r="I24" s="37" t="n">
        <f aca="false">SUMIFS(店舗別明細!$I$5:$I$51,店舗別明細!$C$5:$C$51,$A24)</f>
        <v>1953490</v>
      </c>
      <c r="J24" s="20" t="n">
        <f aca="false">IF(I24=0,"前年実績なし",F24/I24)</f>
        <v>0.214846249532887</v>
      </c>
    </row>
    <row r="25" customFormat="false" ht="15" hidden="false" customHeight="false" outlineLevel="0" collapsed="false">
      <c r="A25" s="37" t="s">
        <v>66</v>
      </c>
      <c r="B25" s="37" t="n">
        <f aca="false">SUMIFS(店舗別明細!$E$5:$E$51,店舗別明細!$C$5:$C$51,$A25,店舗別明細!$A$5:$A$51,"アルチビオ")</f>
        <v>0</v>
      </c>
      <c r="C25" s="37" t="n">
        <f aca="false">SUMIFS(店舗別明細!$E$5:$E$51,店舗別明細!$C$5:$C$51,$A25,店舗別明細!$A$5:$A$51,"スタジオピッコーネ／ピッコーネクラブ")</f>
        <v>414000</v>
      </c>
      <c r="D25" s="37" t="n">
        <f aca="false">SUMIFS(店舗別明細!$E$5:$E$51,店舗別明細!$C$5:$C$51,$A25,店舗別明細!$A$5:$A$51,"ピッコーネ")</f>
        <v>0</v>
      </c>
      <c r="E25" s="37" t="n">
        <f aca="false">SUMIFS(店舗別明細!$E$5:$E$51,店舗別明細!$C$5:$C$51,$A25,店舗別明細!$A$5:$A$51,"複合（アルチビオ＋ピッコーネ系）")</f>
        <v>0</v>
      </c>
      <c r="F25" s="37" t="n">
        <f aca="false">SUM(B25:E25)</f>
        <v>414000</v>
      </c>
      <c r="G25" s="37" t="n">
        <f aca="false">SUMIFS(店舗別明細!$F$5:$F$51,店舗別明細!$C$5:$C$51,$A25)</f>
        <v>2650000</v>
      </c>
      <c r="H25" s="20" t="n">
        <f aca="false">IF(G25=0,"-",F25/G25)</f>
        <v>0.15622641509434</v>
      </c>
      <c r="I25" s="37" t="n">
        <f aca="false">SUMIFS(店舗別明細!$I$5:$I$51,店舗別明細!$C$5:$C$51,$A25)</f>
        <v>2438700</v>
      </c>
      <c r="J25" s="20" t="n">
        <f aca="false">IF(I25=0,"前年実績なし",F25/I25)</f>
        <v>0.16976257842293</v>
      </c>
    </row>
    <row r="26" customFormat="false" ht="15" hidden="false" customHeight="false" outlineLevel="0" collapsed="false">
      <c r="A26" s="37" t="s">
        <v>90</v>
      </c>
      <c r="B26" s="37" t="n">
        <f aca="false">SUMIFS(店舗別明細!$E$5:$E$51,店舗別明細!$C$5:$C$51,$A26,店舗別明細!$A$5:$A$51,"アルチビオ")</f>
        <v>0</v>
      </c>
      <c r="C26" s="37" t="n">
        <f aca="false">SUMIFS(店舗別明細!$E$5:$E$51,店舗別明細!$C$5:$C$51,$A26,店舗別明細!$A$5:$A$51,"スタジオピッコーネ／ピッコーネクラブ")</f>
        <v>0</v>
      </c>
      <c r="D26" s="37" t="n">
        <f aca="false">SUMIFS(店舗別明細!$E$5:$E$51,店舗別明細!$C$5:$C$51,$A26,店舗別明細!$A$5:$A$51,"ピッコーネ")</f>
        <v>413000</v>
      </c>
      <c r="E26" s="37" t="n">
        <f aca="false">SUMIFS(店舗別明細!$E$5:$E$51,店舗別明細!$C$5:$C$51,$A26,店舗別明細!$A$5:$A$51,"複合（アルチビオ＋ピッコーネ系）")</f>
        <v>0</v>
      </c>
      <c r="F26" s="37" t="n">
        <f aca="false">SUM(B26:E26)</f>
        <v>413000</v>
      </c>
      <c r="G26" s="37" t="n">
        <f aca="false">SUMIFS(店舗別明細!$F$5:$F$51,店舗別明細!$C$5:$C$51,$A26)</f>
        <v>3650000</v>
      </c>
      <c r="H26" s="20" t="n">
        <f aca="false">IF(G26=0,"-",F26/G26)</f>
        <v>0.113150684931507</v>
      </c>
      <c r="I26" s="37" t="n">
        <f aca="false">SUMIFS(店舗別明細!$I$5:$I$51,店舗別明細!$C$5:$C$51,$A26)</f>
        <v>3418600</v>
      </c>
      <c r="J26" s="20" t="n">
        <f aca="false">IF(I26=0,"前年実績なし",F26/I26)</f>
        <v>0.120809688176447</v>
      </c>
    </row>
    <row r="27" customFormat="false" ht="15" hidden="false" customHeight="false" outlineLevel="0" collapsed="false">
      <c r="A27" s="37" t="s">
        <v>109</v>
      </c>
      <c r="B27" s="37" t="n">
        <f aca="false">SUMIFS(店舗別明細!$E$5:$E$51,店舗別明細!$C$5:$C$51,$A27,店舗別明細!$A$5:$A$51,"アルチビオ")</f>
        <v>0</v>
      </c>
      <c r="C27" s="37" t="n">
        <f aca="false">SUMIFS(店舗別明細!$E$5:$E$51,店舗別明細!$C$5:$C$51,$A27,店舗別明細!$A$5:$A$51,"スタジオピッコーネ／ピッコーネクラブ")</f>
        <v>0</v>
      </c>
      <c r="D27" s="37" t="n">
        <f aca="false">SUMIFS(店舗別明細!$E$5:$E$51,店舗別明細!$C$5:$C$51,$A27,店舗別明細!$A$5:$A$51,"ピッコーネ")</f>
        <v>0</v>
      </c>
      <c r="E27" s="37" t="n">
        <f aca="false">SUMIFS(店舗別明細!$E$5:$E$51,店舗別明細!$C$5:$C$51,$A27,店舗別明細!$A$5:$A$51,"複合（アルチビオ＋ピッコーネ系）")</f>
        <v>320226</v>
      </c>
      <c r="F27" s="37" t="n">
        <f aca="false">SUM(B27:E27)</f>
        <v>320226</v>
      </c>
      <c r="G27" s="37" t="n">
        <f aca="false">SUMIFS(店舗別明細!$F$5:$F$51,店舗別明細!$C$5:$C$51,$A27)</f>
        <v>4172000</v>
      </c>
      <c r="H27" s="20" t="n">
        <f aca="false">IF(G27=0,"-",F27/G27)</f>
        <v>0.0767559923298178</v>
      </c>
      <c r="I27" s="37" t="n">
        <f aca="false">SUMIFS(店舗別明細!$I$5:$I$51,店舗別明細!$C$5:$C$51,$A27)</f>
        <v>2813375</v>
      </c>
      <c r="J27" s="20" t="n">
        <f aca="false">IF(I27=0,"前年実績なし",F27/I27)</f>
        <v>0.113822721819878</v>
      </c>
    </row>
    <row r="28" customFormat="false" ht="15" hidden="false" customHeight="false" outlineLevel="0" collapsed="false">
      <c r="A28" s="37" t="s">
        <v>68</v>
      </c>
      <c r="B28" s="37" t="n">
        <f aca="false">SUMIFS(店舗別明細!$E$5:$E$51,店舗別明細!$C$5:$C$51,$A28,店舗別明細!$A$5:$A$51,"アルチビオ")</f>
        <v>0</v>
      </c>
      <c r="C28" s="37" t="n">
        <f aca="false">SUMIFS(店舗別明細!$E$5:$E$51,店舗別明細!$C$5:$C$51,$A28,店舗別明細!$A$5:$A$51,"スタジオピッコーネ／ピッコーネクラブ")</f>
        <v>315700</v>
      </c>
      <c r="D28" s="37" t="n">
        <f aca="false">SUMIFS(店舗別明細!$E$5:$E$51,店舗別明細!$C$5:$C$51,$A28,店舗別明細!$A$5:$A$51,"ピッコーネ")</f>
        <v>0</v>
      </c>
      <c r="E28" s="37" t="n">
        <f aca="false">SUMIFS(店舗別明細!$E$5:$E$51,店舗別明細!$C$5:$C$51,$A28,店舗別明細!$A$5:$A$51,"複合（アルチビオ＋ピッコーネ系）")</f>
        <v>0</v>
      </c>
      <c r="F28" s="37" t="n">
        <f aca="false">SUM(B28:E28)</f>
        <v>315700</v>
      </c>
      <c r="G28" s="37" t="n">
        <f aca="false">SUMIFS(店舗別明細!$F$5:$F$51,店舗別明細!$C$5:$C$51,$A28)</f>
        <v>2280000</v>
      </c>
      <c r="H28" s="20" t="n">
        <f aca="false">IF(G28=0,"-",F28/G28)</f>
        <v>0.138464912280702</v>
      </c>
      <c r="I28" s="37" t="n">
        <f aca="false">SUMIFS(店舗別明細!$I$5:$I$51,店舗別明細!$C$5:$C$51,$A28)</f>
        <v>2014530</v>
      </c>
      <c r="J28" s="20" t="n">
        <f aca="false">IF(I28=0,"前年実績なし",F28/I28)</f>
        <v>0.156711491017756</v>
      </c>
    </row>
    <row r="29" customFormat="false" ht="15" hidden="false" customHeight="false" outlineLevel="0" collapsed="false">
      <c r="A29" s="37" t="s">
        <v>74</v>
      </c>
      <c r="B29" s="37" t="n">
        <f aca="false">SUMIFS(店舗別明細!$E$5:$E$51,店舗別明細!$C$5:$C$51,$A29,店舗別明細!$A$5:$A$51,"アルチビオ")</f>
        <v>0</v>
      </c>
      <c r="C29" s="37" t="n">
        <f aca="false">SUMIFS(店舗別明細!$E$5:$E$51,店舗別明細!$C$5:$C$51,$A29,店舗別明細!$A$5:$A$51,"スタジオピッコーネ／ピッコーネクラブ")</f>
        <v>313800</v>
      </c>
      <c r="D29" s="37" t="n">
        <f aca="false">SUMIFS(店舗別明細!$E$5:$E$51,店舗別明細!$C$5:$C$51,$A29,店舗別明細!$A$5:$A$51,"ピッコーネ")</f>
        <v>0</v>
      </c>
      <c r="E29" s="37" t="n">
        <f aca="false">SUMIFS(店舗別明細!$E$5:$E$51,店舗別明細!$C$5:$C$51,$A29,店舗別明細!$A$5:$A$51,"複合（アルチビオ＋ピッコーネ系）")</f>
        <v>0</v>
      </c>
      <c r="F29" s="37" t="n">
        <f aca="false">SUM(B29:E29)</f>
        <v>313800</v>
      </c>
      <c r="G29" s="37" t="n">
        <f aca="false">SUMIFS(店舗別明細!$F$5:$F$51,店舗別明細!$C$5:$C$51,$A29)</f>
        <v>2600000</v>
      </c>
      <c r="H29" s="20" t="n">
        <f aca="false">IF(G29=0,"-",F29/G29)</f>
        <v>0.120692307692308</v>
      </c>
      <c r="I29" s="37" t="n">
        <f aca="false">SUMIFS(店舗別明細!$I$5:$I$51,店舗別明細!$C$5:$C$51,$A29)</f>
        <v>2629520</v>
      </c>
      <c r="J29" s="20" t="n">
        <f aca="false">IF(I29=0,"前年実績なし",F29/I29)</f>
        <v>0.119337369557942</v>
      </c>
    </row>
    <row r="30" customFormat="false" ht="15" hidden="false" customHeight="false" outlineLevel="0" collapsed="false">
      <c r="A30" s="37" t="s">
        <v>79</v>
      </c>
      <c r="B30" s="37" t="n">
        <f aca="false">SUMIFS(店舗別明細!$E$5:$E$51,店舗別明細!$C$5:$C$51,$A30,店舗別明細!$A$5:$A$51,"アルチビオ")</f>
        <v>0</v>
      </c>
      <c r="C30" s="37" t="n">
        <f aca="false">SUMIFS(店舗別明細!$E$5:$E$51,店舗別明細!$C$5:$C$51,$A30,店舗別明細!$A$5:$A$51,"スタジオピッコーネ／ピッコーネクラブ")</f>
        <v>304800</v>
      </c>
      <c r="D30" s="37" t="n">
        <f aca="false">SUMIFS(店舗別明細!$E$5:$E$51,店舗別明細!$C$5:$C$51,$A30,店舗別明細!$A$5:$A$51,"ピッコーネ")</f>
        <v>0</v>
      </c>
      <c r="E30" s="37" t="n">
        <f aca="false">SUMIFS(店舗別明細!$E$5:$E$51,店舗別明細!$C$5:$C$51,$A30,店舗別明細!$A$5:$A$51,"複合（アルチビオ＋ピッコーネ系）")</f>
        <v>0</v>
      </c>
      <c r="F30" s="37" t="n">
        <f aca="false">SUM(B30:E30)</f>
        <v>304800</v>
      </c>
      <c r="G30" s="37" t="n">
        <f aca="false">SUMIFS(店舗別明細!$F$5:$F$51,店舗別明細!$C$5:$C$51,$A30)</f>
        <v>3050000</v>
      </c>
      <c r="H30" s="20" t="n">
        <f aca="false">IF(G30=0,"-",F30/G30)</f>
        <v>0.0999344262295082</v>
      </c>
      <c r="I30" s="37" t="n">
        <f aca="false">SUMIFS(店舗別明細!$I$5:$I$51,店舗別明細!$C$5:$C$51,$A30)</f>
        <v>3027600</v>
      </c>
      <c r="J30" s="20" t="n">
        <f aca="false">IF(I30=0,"前年実績なし",F30/I30)</f>
        <v>0.100673801030519</v>
      </c>
    </row>
    <row r="31" customFormat="false" ht="15" hidden="false" customHeight="false" outlineLevel="0" collapsed="false">
      <c r="A31" s="37" t="s">
        <v>94</v>
      </c>
      <c r="B31" s="37" t="n">
        <f aca="false">SUMIFS(店舗別明細!$E$5:$E$51,店舗別明細!$C$5:$C$51,$A31,店舗別明細!$A$5:$A$51,"アルチビオ")</f>
        <v>0</v>
      </c>
      <c r="C31" s="37" t="n">
        <f aca="false">SUMIFS(店舗別明細!$E$5:$E$51,店舗別明細!$C$5:$C$51,$A31,店舗別明細!$A$5:$A$51,"スタジオピッコーネ／ピッコーネクラブ")</f>
        <v>0</v>
      </c>
      <c r="D31" s="37" t="n">
        <f aca="false">SUMIFS(店舗別明細!$E$5:$E$51,店舗別明細!$C$5:$C$51,$A31,店舗別明細!$A$5:$A$51,"ピッコーネ")</f>
        <v>263871</v>
      </c>
      <c r="E31" s="37" t="n">
        <f aca="false">SUMIFS(店舗別明細!$E$5:$E$51,店舗別明細!$C$5:$C$51,$A31,店舗別明細!$A$5:$A$51,"複合（アルチビオ＋ピッコーネ系）")</f>
        <v>0</v>
      </c>
      <c r="F31" s="37" t="n">
        <f aca="false">SUM(B31:E31)</f>
        <v>263871</v>
      </c>
      <c r="G31" s="37" t="n">
        <f aca="false">SUMIFS(店舗別明細!$F$5:$F$51,店舗別明細!$C$5:$C$51,$A31)</f>
        <v>3130000</v>
      </c>
      <c r="H31" s="20" t="n">
        <f aca="false">IF(G31=0,"-",F31/G31)</f>
        <v>0.0843038338658147</v>
      </c>
      <c r="I31" s="37" t="n">
        <f aca="false">SUMIFS(店舗別明細!$I$5:$I$51,店舗別明細!$C$5:$C$51,$A31)</f>
        <v>2850123</v>
      </c>
      <c r="J31" s="20" t="n">
        <f aca="false">IF(I31=0,"前年実績なし",F31/I31)</f>
        <v>0.092582320131447</v>
      </c>
    </row>
    <row r="32" customFormat="false" ht="15" hidden="false" customHeight="false" outlineLevel="0" collapsed="false">
      <c r="A32" s="37" t="s">
        <v>70</v>
      </c>
      <c r="B32" s="37" t="n">
        <f aca="false">SUMIFS(店舗別明細!$E$5:$E$51,店舗別明細!$C$5:$C$51,$A32,店舗別明細!$A$5:$A$51,"アルチビオ")</f>
        <v>0</v>
      </c>
      <c r="C32" s="37" t="n">
        <f aca="false">SUMIFS(店舗別明細!$E$5:$E$51,店舗別明細!$C$5:$C$51,$A32,店舗別明細!$A$5:$A$51,"スタジオピッコーネ／ピッコーネクラブ")</f>
        <v>255700</v>
      </c>
      <c r="D32" s="37" t="n">
        <f aca="false">SUMIFS(店舗別明細!$E$5:$E$51,店舗別明細!$C$5:$C$51,$A32,店舗別明細!$A$5:$A$51,"ピッコーネ")</f>
        <v>0</v>
      </c>
      <c r="E32" s="37" t="n">
        <f aca="false">SUMIFS(店舗別明細!$E$5:$E$51,店舗別明細!$C$5:$C$51,$A32,店舗別明細!$A$5:$A$51,"複合（アルチビオ＋ピッコーネ系）")</f>
        <v>0</v>
      </c>
      <c r="F32" s="37" t="n">
        <f aca="false">SUM(B32:E32)</f>
        <v>255700</v>
      </c>
      <c r="G32" s="37" t="n">
        <f aca="false">SUMIFS(店舗別明細!$F$5:$F$51,店舗別明細!$C$5:$C$51,$A32)</f>
        <v>1900000</v>
      </c>
      <c r="H32" s="20" t="n">
        <f aca="false">IF(G32=0,"-",F32/G32)</f>
        <v>0.134578947368421</v>
      </c>
      <c r="I32" s="37" t="n">
        <f aca="false">SUMIFS(店舗別明細!$I$5:$I$51,店舗別明細!$C$5:$C$51,$A32)</f>
        <v>1610700</v>
      </c>
      <c r="J32" s="20" t="n">
        <f aca="false">IF(I32=0,"前年実績なし",F32/I32)</f>
        <v>0.158750853666108</v>
      </c>
    </row>
    <row r="33" customFormat="false" ht="15" hidden="false" customHeight="false" outlineLevel="0" collapsed="false">
      <c r="A33" s="37" t="s">
        <v>54</v>
      </c>
      <c r="B33" s="37" t="n">
        <f aca="false">SUMIFS(店舗別明細!$E$5:$E$51,店舗別明細!$C$5:$C$51,$A33,店舗別明細!$A$5:$A$51,"アルチビオ")</f>
        <v>0</v>
      </c>
      <c r="C33" s="37" t="n">
        <f aca="false">SUMIFS(店舗別明細!$E$5:$E$51,店舗別明細!$C$5:$C$51,$A33,店舗別明細!$A$5:$A$51,"スタジオピッコーネ／ピッコーネクラブ")</f>
        <v>241380</v>
      </c>
      <c r="D33" s="37" t="n">
        <f aca="false">SUMIFS(店舗別明細!$E$5:$E$51,店舗別明細!$C$5:$C$51,$A33,店舗別明細!$A$5:$A$51,"ピッコーネ")</f>
        <v>0</v>
      </c>
      <c r="E33" s="37" t="n">
        <f aca="false">SUMIFS(店舗別明細!$E$5:$E$51,店舗別明細!$C$5:$C$51,$A33,店舗別明細!$A$5:$A$51,"複合（アルチビオ＋ピッコーネ系）")</f>
        <v>0</v>
      </c>
      <c r="F33" s="37" t="n">
        <f aca="false">SUM(B33:E33)</f>
        <v>241380</v>
      </c>
      <c r="G33" s="37" t="n">
        <f aca="false">SUMIFS(店舗別明細!$F$5:$F$51,店舗別明細!$C$5:$C$51,$A33)</f>
        <v>1250000</v>
      </c>
      <c r="H33" s="20" t="n">
        <f aca="false">IF(G33=0,"-",F33/G33)</f>
        <v>0.193104</v>
      </c>
      <c r="I33" s="37" t="n">
        <f aca="false">SUMIFS(店舗別明細!$I$5:$I$51,店舗別明細!$C$5:$C$51,$A33)</f>
        <v>997950</v>
      </c>
      <c r="J33" s="20" t="n">
        <f aca="false">IF(I33=0,"前年実績なし",F33/I33)</f>
        <v>0.241875845483241</v>
      </c>
    </row>
    <row r="34" customFormat="false" ht="15" hidden="false" customHeight="false" outlineLevel="0" collapsed="false">
      <c r="A34" s="37" t="s">
        <v>38</v>
      </c>
      <c r="B34" s="37" t="n">
        <f aca="false">SUMIFS(店舗別明細!$E$5:$E$51,店舗別明細!$C$5:$C$51,$A34,店舗別明細!$A$5:$A$51,"アルチビオ")</f>
        <v>212253</v>
      </c>
      <c r="C34" s="37" t="n">
        <f aca="false">SUMIFS(店舗別明細!$E$5:$E$51,店舗別明細!$C$5:$C$51,$A34,店舗別明細!$A$5:$A$51,"スタジオピッコーネ／ピッコーネクラブ")</f>
        <v>0</v>
      </c>
      <c r="D34" s="37" t="n">
        <f aca="false">SUMIFS(店舗別明細!$E$5:$E$51,店舗別明細!$C$5:$C$51,$A34,店舗別明細!$A$5:$A$51,"ピッコーネ")</f>
        <v>0</v>
      </c>
      <c r="E34" s="37" t="n">
        <f aca="false">SUMIFS(店舗別明細!$E$5:$E$51,店舗別明細!$C$5:$C$51,$A34,店舗別明細!$A$5:$A$51,"複合（アルチビオ＋ピッコーネ系）")</f>
        <v>0</v>
      </c>
      <c r="F34" s="37" t="n">
        <f aca="false">SUM(B34:E34)</f>
        <v>212253</v>
      </c>
      <c r="G34" s="37" t="n">
        <f aca="false">SUMIFS(店舗別明細!$F$5:$F$51,店舗別明細!$C$5:$C$51,$A34)</f>
        <v>1470000</v>
      </c>
      <c r="H34" s="20" t="n">
        <f aca="false">IF(G34=0,"-",F34/G34)</f>
        <v>0.144389795918367</v>
      </c>
      <c r="I34" s="37" t="n">
        <f aca="false">SUMIFS(店舗別明細!$I$5:$I$51,店舗別明細!$C$5:$C$51,$A34)</f>
        <v>1293200</v>
      </c>
      <c r="J34" s="20" t="n">
        <f aca="false">IF(I34=0,"前年実績なし",F34/I34)</f>
        <v>0.16413006495515</v>
      </c>
    </row>
    <row r="35" customFormat="false" ht="15" hidden="false" customHeight="false" outlineLevel="0" collapsed="false">
      <c r="A35" s="37" t="s">
        <v>96</v>
      </c>
      <c r="B35" s="37" t="n">
        <f aca="false">SUMIFS(店舗別明細!$E$5:$E$51,店舗別明細!$C$5:$C$51,$A35,店舗別明細!$A$5:$A$51,"アルチビオ")</f>
        <v>0</v>
      </c>
      <c r="C35" s="37" t="n">
        <f aca="false">SUMIFS(店舗別明細!$E$5:$E$51,店舗別明細!$C$5:$C$51,$A35,店舗別明細!$A$5:$A$51,"スタジオピッコーネ／ピッコーネクラブ")</f>
        <v>0</v>
      </c>
      <c r="D35" s="37" t="n">
        <f aca="false">SUMIFS(店舗別明細!$E$5:$E$51,店舗別明細!$C$5:$C$51,$A35,店舗別明細!$A$5:$A$51,"ピッコーネ")</f>
        <v>202545</v>
      </c>
      <c r="E35" s="37" t="n">
        <f aca="false">SUMIFS(店舗別明細!$E$5:$E$51,店舗別明細!$C$5:$C$51,$A35,店舗別明細!$A$5:$A$51,"複合（アルチビオ＋ピッコーネ系）")</f>
        <v>0</v>
      </c>
      <c r="F35" s="37" t="n">
        <f aca="false">SUM(B35:E35)</f>
        <v>202545</v>
      </c>
      <c r="G35" s="37" t="n">
        <f aca="false">SUMIFS(店舗別明細!$F$5:$F$51,店舗別明細!$C$5:$C$51,$A35)</f>
        <v>3400000</v>
      </c>
      <c r="H35" s="20" t="n">
        <f aca="false">IF(G35=0,"-",F35/G35)</f>
        <v>0.0595720588235294</v>
      </c>
      <c r="I35" s="37" t="n">
        <f aca="false">SUMIFS(店舗別明細!$I$5:$I$51,店舗別明細!$C$5:$C$51,$A35)</f>
        <v>4550720</v>
      </c>
      <c r="J35" s="20" t="n">
        <f aca="false">IF(I35=0,"前年実績なし",F35/I35)</f>
        <v>0.0445083415371634</v>
      </c>
    </row>
    <row r="36" customFormat="false" ht="15" hidden="false" customHeight="false" outlineLevel="0" collapsed="false">
      <c r="A36" s="37" t="s">
        <v>44</v>
      </c>
      <c r="B36" s="37" t="n">
        <f aca="false">SUMIFS(店舗別明細!$E$5:$E$51,店舗別明細!$C$5:$C$51,$A36,店舗別明細!$A$5:$A$51,"アルチビオ")</f>
        <v>182800</v>
      </c>
      <c r="C36" s="37" t="n">
        <f aca="false">SUMIFS(店舗別明細!$E$5:$E$51,店舗別明細!$C$5:$C$51,$A36,店舗別明細!$A$5:$A$51,"スタジオピッコーネ／ピッコーネクラブ")</f>
        <v>0</v>
      </c>
      <c r="D36" s="37" t="n">
        <f aca="false">SUMIFS(店舗別明細!$E$5:$E$51,店舗別明細!$C$5:$C$51,$A36,店舗別明細!$A$5:$A$51,"ピッコーネ")</f>
        <v>0</v>
      </c>
      <c r="E36" s="37" t="n">
        <f aca="false">SUMIFS(店舗別明細!$E$5:$E$51,店舗別明細!$C$5:$C$51,$A36,店舗別明細!$A$5:$A$51,"複合（アルチビオ＋ピッコーネ系）")</f>
        <v>0</v>
      </c>
      <c r="F36" s="37" t="n">
        <f aca="false">SUM(B36:E36)</f>
        <v>182800</v>
      </c>
      <c r="G36" s="37" t="n">
        <f aca="false">SUMIFS(店舗別明細!$F$5:$F$51,店舗別明細!$C$5:$C$51,$A36)</f>
        <v>8400000</v>
      </c>
      <c r="H36" s="20" t="n">
        <f aca="false">IF(G36=0,"-",F36/G36)</f>
        <v>0.0217619047619048</v>
      </c>
      <c r="I36" s="37" t="n">
        <f aca="false">SUMIFS(店舗別明細!$I$5:$I$51,店舗別明細!$C$5:$C$51,$A36)</f>
        <v>8129765</v>
      </c>
      <c r="J36" s="20" t="n">
        <f aca="false">IF(I36=0,"前年実績なし",F36/I36)</f>
        <v>0.0224852747896157</v>
      </c>
    </row>
    <row r="37" customFormat="false" ht="15" hidden="false" customHeight="false" outlineLevel="0" collapsed="false">
      <c r="A37" s="37" t="s">
        <v>85</v>
      </c>
      <c r="B37" s="37" t="n">
        <f aca="false">SUMIFS(店舗別明細!$E$5:$E$51,店舗別明細!$C$5:$C$51,$A37,店舗別明細!$A$5:$A$51,"アルチビオ")</f>
        <v>0</v>
      </c>
      <c r="C37" s="37" t="n">
        <f aca="false">SUMIFS(店舗別明細!$E$5:$E$51,店舗別明細!$C$5:$C$51,$A37,店舗別明細!$A$5:$A$51,"スタジオピッコーネ／ピッコーネクラブ")</f>
        <v>151000</v>
      </c>
      <c r="D37" s="37" t="n">
        <f aca="false">SUMIFS(店舗別明細!$E$5:$E$51,店舗別明細!$C$5:$C$51,$A37,店舗別明細!$A$5:$A$51,"ピッコーネ")</f>
        <v>0</v>
      </c>
      <c r="E37" s="37" t="n">
        <f aca="false">SUMIFS(店舗別明細!$E$5:$E$51,店舗別明細!$C$5:$C$51,$A37,店舗別明細!$A$5:$A$51,"複合（アルチビオ＋ピッコーネ系）")</f>
        <v>0</v>
      </c>
      <c r="F37" s="37" t="n">
        <f aca="false">SUM(B37:E37)</f>
        <v>151000</v>
      </c>
      <c r="G37" s="37" t="n">
        <f aca="false">SUMIFS(店舗別明細!$F$5:$F$51,店舗別明細!$C$5:$C$51,$A37)</f>
        <v>2168000</v>
      </c>
      <c r="H37" s="20" t="n">
        <f aca="false">IF(G37=0,"-",F37/G37)</f>
        <v>0.0696494464944649</v>
      </c>
      <c r="I37" s="37" t="n">
        <f aca="false">SUMIFS(店舗別明細!$I$5:$I$51,店舗別明細!$C$5:$C$51,$A37)</f>
        <v>2059800</v>
      </c>
      <c r="J37" s="20" t="n">
        <f aca="false">IF(I37=0,"前年実績なし",F37/I37)</f>
        <v>0.0733080881638994</v>
      </c>
    </row>
    <row r="38" customFormat="false" ht="15" hidden="false" customHeight="false" outlineLevel="0" collapsed="false">
      <c r="A38" s="37" t="s">
        <v>92</v>
      </c>
      <c r="B38" s="37" t="n">
        <f aca="false">SUMIFS(店舗別明細!$E$5:$E$51,店舗別明細!$C$5:$C$51,$A38,店舗別明細!$A$5:$A$51,"アルチビオ")</f>
        <v>0</v>
      </c>
      <c r="C38" s="37" t="n">
        <f aca="false">SUMIFS(店舗別明細!$E$5:$E$51,店舗別明細!$C$5:$C$51,$A38,店舗別明細!$A$5:$A$51,"スタジオピッコーネ／ピッコーネクラブ")</f>
        <v>0</v>
      </c>
      <c r="D38" s="37" t="n">
        <f aca="false">SUMIFS(店舗別明細!$E$5:$E$51,店舗別明細!$C$5:$C$51,$A38,店舗別明細!$A$5:$A$51,"ピッコーネ")</f>
        <v>147316</v>
      </c>
      <c r="E38" s="37" t="n">
        <f aca="false">SUMIFS(店舗別明細!$E$5:$E$51,店舗別明細!$C$5:$C$51,$A38,店舗別明細!$A$5:$A$51,"複合（アルチビオ＋ピッコーネ系）")</f>
        <v>0</v>
      </c>
      <c r="F38" s="37" t="n">
        <f aca="false">SUM(B38:E38)</f>
        <v>147316</v>
      </c>
      <c r="G38" s="37" t="n">
        <f aca="false">SUMIFS(店舗別明細!$F$5:$F$51,店舗別明細!$C$5:$C$51,$A38)</f>
        <v>1520000</v>
      </c>
      <c r="H38" s="20" t="n">
        <f aca="false">IF(G38=0,"-",F38/G38)</f>
        <v>0.0969184210526316</v>
      </c>
      <c r="I38" s="37" t="n">
        <f aca="false">SUMIFS(店舗別明細!$I$5:$I$51,店舗別明細!$C$5:$C$51,$A38)</f>
        <v>1451810</v>
      </c>
      <c r="J38" s="20" t="n">
        <f aca="false">IF(I38=0,"前年実績なし",F38/I38)</f>
        <v>0.101470578105951</v>
      </c>
    </row>
    <row r="39" customFormat="false" ht="15" hidden="false" customHeight="false" outlineLevel="0" collapsed="false">
      <c r="A39" s="37" t="s">
        <v>42</v>
      </c>
      <c r="B39" s="37" t="n">
        <f aca="false">SUMIFS(店舗別明細!$E$5:$E$51,店舗別明細!$C$5:$C$51,$A39,店舗別明細!$A$5:$A$51,"アルチビオ")</f>
        <v>132320</v>
      </c>
      <c r="C39" s="37" t="n">
        <f aca="false">SUMIFS(店舗別明細!$E$5:$E$51,店舗別明細!$C$5:$C$51,$A39,店舗別明細!$A$5:$A$51,"スタジオピッコーネ／ピッコーネクラブ")</f>
        <v>0</v>
      </c>
      <c r="D39" s="37" t="n">
        <f aca="false">SUMIFS(店舗別明細!$E$5:$E$51,店舗別明細!$C$5:$C$51,$A39,店舗別明細!$A$5:$A$51,"ピッコーネ")</f>
        <v>0</v>
      </c>
      <c r="E39" s="37" t="n">
        <f aca="false">SUMIFS(店舗別明細!$E$5:$E$51,店舗別明細!$C$5:$C$51,$A39,店舗別明細!$A$5:$A$51,"複合（アルチビオ＋ピッコーネ系）")</f>
        <v>0</v>
      </c>
      <c r="F39" s="37" t="n">
        <f aca="false">SUM(B39:E39)</f>
        <v>132320</v>
      </c>
      <c r="G39" s="37" t="n">
        <f aca="false">SUMIFS(店舗別明細!$F$5:$F$51,店舗別明細!$C$5:$C$51,$A39)</f>
        <v>3050000</v>
      </c>
      <c r="H39" s="20" t="n">
        <f aca="false">IF(G39=0,"-",F39/G39)</f>
        <v>0.0433836065573771</v>
      </c>
      <c r="I39" s="37" t="n">
        <f aca="false">SUMIFS(店舗別明細!$I$5:$I$51,店舗別明細!$C$5:$C$51,$A39)</f>
        <v>2677580</v>
      </c>
      <c r="J39" s="20" t="n">
        <f aca="false">IF(I39=0,"前年実績なし",F39/I39)</f>
        <v>0.0494177578260967</v>
      </c>
    </row>
    <row r="40" customFormat="false" ht="15" hidden="false" customHeight="false" outlineLevel="0" collapsed="false">
      <c r="A40" s="37" t="s">
        <v>83</v>
      </c>
      <c r="B40" s="37" t="n">
        <f aca="false">SUMIFS(店舗別明細!$E$5:$E$51,店舗別明細!$C$5:$C$51,$A40,店舗別明細!$A$5:$A$51,"アルチビオ")</f>
        <v>0</v>
      </c>
      <c r="C40" s="37" t="n">
        <f aca="false">SUMIFS(店舗別明細!$E$5:$E$51,店舗別明細!$C$5:$C$51,$A40,店舗別明細!$A$5:$A$51,"スタジオピッコーネ／ピッコーネクラブ")</f>
        <v>119200</v>
      </c>
      <c r="D40" s="37" t="n">
        <f aca="false">SUMIFS(店舗別明細!$E$5:$E$51,店舗別明細!$C$5:$C$51,$A40,店舗別明細!$A$5:$A$51,"ピッコーネ")</f>
        <v>0</v>
      </c>
      <c r="E40" s="37" t="n">
        <f aca="false">SUMIFS(店舗別明細!$E$5:$E$51,店舗別明細!$C$5:$C$51,$A40,店舗別明細!$A$5:$A$51,"複合（アルチビオ＋ピッコーネ系）")</f>
        <v>0</v>
      </c>
      <c r="F40" s="37" t="n">
        <f aca="false">SUM(B40:E40)</f>
        <v>119200</v>
      </c>
      <c r="G40" s="37" t="n">
        <f aca="false">SUMIFS(店舗別明細!$F$5:$F$51,店舗別明細!$C$5:$C$51,$A40)</f>
        <v>1700000</v>
      </c>
      <c r="H40" s="20" t="n">
        <f aca="false">IF(G40=0,"-",F40/G40)</f>
        <v>0.0701176470588235</v>
      </c>
      <c r="I40" s="37" t="n">
        <f aca="false">SUMIFS(店舗別明細!$I$5:$I$51,店舗別明細!$C$5:$C$51,$A40)</f>
        <v>0</v>
      </c>
      <c r="J40" s="20" t="str">
        <f aca="false">IF(I40=0,"前年実績なし",F40/I40)</f>
        <v>前年実績なし</v>
      </c>
    </row>
    <row r="41" customFormat="false" ht="15" hidden="false" customHeight="false" outlineLevel="0" collapsed="false">
      <c r="A41" s="38" t="s">
        <v>125</v>
      </c>
      <c r="B41" s="38" t="n">
        <f aca="false">SUM(B5:B40)</f>
        <v>8874005</v>
      </c>
      <c r="C41" s="38" t="n">
        <f aca="false">SUM(C5:C40)</f>
        <v>11150262</v>
      </c>
      <c r="D41" s="38" t="n">
        <f aca="false">SUM(D5:D40)</f>
        <v>1026732</v>
      </c>
      <c r="E41" s="38" t="n">
        <f aca="false">SUM(E5:E40)</f>
        <v>3670501</v>
      </c>
      <c r="F41" s="38" t="n">
        <f aca="false">SUM(F5:F40)</f>
        <v>24721500</v>
      </c>
      <c r="G41" s="38" t="n">
        <f aca="false">SUM(G5:G40)</f>
        <v>164709000</v>
      </c>
      <c r="H41" s="39" t="n">
        <f aca="false">IF(G41=0,"-",F41/G41)</f>
        <v>0.1500919804018</v>
      </c>
      <c r="I41" s="38" t="n">
        <f aca="false">SUM(I5:I40)</f>
        <v>150139548</v>
      </c>
      <c r="J41" s="39" t="n">
        <f aca="false">IF(I41=0,"-",F41/I41)</f>
        <v>0.164656816470501</v>
      </c>
    </row>
    <row r="43" customFormat="false" ht="15" hidden="false" customHeight="false" outlineLevel="0" collapsed="false">
      <c r="A43" s="15" t="s">
        <v>126</v>
      </c>
    </row>
  </sheetData>
  <autoFilter ref="A4:J40"/>
  <conditionalFormatting sqref="H5:H40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{9FB81CA4-1786-4ECF-966E-50ABB6AFA834}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B81CA4-1786-4ECF-966E-50ABB6AFA83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H5:H40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16"/>
  </cols>
  <sheetData>
    <row r="1" customFormat="false" ht="13.4" hidden="false" customHeight="false" outlineLevel="0" collapsed="false">
      <c r="A1" s="40" t="s">
        <v>127</v>
      </c>
      <c r="B1" s="41" t="s">
        <v>128</v>
      </c>
      <c r="C1" s="41"/>
      <c r="D1" s="41"/>
      <c r="E1" s="41"/>
      <c r="F1" s="41"/>
      <c r="G1" s="41"/>
      <c r="H1" s="41"/>
      <c r="I1" s="40" t="s">
        <v>129</v>
      </c>
    </row>
    <row r="2" customFormat="false" ht="15" hidden="false" customHeight="false" outlineLevel="0" collapsed="false">
      <c r="A2" s="40"/>
      <c r="B2" s="40" t="s">
        <v>4</v>
      </c>
      <c r="C2" s="40" t="s">
        <v>130</v>
      </c>
      <c r="D2" s="40"/>
      <c r="E2" s="40"/>
      <c r="F2" s="40" t="s">
        <v>131</v>
      </c>
      <c r="G2" s="40"/>
      <c r="H2" s="40"/>
      <c r="I2" s="40"/>
    </row>
    <row r="3" customFormat="false" ht="15" hidden="false" customHeight="false" outlineLevel="0" collapsed="false">
      <c r="A3" s="40"/>
      <c r="B3" s="40"/>
      <c r="C3" s="40" t="s">
        <v>6</v>
      </c>
      <c r="D3" s="40" t="s">
        <v>132</v>
      </c>
      <c r="E3" s="40" t="s">
        <v>133</v>
      </c>
      <c r="F3" s="40" t="s">
        <v>9</v>
      </c>
      <c r="G3" s="40" t="s">
        <v>10</v>
      </c>
      <c r="H3" s="40" t="s">
        <v>11</v>
      </c>
      <c r="I3" s="40"/>
    </row>
    <row r="4" customFormat="false" ht="15" hidden="false" customHeight="false" outlineLevel="0" collapsed="false">
      <c r="A4" s="42" t="s">
        <v>134</v>
      </c>
      <c r="B4" s="43" t="n">
        <v>897774</v>
      </c>
      <c r="C4" s="43" t="n">
        <v>1200000</v>
      </c>
      <c r="D4" s="44" t="n">
        <v>74.8</v>
      </c>
      <c r="E4" s="43" t="n">
        <v>-302226</v>
      </c>
      <c r="F4" s="43" t="n">
        <v>1184930</v>
      </c>
      <c r="G4" s="44" t="n">
        <v>75.8</v>
      </c>
      <c r="H4" s="43" t="n">
        <v>-287156</v>
      </c>
      <c r="I4" s="45"/>
    </row>
    <row r="5" customFormat="false" ht="15" hidden="false" customHeight="false" outlineLevel="0" collapsed="false">
      <c r="A5" s="46" t="s">
        <v>135</v>
      </c>
      <c r="B5" s="47" t="n">
        <v>1942301</v>
      </c>
      <c r="C5" s="47" t="n">
        <v>3812000</v>
      </c>
      <c r="D5" s="48" t="n">
        <v>51</v>
      </c>
      <c r="E5" s="47" t="n">
        <v>-1869699</v>
      </c>
      <c r="F5" s="47" t="n">
        <v>3514950</v>
      </c>
      <c r="G5" s="48" t="n">
        <v>55.3</v>
      </c>
      <c r="H5" s="47" t="n">
        <v>-1572649</v>
      </c>
      <c r="I5" s="49"/>
    </row>
    <row r="6" customFormat="false" ht="15" hidden="false" customHeight="false" outlineLevel="0" collapsed="false">
      <c r="A6" s="42" t="s">
        <v>136</v>
      </c>
      <c r="B6" s="43" t="n">
        <v>1202200</v>
      </c>
      <c r="C6" s="43" t="n">
        <v>3958000</v>
      </c>
      <c r="D6" s="44" t="n">
        <v>30.4</v>
      </c>
      <c r="E6" s="43" t="n">
        <v>-2755800</v>
      </c>
      <c r="F6" s="43" t="n">
        <v>3803490</v>
      </c>
      <c r="G6" s="44" t="n">
        <v>31.6</v>
      </c>
      <c r="H6" s="43" t="n">
        <v>-2601290</v>
      </c>
      <c r="I6" s="45"/>
    </row>
    <row r="7" customFormat="false" ht="15" hidden="false" customHeight="false" outlineLevel="0" collapsed="false">
      <c r="A7" s="46" t="s">
        <v>137</v>
      </c>
      <c r="B7" s="47" t="n">
        <v>922530</v>
      </c>
      <c r="C7" s="47" t="n">
        <v>3079000</v>
      </c>
      <c r="D7" s="48" t="n">
        <v>30</v>
      </c>
      <c r="E7" s="47" t="n">
        <v>-2156470</v>
      </c>
      <c r="F7" s="47" t="n">
        <v>2912300</v>
      </c>
      <c r="G7" s="48" t="n">
        <v>31.7</v>
      </c>
      <c r="H7" s="47" t="n">
        <v>-1989770</v>
      </c>
      <c r="I7" s="49"/>
    </row>
    <row r="8" customFormat="false" ht="15" hidden="false" customHeight="false" outlineLevel="0" collapsed="false">
      <c r="A8" s="42" t="s">
        <v>138</v>
      </c>
      <c r="B8" s="43" t="n">
        <v>856826</v>
      </c>
      <c r="C8" s="43" t="n">
        <v>2900000</v>
      </c>
      <c r="D8" s="44" t="n">
        <v>29.5</v>
      </c>
      <c r="E8" s="43" t="n">
        <v>-2043174</v>
      </c>
      <c r="F8" s="43" t="n">
        <v>2769045</v>
      </c>
      <c r="G8" s="44" t="n">
        <v>30.9</v>
      </c>
      <c r="H8" s="43" t="n">
        <v>-1912219</v>
      </c>
      <c r="I8" s="45"/>
    </row>
    <row r="9" customFormat="false" ht="15" hidden="false" customHeight="false" outlineLevel="0" collapsed="false">
      <c r="A9" s="46" t="s">
        <v>139</v>
      </c>
      <c r="B9" s="47" t="n">
        <v>1650946</v>
      </c>
      <c r="C9" s="47" t="n">
        <v>6591000</v>
      </c>
      <c r="D9" s="48" t="n">
        <v>25</v>
      </c>
      <c r="E9" s="47" t="n">
        <v>-4940054</v>
      </c>
      <c r="F9" s="47" t="n">
        <v>4992300</v>
      </c>
      <c r="G9" s="48" t="n">
        <v>33.1</v>
      </c>
      <c r="H9" s="47" t="n">
        <v>-3341354</v>
      </c>
      <c r="I9" s="49"/>
    </row>
    <row r="10" customFormat="false" ht="15" hidden="false" customHeight="false" outlineLevel="0" collapsed="false">
      <c r="A10" s="42" t="s">
        <v>140</v>
      </c>
      <c r="B10" s="43" t="n">
        <v>1262854</v>
      </c>
      <c r="C10" s="43" t="n">
        <v>5370000</v>
      </c>
      <c r="D10" s="44" t="n">
        <v>23.5</v>
      </c>
      <c r="E10" s="43" t="n">
        <v>-4107146</v>
      </c>
      <c r="F10" s="43" t="n">
        <v>4965460</v>
      </c>
      <c r="G10" s="44" t="n">
        <v>25.4</v>
      </c>
      <c r="H10" s="43" t="n">
        <v>-3702606</v>
      </c>
      <c r="I10" s="45"/>
    </row>
    <row r="11" customFormat="false" ht="15" hidden="false" customHeight="false" outlineLevel="0" collapsed="false">
      <c r="A11" s="46" t="s">
        <v>141</v>
      </c>
      <c r="B11" s="47" t="n">
        <v>419700</v>
      </c>
      <c r="C11" s="47" t="n">
        <v>2100000</v>
      </c>
      <c r="D11" s="48" t="n">
        <v>20</v>
      </c>
      <c r="E11" s="47" t="n">
        <v>-1680300</v>
      </c>
      <c r="F11" s="47" t="n">
        <v>1953490</v>
      </c>
      <c r="G11" s="48" t="n">
        <v>21.5</v>
      </c>
      <c r="H11" s="47" t="n">
        <v>-1533790</v>
      </c>
      <c r="I11" s="49"/>
    </row>
    <row r="12" customFormat="false" ht="15" hidden="false" customHeight="false" outlineLevel="0" collapsed="false">
      <c r="A12" s="42" t="s">
        <v>142</v>
      </c>
      <c r="B12" s="43" t="n">
        <v>507400</v>
      </c>
      <c r="C12" s="43" t="n">
        <v>2600000</v>
      </c>
      <c r="D12" s="44" t="n">
        <v>19.5</v>
      </c>
      <c r="E12" s="43" t="n">
        <v>-2092600</v>
      </c>
      <c r="F12" s="43" t="n">
        <v>1796500</v>
      </c>
      <c r="G12" s="44" t="n">
        <v>28.2</v>
      </c>
      <c r="H12" s="43" t="n">
        <v>-1289100</v>
      </c>
      <c r="I12" s="45"/>
    </row>
    <row r="13" customFormat="false" ht="15" hidden="false" customHeight="false" outlineLevel="0" collapsed="false">
      <c r="A13" s="46" t="s">
        <v>143</v>
      </c>
      <c r="B13" s="47" t="n">
        <v>241380</v>
      </c>
      <c r="C13" s="47" t="n">
        <v>1250000</v>
      </c>
      <c r="D13" s="48" t="n">
        <v>19.3</v>
      </c>
      <c r="E13" s="47" t="n">
        <v>-1008620</v>
      </c>
      <c r="F13" s="47" t="n">
        <v>997950</v>
      </c>
      <c r="G13" s="48" t="n">
        <v>24.2</v>
      </c>
      <c r="H13" s="47" t="n">
        <v>-756570</v>
      </c>
      <c r="I13" s="49"/>
    </row>
    <row r="14" customFormat="false" ht="15" hidden="false" customHeight="false" outlineLevel="0" collapsed="false">
      <c r="A14" s="42" t="s">
        <v>144</v>
      </c>
      <c r="B14" s="43" t="n">
        <v>776168</v>
      </c>
      <c r="C14" s="43" t="n">
        <v>4050000</v>
      </c>
      <c r="D14" s="44" t="n">
        <v>19.2</v>
      </c>
      <c r="E14" s="43" t="n">
        <v>-3273832</v>
      </c>
      <c r="F14" s="43" t="n">
        <v>3884330</v>
      </c>
      <c r="G14" s="44" t="n">
        <v>20</v>
      </c>
      <c r="H14" s="43" t="n">
        <v>-3108162</v>
      </c>
      <c r="I14" s="45"/>
    </row>
    <row r="15" customFormat="false" ht="15" hidden="false" customHeight="false" outlineLevel="0" collapsed="false">
      <c r="A15" s="46" t="s">
        <v>145</v>
      </c>
      <c r="B15" s="47" t="n">
        <v>898194</v>
      </c>
      <c r="C15" s="47" t="n">
        <v>4782000</v>
      </c>
      <c r="D15" s="48" t="n">
        <v>18.8</v>
      </c>
      <c r="E15" s="47" t="n">
        <v>-3883806</v>
      </c>
      <c r="F15" s="47" t="n">
        <v>4451408</v>
      </c>
      <c r="G15" s="48" t="n">
        <v>20.2</v>
      </c>
      <c r="H15" s="47" t="n">
        <v>-3553214</v>
      </c>
      <c r="I15" s="49"/>
    </row>
    <row r="16" customFormat="false" ht="15" hidden="false" customHeight="false" outlineLevel="0" collapsed="false">
      <c r="A16" s="42" t="s">
        <v>146</v>
      </c>
      <c r="B16" s="43" t="n">
        <v>521900</v>
      </c>
      <c r="C16" s="43" t="n">
        <v>2830000</v>
      </c>
      <c r="D16" s="44" t="n">
        <v>18.4</v>
      </c>
      <c r="E16" s="43" t="n">
        <v>-2308100</v>
      </c>
      <c r="F16" s="43" t="n">
        <v>2230000</v>
      </c>
      <c r="G16" s="44" t="n">
        <v>23.4</v>
      </c>
      <c r="H16" s="43" t="n">
        <v>-1708100</v>
      </c>
      <c r="I16" s="45"/>
    </row>
    <row r="17" customFormat="false" ht="15" hidden="false" customHeight="false" outlineLevel="0" collapsed="false">
      <c r="A17" s="46" t="s">
        <v>147</v>
      </c>
      <c r="B17" s="47" t="n">
        <v>920100</v>
      </c>
      <c r="C17" s="47" t="n">
        <v>5100000</v>
      </c>
      <c r="D17" s="48" t="n">
        <v>18</v>
      </c>
      <c r="E17" s="47" t="n">
        <v>-4179900</v>
      </c>
      <c r="F17" s="47" t="n">
        <v>4342490</v>
      </c>
      <c r="G17" s="48" t="n">
        <v>21.2</v>
      </c>
      <c r="H17" s="47" t="n">
        <v>-3422390</v>
      </c>
      <c r="I17" s="49"/>
    </row>
    <row r="18" customFormat="false" ht="15" hidden="false" customHeight="false" outlineLevel="0" collapsed="false">
      <c r="A18" s="42" t="s">
        <v>148</v>
      </c>
      <c r="B18" s="43" t="n">
        <v>691454</v>
      </c>
      <c r="C18" s="43" t="n">
        <v>3940000</v>
      </c>
      <c r="D18" s="44" t="n">
        <v>17.5</v>
      </c>
      <c r="E18" s="43" t="n">
        <v>-3248546</v>
      </c>
      <c r="F18" s="43" t="n">
        <v>3597695</v>
      </c>
      <c r="G18" s="44" t="n">
        <v>19.2</v>
      </c>
      <c r="H18" s="43" t="n">
        <v>-2906241</v>
      </c>
      <c r="I18" s="45"/>
    </row>
    <row r="19" customFormat="false" ht="15" hidden="false" customHeight="false" outlineLevel="0" collapsed="false">
      <c r="A19" s="46" t="s">
        <v>149</v>
      </c>
      <c r="B19" s="47" t="n">
        <v>721272</v>
      </c>
      <c r="C19" s="47" t="n">
        <v>4200000</v>
      </c>
      <c r="D19" s="48" t="n">
        <v>17.2</v>
      </c>
      <c r="E19" s="47" t="n">
        <v>-3478728</v>
      </c>
      <c r="F19" s="47" t="n">
        <v>4050580</v>
      </c>
      <c r="G19" s="48" t="n">
        <v>17.8</v>
      </c>
      <c r="H19" s="47" t="n">
        <v>-3329308</v>
      </c>
      <c r="I19" s="49"/>
    </row>
    <row r="20" customFormat="false" ht="15" hidden="false" customHeight="false" outlineLevel="0" collapsed="false">
      <c r="A20" s="42" t="s">
        <v>150</v>
      </c>
      <c r="B20" s="43" t="n">
        <v>492100</v>
      </c>
      <c r="C20" s="43" t="n">
        <v>2900000</v>
      </c>
      <c r="D20" s="44" t="n">
        <v>17</v>
      </c>
      <c r="E20" s="43" t="n">
        <v>-2407900</v>
      </c>
      <c r="F20" s="43" t="n">
        <v>2327950</v>
      </c>
      <c r="G20" s="44" t="n">
        <v>21.1</v>
      </c>
      <c r="H20" s="43" t="n">
        <v>-1835850</v>
      </c>
      <c r="I20" s="45"/>
    </row>
    <row r="21" customFormat="false" ht="15" hidden="false" customHeight="false" outlineLevel="0" collapsed="false">
      <c r="A21" s="46" t="s">
        <v>151</v>
      </c>
      <c r="B21" s="47" t="n">
        <v>371528</v>
      </c>
      <c r="C21" s="47" t="n">
        <v>2180000</v>
      </c>
      <c r="D21" s="48" t="n">
        <v>17</v>
      </c>
      <c r="E21" s="47" t="n">
        <v>-1808472</v>
      </c>
      <c r="F21" s="47" t="n">
        <v>1807900</v>
      </c>
      <c r="G21" s="48" t="n">
        <v>20.6</v>
      </c>
      <c r="H21" s="47" t="n">
        <v>-1436372</v>
      </c>
      <c r="I21" s="49"/>
    </row>
    <row r="22" customFormat="false" ht="15" hidden="false" customHeight="false" outlineLevel="0" collapsed="false">
      <c r="A22" s="42" t="s">
        <v>152</v>
      </c>
      <c r="B22" s="43" t="n">
        <v>1582708</v>
      </c>
      <c r="C22" s="43" t="n">
        <v>9500000</v>
      </c>
      <c r="D22" s="44" t="n">
        <v>16.7</v>
      </c>
      <c r="E22" s="43" t="n">
        <v>-7917292</v>
      </c>
      <c r="F22" s="43" t="n">
        <v>9277415</v>
      </c>
      <c r="G22" s="44" t="n">
        <v>17.1</v>
      </c>
      <c r="H22" s="43" t="n">
        <v>-7694707</v>
      </c>
      <c r="I22" s="45"/>
    </row>
    <row r="23" customFormat="false" ht="15" hidden="false" customHeight="false" outlineLevel="0" collapsed="false">
      <c r="A23" s="46" t="s">
        <v>153</v>
      </c>
      <c r="B23" s="47" t="n">
        <v>414000</v>
      </c>
      <c r="C23" s="47" t="n">
        <v>2650000</v>
      </c>
      <c r="D23" s="48" t="n">
        <v>15.6</v>
      </c>
      <c r="E23" s="47" t="n">
        <v>-2236000</v>
      </c>
      <c r="F23" s="47" t="n">
        <v>2438700</v>
      </c>
      <c r="G23" s="48" t="n">
        <v>17</v>
      </c>
      <c r="H23" s="47" t="n">
        <v>-2024700</v>
      </c>
      <c r="I23" s="49"/>
    </row>
    <row r="24" customFormat="false" ht="15" hidden="false" customHeight="false" outlineLevel="0" collapsed="false">
      <c r="A24" s="42" t="s">
        <v>154</v>
      </c>
      <c r="B24" s="43" t="n">
        <v>212253</v>
      </c>
      <c r="C24" s="43" t="n">
        <v>1470000</v>
      </c>
      <c r="D24" s="44" t="n">
        <v>14.4</v>
      </c>
      <c r="E24" s="43" t="n">
        <v>-1257747</v>
      </c>
      <c r="F24" s="43" t="n">
        <v>1293200</v>
      </c>
      <c r="G24" s="44" t="n">
        <v>16.4</v>
      </c>
      <c r="H24" s="43" t="n">
        <v>-1080947</v>
      </c>
      <c r="I24" s="45"/>
    </row>
    <row r="25" customFormat="false" ht="15" hidden="false" customHeight="false" outlineLevel="0" collapsed="false">
      <c r="A25" s="46" t="s">
        <v>155</v>
      </c>
      <c r="B25" s="47" t="n">
        <v>315700</v>
      </c>
      <c r="C25" s="47" t="n">
        <v>2280000</v>
      </c>
      <c r="D25" s="48" t="n">
        <v>13.8</v>
      </c>
      <c r="E25" s="47" t="n">
        <v>-1964300</v>
      </c>
      <c r="F25" s="47" t="n">
        <v>2014530</v>
      </c>
      <c r="G25" s="48" t="n">
        <v>15.7</v>
      </c>
      <c r="H25" s="47" t="n">
        <v>-1698830</v>
      </c>
      <c r="I25" s="49"/>
    </row>
    <row r="26" customFormat="false" ht="15" hidden="false" customHeight="false" outlineLevel="0" collapsed="false">
      <c r="A26" s="42" t="s">
        <v>156</v>
      </c>
      <c r="B26" s="43" t="n">
        <v>255700</v>
      </c>
      <c r="C26" s="43" t="n">
        <v>1900000</v>
      </c>
      <c r="D26" s="44" t="n">
        <v>13.5</v>
      </c>
      <c r="E26" s="43" t="n">
        <v>-1644300</v>
      </c>
      <c r="F26" s="43" t="n">
        <v>1610700</v>
      </c>
      <c r="G26" s="44" t="n">
        <v>15.9</v>
      </c>
      <c r="H26" s="43" t="n">
        <v>-1355000</v>
      </c>
      <c r="I26" s="45"/>
    </row>
    <row r="27" customFormat="false" ht="15" hidden="false" customHeight="false" outlineLevel="0" collapsed="false">
      <c r="A27" s="46" t="s">
        <v>157</v>
      </c>
      <c r="B27" s="47" t="n">
        <v>597712</v>
      </c>
      <c r="C27" s="47" t="n">
        <v>4687000</v>
      </c>
      <c r="D27" s="48" t="n">
        <v>12.8</v>
      </c>
      <c r="E27" s="47" t="n">
        <v>-4089288</v>
      </c>
      <c r="F27" s="47" t="n">
        <v>3376895</v>
      </c>
      <c r="G27" s="48" t="n">
        <v>17.7</v>
      </c>
      <c r="H27" s="47" t="n">
        <v>-2779183</v>
      </c>
      <c r="I27" s="49"/>
    </row>
    <row r="28" customFormat="false" ht="15" hidden="false" customHeight="false" outlineLevel="0" collapsed="false">
      <c r="A28" s="42" t="s">
        <v>158</v>
      </c>
      <c r="B28" s="43" t="n">
        <v>512090</v>
      </c>
      <c r="C28" s="43" t="n">
        <v>4100000</v>
      </c>
      <c r="D28" s="44" t="n">
        <v>12.5</v>
      </c>
      <c r="E28" s="43" t="n">
        <v>-3587910</v>
      </c>
      <c r="F28" s="43" t="n">
        <v>4075700</v>
      </c>
      <c r="G28" s="44" t="n">
        <v>12.6</v>
      </c>
      <c r="H28" s="43" t="n">
        <v>-3563610</v>
      </c>
      <c r="I28" s="45"/>
    </row>
    <row r="29" customFormat="false" ht="15" hidden="false" customHeight="false" outlineLevel="0" collapsed="false">
      <c r="A29" s="46" t="s">
        <v>159</v>
      </c>
      <c r="B29" s="47" t="n">
        <v>313800</v>
      </c>
      <c r="C29" s="47" t="n">
        <v>2600000</v>
      </c>
      <c r="D29" s="48" t="n">
        <v>12.1</v>
      </c>
      <c r="E29" s="47" t="n">
        <v>-2286200</v>
      </c>
      <c r="F29" s="47" t="n">
        <v>2629520</v>
      </c>
      <c r="G29" s="48" t="n">
        <v>11.9</v>
      </c>
      <c r="H29" s="47" t="n">
        <v>-2315720</v>
      </c>
      <c r="I29" s="49"/>
    </row>
    <row r="30" customFormat="false" ht="15" hidden="false" customHeight="false" outlineLevel="0" collapsed="false">
      <c r="A30" s="42" t="s">
        <v>160</v>
      </c>
      <c r="B30" s="43" t="n">
        <v>526863</v>
      </c>
      <c r="C30" s="43" t="n">
        <v>4457000</v>
      </c>
      <c r="D30" s="44" t="n">
        <v>11.8</v>
      </c>
      <c r="E30" s="43" t="n">
        <v>-3930137</v>
      </c>
      <c r="F30" s="43" t="n">
        <v>4363100</v>
      </c>
      <c r="G30" s="44" t="n">
        <v>12.1</v>
      </c>
      <c r="H30" s="43" t="n">
        <v>-3836237</v>
      </c>
      <c r="I30" s="45"/>
    </row>
    <row r="31" customFormat="false" ht="15" hidden="false" customHeight="false" outlineLevel="0" collapsed="false">
      <c r="A31" s="46" t="s">
        <v>161</v>
      </c>
      <c r="B31" s="47" t="n">
        <v>506300</v>
      </c>
      <c r="C31" s="47" t="n">
        <v>4400000</v>
      </c>
      <c r="D31" s="48" t="n">
        <v>11.5</v>
      </c>
      <c r="E31" s="47" t="n">
        <v>-3893700</v>
      </c>
      <c r="F31" s="47" t="n">
        <v>4159145</v>
      </c>
      <c r="G31" s="48" t="n">
        <v>12.2</v>
      </c>
      <c r="H31" s="47" t="n">
        <v>-3652845</v>
      </c>
      <c r="I31" s="49"/>
    </row>
    <row r="32" customFormat="false" ht="15" hidden="false" customHeight="false" outlineLevel="0" collapsed="false">
      <c r="A32" s="42" t="s">
        <v>162</v>
      </c>
      <c r="B32" s="43" t="n">
        <v>413000</v>
      </c>
      <c r="C32" s="43" t="n">
        <v>3650000</v>
      </c>
      <c r="D32" s="44" t="n">
        <v>11.3</v>
      </c>
      <c r="E32" s="43" t="n">
        <v>-3237000</v>
      </c>
      <c r="F32" s="43" t="n">
        <v>3418600</v>
      </c>
      <c r="G32" s="44" t="n">
        <v>12.1</v>
      </c>
      <c r="H32" s="43" t="n">
        <v>-3005600</v>
      </c>
      <c r="I32" s="45"/>
    </row>
    <row r="33" customFormat="false" ht="15" hidden="false" customHeight="false" outlineLevel="0" collapsed="false">
      <c r="A33" s="46" t="s">
        <v>163</v>
      </c>
      <c r="B33" s="47" t="n">
        <v>312500</v>
      </c>
      <c r="C33" s="47" t="n">
        <v>3100000</v>
      </c>
      <c r="D33" s="48" t="n">
        <v>10.1</v>
      </c>
      <c r="E33" s="47" t="n">
        <v>-2787500</v>
      </c>
      <c r="F33" s="47" t="n">
        <v>2923612</v>
      </c>
      <c r="G33" s="48" t="n">
        <v>10.7</v>
      </c>
      <c r="H33" s="47" t="n">
        <v>-2611112</v>
      </c>
      <c r="I33" s="49"/>
    </row>
    <row r="34" customFormat="false" ht="15" hidden="false" customHeight="false" outlineLevel="0" collapsed="false">
      <c r="A34" s="42" t="s">
        <v>164</v>
      </c>
      <c r="B34" s="43" t="n">
        <v>304800</v>
      </c>
      <c r="C34" s="43" t="n">
        <v>3050000</v>
      </c>
      <c r="D34" s="44" t="n">
        <v>10</v>
      </c>
      <c r="E34" s="43" t="n">
        <v>-2745200</v>
      </c>
      <c r="F34" s="43" t="n">
        <v>3027600</v>
      </c>
      <c r="G34" s="44" t="n">
        <v>10.1</v>
      </c>
      <c r="H34" s="43" t="n">
        <v>-2722800</v>
      </c>
      <c r="I34" s="45"/>
    </row>
    <row r="35" customFormat="false" ht="15" hidden="false" customHeight="false" outlineLevel="0" collapsed="false">
      <c r="A35" s="46" t="s">
        <v>165</v>
      </c>
      <c r="B35" s="47" t="n">
        <v>147316</v>
      </c>
      <c r="C35" s="47" t="n">
        <v>1520000</v>
      </c>
      <c r="D35" s="48" t="n">
        <v>9.7</v>
      </c>
      <c r="E35" s="47" t="n">
        <v>-1372684</v>
      </c>
      <c r="F35" s="47" t="n">
        <v>1451810</v>
      </c>
      <c r="G35" s="48" t="n">
        <v>10.1</v>
      </c>
      <c r="H35" s="47" t="n">
        <v>-1304494</v>
      </c>
      <c r="I35" s="49"/>
    </row>
    <row r="36" customFormat="false" ht="15" hidden="false" customHeight="false" outlineLevel="0" collapsed="false">
      <c r="A36" s="42" t="s">
        <v>166</v>
      </c>
      <c r="B36" s="43" t="n">
        <v>644000</v>
      </c>
      <c r="C36" s="43" t="n">
        <v>6700000</v>
      </c>
      <c r="D36" s="44" t="n">
        <v>9.6</v>
      </c>
      <c r="E36" s="43" t="n">
        <v>-6056000</v>
      </c>
      <c r="F36" s="43" t="n">
        <v>6535150</v>
      </c>
      <c r="G36" s="44" t="n">
        <v>9.9</v>
      </c>
      <c r="H36" s="43" t="n">
        <v>-5891150</v>
      </c>
      <c r="I36" s="45"/>
    </row>
    <row r="37" customFormat="false" ht="15" hidden="false" customHeight="false" outlineLevel="0" collapsed="false">
      <c r="A37" s="46" t="s">
        <v>167</v>
      </c>
      <c r="B37" s="47" t="n">
        <v>247325</v>
      </c>
      <c r="C37" s="47" t="n">
        <v>2883000</v>
      </c>
      <c r="D37" s="48" t="n">
        <v>8.6</v>
      </c>
      <c r="E37" s="47" t="n">
        <v>-2635675</v>
      </c>
      <c r="F37" s="47" t="n">
        <v>2232420</v>
      </c>
      <c r="G37" s="48" t="n">
        <v>11.1</v>
      </c>
      <c r="H37" s="47" t="n">
        <v>-1985095</v>
      </c>
      <c r="I37" s="49"/>
    </row>
    <row r="38" customFormat="false" ht="15" hidden="false" customHeight="false" outlineLevel="0" collapsed="false">
      <c r="A38" s="42" t="s">
        <v>168</v>
      </c>
      <c r="B38" s="43" t="n">
        <v>263871</v>
      </c>
      <c r="C38" s="43" t="n">
        <v>3130000</v>
      </c>
      <c r="D38" s="44" t="n">
        <v>8.4</v>
      </c>
      <c r="E38" s="43" t="n">
        <v>-2866129</v>
      </c>
      <c r="F38" s="43" t="n">
        <v>2850123</v>
      </c>
      <c r="G38" s="44" t="n">
        <v>9.3</v>
      </c>
      <c r="H38" s="43" t="n">
        <v>-2586252</v>
      </c>
      <c r="I38" s="45"/>
    </row>
    <row r="39" customFormat="false" ht="15" hidden="false" customHeight="false" outlineLevel="0" collapsed="false">
      <c r="A39" s="46" t="s">
        <v>169</v>
      </c>
      <c r="B39" s="47" t="n">
        <v>320226</v>
      </c>
      <c r="C39" s="47" t="n">
        <v>4172000</v>
      </c>
      <c r="D39" s="48" t="n">
        <v>7.7</v>
      </c>
      <c r="E39" s="47" t="n">
        <v>-3851774</v>
      </c>
      <c r="F39" s="47" t="n">
        <v>2813375</v>
      </c>
      <c r="G39" s="48" t="n">
        <v>11.4</v>
      </c>
      <c r="H39" s="47" t="n">
        <v>-2493149</v>
      </c>
      <c r="I39" s="49"/>
    </row>
    <row r="40" customFormat="false" ht="15" hidden="false" customHeight="false" outlineLevel="0" collapsed="false">
      <c r="A40" s="42" t="s">
        <v>170</v>
      </c>
      <c r="B40" s="43" t="n">
        <v>151000</v>
      </c>
      <c r="C40" s="43" t="n">
        <v>2168000</v>
      </c>
      <c r="D40" s="44" t="n">
        <v>7</v>
      </c>
      <c r="E40" s="43" t="n">
        <v>-2017000</v>
      </c>
      <c r="F40" s="43" t="n">
        <v>2059800</v>
      </c>
      <c r="G40" s="44" t="n">
        <v>7.3</v>
      </c>
      <c r="H40" s="43" t="n">
        <v>-1908800</v>
      </c>
      <c r="I40" s="45"/>
    </row>
    <row r="41" customFormat="false" ht="15" hidden="false" customHeight="false" outlineLevel="0" collapsed="false">
      <c r="A41" s="46" t="s">
        <v>171</v>
      </c>
      <c r="B41" s="47" t="n">
        <v>119200</v>
      </c>
      <c r="C41" s="47" t="n">
        <v>1700000</v>
      </c>
      <c r="D41" s="48" t="n">
        <v>7</v>
      </c>
      <c r="E41" s="47" t="n">
        <v>-1580800</v>
      </c>
      <c r="F41" s="48" t="n">
        <v>0</v>
      </c>
      <c r="G41" s="48" t="n">
        <v>0</v>
      </c>
      <c r="H41" s="47" t="n">
        <v>119200</v>
      </c>
      <c r="I41" s="49"/>
    </row>
    <row r="42" customFormat="false" ht="15" hidden="false" customHeight="false" outlineLevel="0" collapsed="false">
      <c r="A42" s="42" t="s">
        <v>172</v>
      </c>
      <c r="B42" s="43" t="n">
        <v>202545</v>
      </c>
      <c r="C42" s="43" t="n">
        <v>3400000</v>
      </c>
      <c r="D42" s="44" t="n">
        <v>6</v>
      </c>
      <c r="E42" s="43" t="n">
        <v>-3197455</v>
      </c>
      <c r="F42" s="43" t="n">
        <v>4550720</v>
      </c>
      <c r="G42" s="44" t="n">
        <v>4.5</v>
      </c>
      <c r="H42" s="43" t="n">
        <v>-4348175</v>
      </c>
      <c r="I42" s="45"/>
    </row>
    <row r="43" customFormat="false" ht="15" hidden="false" customHeight="false" outlineLevel="0" collapsed="false">
      <c r="A43" s="46" t="s">
        <v>173</v>
      </c>
      <c r="B43" s="47" t="n">
        <v>619544</v>
      </c>
      <c r="C43" s="47" t="n">
        <v>12000000</v>
      </c>
      <c r="D43" s="48" t="n">
        <v>5.2</v>
      </c>
      <c r="E43" s="47" t="n">
        <v>-11380456</v>
      </c>
      <c r="F43" s="47" t="n">
        <v>11765100</v>
      </c>
      <c r="G43" s="48" t="n">
        <v>5.3</v>
      </c>
      <c r="H43" s="47" t="n">
        <v>-11145556</v>
      </c>
      <c r="I43" s="49"/>
    </row>
    <row r="44" customFormat="false" ht="15" hidden="false" customHeight="false" outlineLevel="0" collapsed="false">
      <c r="A44" s="42" t="s">
        <v>174</v>
      </c>
      <c r="B44" s="43" t="n">
        <v>132320</v>
      </c>
      <c r="C44" s="43" t="n">
        <v>3050000</v>
      </c>
      <c r="D44" s="44" t="n">
        <v>4.3</v>
      </c>
      <c r="E44" s="43" t="n">
        <v>-2917680</v>
      </c>
      <c r="F44" s="43" t="n">
        <v>2677580</v>
      </c>
      <c r="G44" s="44" t="n">
        <v>4.9</v>
      </c>
      <c r="H44" s="43" t="n">
        <v>-2545260</v>
      </c>
      <c r="I44" s="45"/>
    </row>
    <row r="45" customFormat="false" ht="15" hidden="false" customHeight="false" outlineLevel="0" collapsed="false">
      <c r="A45" s="46" t="s">
        <v>175</v>
      </c>
      <c r="B45" s="47" t="n">
        <v>127300</v>
      </c>
      <c r="C45" s="47" t="n">
        <v>4900000</v>
      </c>
      <c r="D45" s="48" t="n">
        <v>2.6</v>
      </c>
      <c r="E45" s="47" t="n">
        <v>-4772700</v>
      </c>
      <c r="F45" s="47" t="n">
        <v>4882220</v>
      </c>
      <c r="G45" s="48" t="n">
        <v>2.6</v>
      </c>
      <c r="H45" s="47" t="n">
        <v>-4754920</v>
      </c>
      <c r="I45" s="49"/>
    </row>
    <row r="46" customFormat="false" ht="15" hidden="false" customHeight="false" outlineLevel="0" collapsed="false">
      <c r="A46" s="42" t="s">
        <v>176</v>
      </c>
      <c r="B46" s="43" t="n">
        <v>182800</v>
      </c>
      <c r="C46" s="43" t="n">
        <v>8400000</v>
      </c>
      <c r="D46" s="44" t="n">
        <v>2.2</v>
      </c>
      <c r="E46" s="43" t="n">
        <v>-8217200</v>
      </c>
      <c r="F46" s="43" t="n">
        <v>8129765</v>
      </c>
      <c r="G46" s="44" t="n">
        <v>2.2</v>
      </c>
      <c r="H46" s="43" t="n">
        <v>-7946965</v>
      </c>
      <c r="I46" s="45"/>
    </row>
    <row r="47" customFormat="false" ht="15" hidden="false" customHeight="false" outlineLevel="0" collapsed="false">
      <c r="A47" s="50" t="s">
        <v>16</v>
      </c>
      <c r="B47" s="51" t="n">
        <v>24721500</v>
      </c>
      <c r="C47" s="51" t="n">
        <v>164709000</v>
      </c>
      <c r="D47" s="52" t="n">
        <v>15</v>
      </c>
      <c r="E47" s="51" t="n">
        <v>-139987500</v>
      </c>
      <c r="F47" s="51" t="n">
        <v>150139548</v>
      </c>
      <c r="G47" s="52" t="n">
        <v>16.5</v>
      </c>
      <c r="H47" s="51" t="n">
        <v>-125418048</v>
      </c>
      <c r="I47" s="53"/>
    </row>
  </sheetData>
  <mergeCells count="6">
    <mergeCell ref="A1:A3"/>
    <mergeCell ref="B1:H1"/>
    <mergeCell ref="I1:I3"/>
    <mergeCell ref="B2:B3"/>
    <mergeCell ref="C2:E2"/>
    <mergeCell ref="F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2026-10-06T04:43:46Z</dcterms:created>
  <dc:creator>openpyxl</dc:creator>
  <dc:description/>
  <dc:language>en-US</dc:language>
  <cp:lastModifiedBy/>
  <dcterms:modified xsi:type="dcterms:W3CDTF">2026-10-06T04:43:47Z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