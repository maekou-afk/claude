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ブランド別サマリー" sheetId="1" state="visible" r:id="rId3"/>
    <sheet name="店舗別明細" sheetId="2" state="visible" r:id="rId4"/>
    <sheet name="施設別" sheetId="3" state="visible" r:id="rId5"/>
    <sheet name="元データ" sheetId="4" state="visible" r:id="rId6"/>
    <sheet name="店舗マスタ" sheetId="5" state="visible" r:id="rId7"/>
    <sheet name="取込チェック" sheetId="6" state="visible" r:id="rId8"/>
  </sheets>
  <definedNames>
    <definedName function="false" hidden="true" localSheetId="4" name="_xlnm._FilterDatabase" vbProcedure="false">店舗マスタ!$A$4:$O$304</definedName>
    <definedName function="false" hidden="false" localSheetId="1" name="_xlnm.Print_Titles" vbProcedure="false">店舗別明細!$4:$4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<sst xmlns="http://schemas.openxmlformats.org/spreadsheetml/2006/main" count="278" uniqueCount="158">
  <si>
    <t xml:space="preserve">ブランド系統別の集計。元データシートを貼り替えると全シートが自動更新されます。</t>
  </si>
  <si>
    <t xml:space="preserve">ブランド系統</t>
  </si>
  <si>
    <t xml:space="preserve">店舗数</t>
  </si>
  <si>
    <t xml:space="preserve">売上金額</t>
  </si>
  <si>
    <t xml:space="preserve">売上構成比</t>
  </si>
  <si>
    <t xml:space="preserve">予算金額</t>
  </si>
  <si>
    <t xml:space="preserve">予算達成率</t>
  </si>
  <si>
    <t xml:space="preserve">予算差額</t>
  </si>
  <si>
    <t xml:space="preserve">前年売上金額</t>
  </si>
  <si>
    <t xml:space="preserve">前年対比</t>
  </si>
  <si>
    <t xml:space="preserve">前年差額</t>
  </si>
  <si>
    <t xml:space="preserve">アルチビオ</t>
  </si>
  <si>
    <t xml:space="preserve">スタジオピッコーネ／ピッコーネクラブ</t>
  </si>
  <si>
    <t xml:space="preserve">ピッコーネ</t>
  </si>
  <si>
    <t xml:space="preserve">複合（アルチビオ＋ピッコーネ系）</t>
  </si>
  <si>
    <t xml:space="preserve">合計</t>
  </si>
  <si>
    <t xml:space="preserve">■ データ取込チェック</t>
  </si>
  <si>
    <t xml:space="preserve">■ 毎月の更新手順</t>
  </si>
  <si>
    <t xml:space="preserve">元データの合計行（売上）</t>
  </si>
  <si>
    <r>
      <rPr>
        <sz val="10"/>
        <color rgb="FF000000"/>
        <rFont val="Meiryo UI"/>
        <family val="0"/>
        <charset val="1"/>
      </rPr>
      <t xml:space="preserve">① POSCM</t>
    </r>
    <r>
      <rPr>
        <sz val="10"/>
        <color rgb="FF000000"/>
        <rFont val="WenQuanYi Zen Hei"/>
        <family val="2"/>
      </rPr>
      <t xml:space="preserve">から出力した</t>
    </r>
    <r>
      <rPr>
        <sz val="10"/>
        <color rgb="FF000000"/>
        <rFont val="Meiryo UI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を開き、シート全体をコピー（</t>
    </r>
    <r>
      <rPr>
        <sz val="10"/>
        <color rgb="FF000000"/>
        <rFont val="Meiryo UI"/>
        <family val="0"/>
        <charset val="1"/>
      </rPr>
      <t xml:space="preserve">Ctrl+A → Ctrl+C</t>
    </r>
    <r>
      <rPr>
        <sz val="10"/>
        <color rgb="FF000000"/>
        <rFont val="WenQuanYi Zen Hei"/>
        <family val="2"/>
      </rPr>
      <t xml:space="preserve">）</t>
    </r>
  </si>
  <si>
    <t xml:space="preserve">本表の合計（売上）</t>
  </si>
  <si>
    <r>
      <rPr>
        <sz val="10"/>
        <color rgb="FF000000"/>
        <rFont val="WenQuanYi Zen Hei"/>
        <family val="2"/>
      </rPr>
      <t xml:space="preserve">② このファイルの「元データ」シートを開き、全選択して削除（</t>
    </r>
    <r>
      <rPr>
        <sz val="10"/>
        <color rgb="FF000000"/>
        <rFont val="Meiryo UI"/>
        <family val="0"/>
        <charset val="1"/>
      </rPr>
      <t xml:space="preserve">Ctrl+A → Delete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</si>
  <si>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差異（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なら</t>
    </r>
    <r>
      <rPr>
        <sz val="10"/>
        <rFont val="Meiryo UI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</si>
  <si>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③ 「元データ」の</t>
    </r>
    <r>
      <rPr>
        <sz val="10"/>
        <color rgb="FF000000"/>
        <rFont val="Meiryo UI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セルを選んで貼り付け（</t>
    </r>
    <r>
      <rPr>
        <sz val="10"/>
        <color rgb="FF000000"/>
        <rFont val="Meiryo UI"/>
        <family val="0"/>
        <charset val="1"/>
      </rPr>
      <t xml:space="preserve">Ctrl+V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</si>
  <si>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未登録の店舗数（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なら</t>
    </r>
    <r>
      <rPr>
        <sz val="10"/>
        <rFont val="Meiryo UI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</si>
  <si>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④ このシートの「総合判定」が</t>
    </r>
    <r>
      <rPr>
        <sz val="10"/>
        <color rgb="FF000000"/>
        <rFont val="Meiryo UI"/>
        <family val="0"/>
        <charset val="1"/>
      </rPr>
      <t xml:space="preserve">OK</t>
    </r>
    <r>
      <rPr>
        <sz val="10"/>
        <color rgb="FF000000"/>
        <rFont val="WenQuanYi Zen Hei"/>
        <family val="2"/>
      </rPr>
      <t xml:space="preserve">なら完了（タイトルの年月も自動で変わります）</t>
    </r>
  </si>
  <si>
    <t xml:space="preserve">マスタ登録済で今月データなしの店舗数</t>
  </si>
  <si>
    <r>
      <rPr>
        <sz val="10"/>
        <color rgb="FF000000"/>
        <rFont val="WenQuanYi Zen Hei"/>
        <family val="2"/>
      </rPr>
      <t xml:space="preserve">⑤ 「未登録」が出たら、取込チェックシートの赤い行を見て店舗マスタに</t>
    </r>
    <r>
      <rPr>
        <sz val="10"/>
        <color rgb="FF000000"/>
        <rFont val="Meiryo UI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行追加</t>
    </r>
  </si>
  <si>
    <t xml:space="preserve">明細シートの予備枠</t>
  </si>
  <si>
    <t xml:space="preserve">※ 元データシートの名前は変えないでください。</t>
  </si>
  <si>
    <t xml:space="preserve">総合判定</t>
  </si>
  <si>
    <t xml:space="preserve">ブランド系統ごとに、達成率の高い順に自動で並びます（元データを貼り替えると並びも更新）。空欄の行は新店用の予備枠です。</t>
  </si>
  <si>
    <t xml:space="preserve">店舗コード</t>
  </si>
  <si>
    <t xml:space="preserve">施設・店舗名</t>
  </si>
  <si>
    <t xml:space="preserve">取扱ブランド</t>
  </si>
  <si>
    <r>
      <rPr>
        <sz val="9"/>
        <color rgb="FF404040"/>
        <rFont val="WenQuanYi Zen Hei"/>
        <family val="2"/>
      </rPr>
      <t xml:space="preserve">同じ施設の複数ブランドを</t>
    </r>
    <r>
      <rPr>
        <sz val="9"/>
        <color rgb="FF404040"/>
        <rFont val="Meiryo UI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行にまとめた集計。売上の大きい順に自動で並びます。</t>
    </r>
  </si>
  <si>
    <t xml:space="preserve">複合
（アルチビオ＋ピッコーネ系）</t>
  </si>
  <si>
    <t xml:space="preserve">売上合計</t>
  </si>
  <si>
    <t xml:space="preserve">予算合計</t>
  </si>
  <si>
    <t xml:space="preserve">前年売上合計</t>
  </si>
  <si>
    <r>
      <rPr>
        <sz val="9"/>
        <color rgb="FF404040"/>
        <rFont val="WenQuanYi Zen Hei"/>
        <family val="2"/>
      </rPr>
      <t xml:space="preserve">※ 太字の施設は複数ブランドを持つ施設。ブランド列の「</t>
    </r>
    <r>
      <rPr>
        <sz val="9"/>
        <color rgb="FF404040"/>
        <rFont val="Meiryo UI"/>
        <family val="0"/>
        <charset val="1"/>
      </rPr>
      <t xml:space="preserve">-</t>
    </r>
    <r>
      <rPr>
        <sz val="9"/>
        <color rgb="FF404040"/>
        <rFont val="WenQuanYi Zen Hei"/>
        <family val="2"/>
      </rPr>
      <t xml:space="preserve">」は該当なし。</t>
    </r>
  </si>
  <si>
    <t xml:space="preserve">店舗</t>
  </si>
  <si>
    <r>
      <rPr>
        <b val="true"/>
        <sz val="8.8"/>
        <color theme="1"/>
        <rFont val="WenQuanYi Zen Hei"/>
        <family val="2"/>
      </rPr>
      <t xml:space="preserve">指定月　【前年同月 </t>
    </r>
    <r>
      <rPr>
        <b val="true"/>
        <sz val="8.8"/>
        <color theme="1"/>
        <rFont val="MS PGothic"/>
        <family val="3"/>
        <charset val="1"/>
      </rPr>
      <t xml:space="preserve">2025/10</t>
    </r>
    <r>
      <rPr>
        <b val="true"/>
        <sz val="8.8"/>
        <color theme="1"/>
        <rFont val="WenQuanYi Zen Hei"/>
        <family val="2"/>
      </rPr>
      <t xml:space="preserve">】</t>
    </r>
  </si>
  <si>
    <t xml:space="preserve">詳細</t>
  </si>
  <si>
    <t xml:space="preserve">予算情報及び対比</t>
  </si>
  <si>
    <t xml:space="preserve">前年同月情報及び対比</t>
  </si>
  <si>
    <t xml:space="preserve">達成率</t>
  </si>
  <si>
    <t xml:space="preserve">差額</t>
  </si>
  <si>
    <r>
      <rPr>
        <sz val="8.8"/>
        <color theme="1"/>
        <rFont val="MS PGothic"/>
        <family val="3"/>
        <charset val="1"/>
      </rPr>
      <t xml:space="preserve">(32673900)</t>
    </r>
    <r>
      <rPr>
        <sz val="8.8"/>
        <color theme="1"/>
        <rFont val="WenQuanYi Zen Hei"/>
        <family val="2"/>
      </rPr>
      <t xml:space="preserve">高島屋高崎店アルチビオ</t>
    </r>
  </si>
  <si>
    <r>
      <rPr>
        <sz val="8.8"/>
        <color theme="1"/>
        <rFont val="MS PGothic"/>
        <family val="3"/>
        <charset val="1"/>
      </rPr>
      <t xml:space="preserve">(32580400)</t>
    </r>
    <r>
      <rPr>
        <sz val="8.8"/>
        <color theme="1"/>
        <rFont val="WenQuanYi Zen Hei"/>
        <family val="2"/>
      </rPr>
      <t xml:space="preserve">ハービス</t>
    </r>
    <r>
      <rPr>
        <sz val="8.8"/>
        <color theme="1"/>
        <rFont val="MS PGothic"/>
        <family val="3"/>
        <charset val="1"/>
      </rPr>
      <t xml:space="preserve">PLAZA</t>
    </r>
    <r>
      <rPr>
        <sz val="8.8"/>
        <color theme="1"/>
        <rFont val="WenQuanYi Zen Hei"/>
        <family val="2"/>
      </rPr>
      <t xml:space="preserve">店アルチビオ</t>
    </r>
  </si>
  <si>
    <r>
      <rPr>
        <sz val="8.8"/>
        <color theme="1"/>
        <rFont val="MS PGothic"/>
        <family val="3"/>
        <charset val="1"/>
      </rPr>
      <t xml:space="preserve">(32670600)</t>
    </r>
    <r>
      <rPr>
        <sz val="8.8"/>
        <color theme="1"/>
        <rFont val="WenQuanYi Zen Hei"/>
        <family val="2"/>
      </rPr>
      <t xml:space="preserve">高島屋新宿店アルチビオ</t>
    </r>
  </si>
  <si>
    <r>
      <rPr>
        <sz val="8.8"/>
        <color theme="1"/>
        <rFont val="MS PGothic"/>
        <family val="3"/>
        <charset val="1"/>
      </rPr>
      <t xml:space="preserve">(32671500)</t>
    </r>
    <r>
      <rPr>
        <sz val="8.8"/>
        <color theme="1"/>
        <rFont val="WenQuanYi Zen Hei"/>
        <family val="2"/>
      </rPr>
      <t xml:space="preserve">札幌三越ピッコーネ・アルチビオ</t>
    </r>
  </si>
  <si>
    <r>
      <rPr>
        <sz val="8.8"/>
        <color theme="1"/>
        <rFont val="MS PGothic"/>
        <family val="3"/>
        <charset val="1"/>
      </rPr>
      <t xml:space="preserve">(32674900)</t>
    </r>
    <r>
      <rPr>
        <sz val="8.8"/>
        <color theme="1"/>
        <rFont val="WenQuanYi Zen Hei"/>
        <family val="2"/>
      </rPr>
      <t xml:space="preserve">松屋銀座本店アルチビオ</t>
    </r>
  </si>
  <si>
    <r>
      <rPr>
        <sz val="8.8"/>
        <color theme="1"/>
        <rFont val="MS PGothic"/>
        <family val="3"/>
        <charset val="1"/>
      </rPr>
      <t xml:space="preserve">(32570100)</t>
    </r>
    <r>
      <rPr>
        <sz val="8.8"/>
        <color theme="1"/>
        <rFont val="WenQuanYi Zen Hei"/>
        <family val="2"/>
      </rPr>
      <t xml:space="preserve">高島屋大阪店アルチビオ</t>
    </r>
  </si>
  <si>
    <r>
      <rPr>
        <sz val="8.8"/>
        <color theme="1"/>
        <rFont val="MS PGothic"/>
        <family val="3"/>
        <charset val="1"/>
      </rPr>
      <t xml:space="preserve">(32570200)</t>
    </r>
    <r>
      <rPr>
        <sz val="8.8"/>
        <color theme="1"/>
        <rFont val="WenQuanYi Zen Hei"/>
        <family val="2"/>
      </rPr>
      <t xml:space="preserve">高島屋大阪店ｽﾀｼﾞｵﾋﾟｯｺｰﾈ・ﾋﾟｯｺｰﾈｸﾗﾌﾞ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</si>
  <si>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(32676200)</t>
    </r>
    <r>
      <rPr>
        <sz val="8.8"/>
        <color theme="1"/>
        <rFont val="WenQuanYi Zen Hei"/>
        <family val="2"/>
      </rPr>
      <t xml:space="preserve">東武宇都宮百貨店ｽﾀｼﾞｵﾋﾟｯｺｰﾈ・ﾋﾟｯｺｰﾈｸﾗﾌﾞ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</si>
  <si>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(32574100)</t>
    </r>
    <r>
      <rPr>
        <sz val="8.8"/>
        <color theme="1"/>
        <rFont val="WenQuanYi Zen Hei"/>
        <family val="2"/>
      </rPr>
      <t xml:space="preserve">広島三越店スタジオピッコーネ</t>
    </r>
  </si>
  <si>
    <r>
      <rPr>
        <sz val="8.8"/>
        <color theme="1"/>
        <rFont val="MS PGothic"/>
        <family val="3"/>
        <charset val="1"/>
      </rPr>
      <t xml:space="preserve">(32675700)</t>
    </r>
    <r>
      <rPr>
        <sz val="8.8"/>
        <color theme="1"/>
        <rFont val="WenQuanYi Zen Hei"/>
        <family val="2"/>
      </rPr>
      <t xml:space="preserve">静岡伊勢丹ｽﾀｼﾞｵﾋﾟｯｺｰﾈ・ﾋﾟｯｺｰﾈｸﾗﾌﾞ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</si>
  <si>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(32670400)</t>
    </r>
    <r>
      <rPr>
        <sz val="8.8"/>
        <color theme="1"/>
        <rFont val="WenQuanYi Zen Hei"/>
        <family val="2"/>
      </rPr>
      <t xml:space="preserve">高島屋高崎店ｽﾀｼﾞｵﾋﾟｯｺｰﾈ・ﾋﾟｯｺｰﾈｸﾗﾌﾞ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</si>
  <si>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(32581000)</t>
    </r>
    <r>
      <rPr>
        <sz val="8.8"/>
        <color theme="1"/>
        <rFont val="WenQuanYi Zen Hei"/>
        <family val="2"/>
      </rPr>
      <t xml:space="preserve">堀江店アルチビオ</t>
    </r>
  </si>
  <si>
    <r>
      <rPr>
        <sz val="8.8"/>
        <color theme="1"/>
        <rFont val="MS PGothic"/>
        <family val="3"/>
        <charset val="1"/>
      </rPr>
      <t xml:space="preserve">(32572600)</t>
    </r>
    <r>
      <rPr>
        <sz val="8.8"/>
        <color theme="1"/>
        <rFont val="WenQuanYi Zen Hei"/>
        <family val="2"/>
      </rPr>
      <t xml:space="preserve">大丸福岡天神店ｽﾀｼﾞｵﾋﾟｯｺｰﾈ・ﾋﾟｯｺｰﾈｸﾗﾌﾞ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</si>
  <si>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(32670200)</t>
    </r>
    <r>
      <rPr>
        <sz val="8.8"/>
        <color theme="1"/>
        <rFont val="WenQuanYi Zen Hei"/>
        <family val="2"/>
      </rPr>
      <t xml:space="preserve">髙島屋横浜店ｽﾀｼﾞｵﾋﾟｯｺｰﾈ・ﾋﾟｯｺｰﾈｸﾗﾌﾞ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</si>
  <si>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(32573700)</t>
    </r>
    <r>
      <rPr>
        <sz val="8.8"/>
        <color theme="1"/>
        <rFont val="WenQuanYi Zen Hei"/>
        <family val="2"/>
      </rPr>
      <t xml:space="preserve">近鉄百貨店上本町店ｽﾀｼﾞｵﾋﾟｯｺｰﾈ・ﾋﾟｯｺｰﾈｸﾗﾌ</t>
    </r>
  </si>
  <si>
    <r>
      <rPr>
        <sz val="8.8"/>
        <color theme="1"/>
        <rFont val="MS PGothic"/>
        <family val="3"/>
        <charset val="1"/>
      </rPr>
      <t xml:space="preserve">(32575700)</t>
    </r>
    <r>
      <rPr>
        <sz val="8.8"/>
        <color theme="1"/>
        <rFont val="WenQuanYi Zen Hei"/>
        <family val="2"/>
      </rPr>
      <t xml:space="preserve">名古屋三越栄店スタジオピッコーネ</t>
    </r>
  </si>
  <si>
    <r>
      <rPr>
        <sz val="8.8"/>
        <color theme="1"/>
        <rFont val="MS PGothic"/>
        <family val="3"/>
        <charset val="1"/>
      </rPr>
      <t xml:space="preserve">(32671900)</t>
    </r>
    <r>
      <rPr>
        <sz val="8.8"/>
        <color theme="1"/>
        <rFont val="WenQuanYi Zen Hei"/>
        <family val="2"/>
      </rPr>
      <t xml:space="preserve">松坂屋上野店ｽﾀｼﾞｵﾋﾟｯｺｰﾈ・ﾋﾟｯｺｰﾈｸﾗﾌﾞ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</si>
  <si>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(32673800)</t>
    </r>
    <r>
      <rPr>
        <sz val="8.8"/>
        <color theme="1"/>
        <rFont val="WenQuanYi Zen Hei"/>
        <family val="2"/>
      </rPr>
      <t xml:space="preserve">高島屋横浜店アルチビオ</t>
    </r>
  </si>
  <si>
    <r>
      <rPr>
        <sz val="8.8"/>
        <color theme="1"/>
        <rFont val="MS PGothic"/>
        <family val="3"/>
        <charset val="1"/>
      </rPr>
      <t xml:space="preserve">(32572200)</t>
    </r>
    <r>
      <rPr>
        <sz val="8.8"/>
        <color theme="1"/>
        <rFont val="WenQuanYi Zen Hei"/>
        <family val="2"/>
      </rPr>
      <t xml:space="preserve">松坂屋名古屋店アルチビオ・ピッコーネクラ</t>
    </r>
  </si>
  <si>
    <r>
      <rPr>
        <sz val="8.8"/>
        <color theme="1"/>
        <rFont val="MS PGothic"/>
        <family val="3"/>
        <charset val="1"/>
      </rPr>
      <t xml:space="preserve">(32675800)</t>
    </r>
    <r>
      <rPr>
        <sz val="8.8"/>
        <color theme="1"/>
        <rFont val="WenQuanYi Zen Hei"/>
        <family val="2"/>
      </rPr>
      <t xml:space="preserve">伊勢丹立川店ｽﾀｼﾞｵﾋﾟｯｺｰﾈ・ﾋﾟｯｺｰﾈｸﾗﾌﾞ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</si>
  <si>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(32674400)</t>
    </r>
    <r>
      <rPr>
        <sz val="8.8"/>
        <color theme="1"/>
        <rFont val="WenQuanYi Zen Hei"/>
        <family val="2"/>
      </rPr>
      <t xml:space="preserve">伊勢丹浦和店アルチビオ</t>
    </r>
  </si>
  <si>
    <r>
      <rPr>
        <sz val="8.8"/>
        <color theme="1"/>
        <rFont val="MS PGothic"/>
        <family val="3"/>
        <charset val="1"/>
      </rPr>
      <t xml:space="preserve">(32573400)</t>
    </r>
    <r>
      <rPr>
        <sz val="8.8"/>
        <color theme="1"/>
        <rFont val="WenQuanYi Zen Hei"/>
        <family val="2"/>
      </rPr>
      <t xml:space="preserve">近鉄百貨店和歌山店ｽﾀｼﾞｵﾋﾟｯｺｰﾈ・ﾋﾟｯｺｰﾈｸﾗﾌ</t>
    </r>
  </si>
  <si>
    <r>
      <rPr>
        <sz val="8.8"/>
        <color theme="1"/>
        <rFont val="MS PGothic"/>
        <family val="3"/>
        <charset val="1"/>
      </rPr>
      <t xml:space="preserve">(32674500)</t>
    </r>
    <r>
      <rPr>
        <sz val="8.8"/>
        <color theme="1"/>
        <rFont val="WenQuanYi Zen Hei"/>
        <family val="2"/>
      </rPr>
      <t xml:space="preserve">仙台三越ｽﾀｼﾞｵﾋﾟｯｺｰﾈ・ﾋﾟｯｺｰﾈｸﾗﾌﾞ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</si>
  <si>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(32570800)</t>
    </r>
    <r>
      <rPr>
        <sz val="8.8"/>
        <color theme="1"/>
        <rFont val="WenQuanYi Zen Hei"/>
        <family val="2"/>
      </rPr>
      <t xml:space="preserve">高島屋京都店アルチビオ・ピッコーネクラブ</t>
    </r>
  </si>
  <si>
    <r>
      <rPr>
        <sz val="8.8"/>
        <color theme="1"/>
        <rFont val="MS PGothic"/>
        <family val="3"/>
        <charset val="1"/>
      </rPr>
      <t xml:space="preserve">(32675600)</t>
    </r>
    <r>
      <rPr>
        <sz val="8.8"/>
        <color theme="1"/>
        <rFont val="WenQuanYi Zen Hei"/>
        <family val="2"/>
      </rPr>
      <t xml:space="preserve">ながの東急百貨店ｽﾀｼﾞｵﾋﾟｯｺｰﾈ・ﾋﾟｯｺｰﾈｸﾗﾌﾞ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</si>
  <si>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(32573900)</t>
    </r>
    <r>
      <rPr>
        <sz val="8.8"/>
        <color theme="1"/>
        <rFont val="WenQuanYi Zen Hei"/>
        <family val="2"/>
      </rPr>
      <t xml:space="preserve">近鉄百貨店橿原店スタジオピッコーネ</t>
    </r>
  </si>
  <si>
    <r>
      <rPr>
        <sz val="8.8"/>
        <color theme="1"/>
        <rFont val="MS PGothic"/>
        <family val="3"/>
        <charset val="1"/>
      </rPr>
      <t xml:space="preserve">(32673500)</t>
    </r>
    <r>
      <rPr>
        <sz val="8.8"/>
        <color theme="1"/>
        <rFont val="WenQuanYi Zen Hei"/>
        <family val="2"/>
      </rPr>
      <t xml:space="preserve">日本橋三越本店アルチビオ</t>
    </r>
  </si>
  <si>
    <r>
      <rPr>
        <sz val="8.8"/>
        <color theme="1"/>
        <rFont val="MS PGothic"/>
        <family val="3"/>
        <charset val="1"/>
      </rPr>
      <t xml:space="preserve">(32573200)</t>
    </r>
    <r>
      <rPr>
        <sz val="8.8"/>
        <color theme="1"/>
        <rFont val="WenQuanYi Zen Hei"/>
        <family val="2"/>
      </rPr>
      <t xml:space="preserve">あべのハルカス近鉄本店スタジオピッコーネ</t>
    </r>
  </si>
  <si>
    <r>
      <rPr>
        <sz val="8.8"/>
        <color theme="1"/>
        <rFont val="MS PGothic"/>
        <family val="3"/>
        <charset val="1"/>
      </rPr>
      <t xml:space="preserve">(32675100)</t>
    </r>
    <r>
      <rPr>
        <sz val="8.8"/>
        <color theme="1"/>
        <rFont val="WenQuanYi Zen Hei"/>
        <family val="2"/>
      </rPr>
      <t xml:space="preserve">ﾋﾟｯｺｰﾈ　東急百貨店たまﾌﾟﾗｰｻﾞ店</t>
    </r>
  </si>
  <si>
    <r>
      <rPr>
        <sz val="8.8"/>
        <color theme="1"/>
        <rFont val="MS PGothic"/>
        <family val="3"/>
        <charset val="1"/>
      </rPr>
      <t xml:space="preserve">(32673300)</t>
    </r>
    <r>
      <rPr>
        <sz val="8.8"/>
        <color theme="1"/>
        <rFont val="WenQuanYi Zen Hei"/>
        <family val="2"/>
      </rPr>
      <t xml:space="preserve">松屋銀座本店ｽﾀｼﾞｵﾋﾟｯｺｰﾈ・ﾋﾟｯｺｰﾈｸﾗﾌﾞ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</si>
  <si>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(32573800)</t>
    </r>
    <r>
      <rPr>
        <sz val="8.8"/>
        <color theme="1"/>
        <rFont val="WenQuanYi Zen Hei"/>
        <family val="2"/>
      </rPr>
      <t xml:space="preserve">近鉄百貨店奈良店ｽﾀｼﾞｵﾋﾟｯｺｰﾈ・ﾋﾟｯｺｰﾈｸﾗﾌﾞ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</si>
  <si>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(32580700)</t>
    </r>
    <r>
      <rPr>
        <sz val="8.8"/>
        <color theme="1"/>
        <rFont val="WenQuanYi Zen Hei"/>
        <family val="2"/>
      </rPr>
      <t xml:space="preserve">ホテルニューオータニ大阪店ピッコーネ</t>
    </r>
  </si>
  <si>
    <r>
      <rPr>
        <sz val="8.8"/>
        <color theme="1"/>
        <rFont val="MS PGothic"/>
        <family val="3"/>
        <charset val="1"/>
      </rPr>
      <t xml:space="preserve">(32670900)</t>
    </r>
    <r>
      <rPr>
        <sz val="8.8"/>
        <color theme="1"/>
        <rFont val="WenQuanYi Zen Hei"/>
        <family val="2"/>
      </rPr>
      <t xml:space="preserve">東武百貨店池袋店ｽﾀｼﾞｵﾋﾟｯｺｰﾈ・ﾋﾟｯｺｰﾈｸﾗﾌﾞ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</si>
  <si>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(32573300)</t>
    </r>
    <r>
      <rPr>
        <sz val="8.8"/>
        <color theme="1"/>
        <rFont val="WenQuanYi Zen Hei"/>
        <family val="2"/>
      </rPr>
      <t xml:space="preserve">あべのハルカス近鉄本店アルチビオ・ピッコ</t>
    </r>
  </si>
  <si>
    <r>
      <rPr>
        <sz val="8.8"/>
        <color theme="1"/>
        <rFont val="MS PGothic"/>
        <family val="3"/>
        <charset val="1"/>
      </rPr>
      <t xml:space="preserve">(32580600)</t>
    </r>
    <r>
      <rPr>
        <sz val="8.8"/>
        <color theme="1"/>
        <rFont val="WenQuanYi Zen Hei"/>
        <family val="2"/>
      </rPr>
      <t xml:space="preserve">ラポルテ芦屋店ピッコーネ</t>
    </r>
  </si>
  <si>
    <r>
      <rPr>
        <sz val="8.8"/>
        <color theme="1"/>
        <rFont val="MS PGothic"/>
        <family val="3"/>
        <charset val="1"/>
      </rPr>
      <t xml:space="preserve">(32570700)</t>
    </r>
    <r>
      <rPr>
        <sz val="8.8"/>
        <color theme="1"/>
        <rFont val="WenQuanYi Zen Hei"/>
        <family val="2"/>
      </rPr>
      <t xml:space="preserve">西宮阪急店ピッコーネクラブ・アルチビオ</t>
    </r>
  </si>
  <si>
    <r>
      <rPr>
        <sz val="8.8"/>
        <color theme="1"/>
        <rFont val="MS PGothic"/>
        <family val="3"/>
        <charset val="1"/>
      </rPr>
      <t xml:space="preserve">(32674100)</t>
    </r>
    <r>
      <rPr>
        <sz val="8.8"/>
        <color theme="1"/>
        <rFont val="WenQuanYi Zen Hei"/>
        <family val="2"/>
      </rPr>
      <t xml:space="preserve">東武百貨店船橋店ｽﾀｼﾞｵﾋﾟｯｺｰﾈ・ﾋﾟｯｺｰﾈｸﾗﾌﾞ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</si>
  <si>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(32676700)</t>
    </r>
    <r>
      <rPr>
        <sz val="8.8"/>
        <color theme="1"/>
        <rFont val="WenQuanYi Zen Hei"/>
        <family val="2"/>
      </rPr>
      <t xml:space="preserve">大宮高島屋ｽﾀｼﾞｵﾋﾟｯｺｰﾈ・ﾋﾟｯｺｰﾈｸﾗﾌﾞ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</si>
  <si>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(32675300)</t>
    </r>
    <r>
      <rPr>
        <sz val="8.8"/>
        <color theme="1"/>
        <rFont val="WenQuanYi Zen Hei"/>
        <family val="2"/>
      </rPr>
      <t xml:space="preserve">ピッコーネ　東急百貨店吉祥寺店</t>
    </r>
  </si>
  <si>
    <r>
      <rPr>
        <sz val="8.8"/>
        <color theme="1"/>
        <rFont val="MS PGothic"/>
        <family val="3"/>
        <charset val="1"/>
      </rPr>
      <t xml:space="preserve">(32671400)</t>
    </r>
    <r>
      <rPr>
        <sz val="8.8"/>
        <color theme="1"/>
        <rFont val="WenQuanYi Zen Hei"/>
        <family val="2"/>
      </rPr>
      <t xml:space="preserve">日本橋三越本店ｽﾀｼﾞｵﾋﾟｯｺｰﾈ・ﾋﾟｯｺｰﾈｸﾗﾌﾞ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</si>
  <si>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(32680600)</t>
    </r>
    <r>
      <rPr>
        <sz val="8.8"/>
        <color theme="1"/>
        <rFont val="WenQuanYi Zen Hei"/>
        <family val="2"/>
      </rPr>
      <t xml:space="preserve">那須ｶﾞｰﾃﾞﾝｱｳﾄﾚｯﾄ店アルチビオ</t>
    </r>
  </si>
  <si>
    <r>
      <rPr>
        <sz val="8.8"/>
        <color theme="1"/>
        <rFont val="MS PGothic"/>
        <family val="3"/>
        <charset val="1"/>
      </rPr>
      <t xml:space="preserve">(32676300)</t>
    </r>
    <r>
      <rPr>
        <sz val="8.8"/>
        <color theme="1"/>
        <rFont val="WenQuanYi Zen Hei"/>
        <family val="2"/>
      </rPr>
      <t xml:space="preserve">新宿高島屋ｽﾀｼﾞｵﾋﾟｯｺｰﾈ・ﾋﾟｯｺｰﾈｸﾗﾌﾞ</t>
    </r>
  </si>
  <si>
    <r>
      <rPr>
        <sz val="8.8"/>
        <color theme="1"/>
        <rFont val="MS PGothic"/>
        <family val="3"/>
        <charset val="1"/>
      </rPr>
      <t xml:space="preserve">(32571600)</t>
    </r>
    <r>
      <rPr>
        <sz val="8.8"/>
        <color theme="1"/>
        <rFont val="WenQuanYi Zen Hei"/>
        <family val="2"/>
      </rPr>
      <t xml:space="preserve">ジェイアール名古屋タカシマヤ店アルチビオ</t>
    </r>
  </si>
  <si>
    <t xml:space="preserve">店舗マスタ</t>
  </si>
  <si>
    <t xml:space="preserve">黄色の列（店舗コード・施設名・取扱ブランド・ブランド系統）だけ入力します。新店は空いている行に追加。灰色の列は自動計算なので編集不要です。</t>
  </si>
  <si>
    <t xml:space="preserve">No</t>
  </si>
  <si>
    <t xml:space="preserve">今月データ</t>
  </si>
  <si>
    <t xml:space="preserve">並べ替え用達成率</t>
  </si>
  <si>
    <t xml:space="preserve">系統内順位</t>
  </si>
  <si>
    <t xml:space="preserve">明細キー</t>
  </si>
  <si>
    <t xml:space="preserve">施設初出</t>
  </si>
  <si>
    <t xml:space="preserve">施設売上</t>
  </si>
  <si>
    <t xml:space="preserve">施設順位</t>
  </si>
  <si>
    <t xml:space="preserve">【入力ルール】</t>
  </si>
  <si>
    <t xml:space="preserve">高島屋大阪店</t>
  </si>
  <si>
    <t xml:space="preserve">・店舗コードは数字のみ（括弧なし）で入力。</t>
  </si>
  <si>
    <t xml:space="preserve">ジェイアール名古屋タカシマヤ店</t>
  </si>
  <si>
    <r>
      <rPr>
        <sz val="9"/>
        <color rgb="FF404040"/>
        <rFont val="WenQuanYi Zen Hei"/>
        <family val="2"/>
      </rPr>
      <t xml:space="preserve">・施設名が同じ店舗は「施設別」シートで</t>
    </r>
    <r>
      <rPr>
        <sz val="9"/>
        <color rgb="FF404040"/>
        <rFont val="Meiryo UI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行にまとまります（表記を揃えること）。</t>
    </r>
  </si>
  <si>
    <r>
      <rPr>
        <sz val="10"/>
        <rFont val="WenQuanYi Zen Hei"/>
        <family val="2"/>
      </rPr>
      <t xml:space="preserve">ハービス</t>
    </r>
    <r>
      <rPr>
        <sz val="10"/>
        <rFont val="Meiryo UI"/>
        <family val="0"/>
        <charset val="1"/>
      </rPr>
      <t xml:space="preserve">PLAZA</t>
    </r>
    <r>
      <rPr>
        <sz val="10"/>
        <rFont val="WenQuanYi Zen Hei"/>
        <family val="2"/>
      </rPr>
      <t xml:space="preserve">店</t>
    </r>
  </si>
  <si>
    <r>
      <rPr>
        <sz val="9"/>
        <color rgb="FF404040"/>
        <rFont val="WenQuanYi Zen Hei"/>
        <family val="2"/>
      </rPr>
      <t xml:space="preserve">・ブランド系統はプルダウンから選択（</t>
    </r>
    <r>
      <rPr>
        <sz val="9"/>
        <color rgb="FF404040"/>
        <rFont val="Meiryo UI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種類）。</t>
    </r>
  </si>
  <si>
    <t xml:space="preserve">堀江店</t>
  </si>
  <si>
    <t xml:space="preserve">・閉店した店舗は消さずに残しても問題ありません（データがない月は明細に出ません）。</t>
  </si>
  <si>
    <t xml:space="preserve">高島屋新宿店</t>
  </si>
  <si>
    <t xml:space="preserve">日本橋三越本店</t>
  </si>
  <si>
    <t xml:space="preserve">高島屋横浜店</t>
  </si>
  <si>
    <t xml:space="preserve">高島屋高崎店</t>
  </si>
  <si>
    <t xml:space="preserve">伊勢丹浦和店</t>
  </si>
  <si>
    <t xml:space="preserve">松屋銀座本店</t>
  </si>
  <si>
    <t xml:space="preserve">那須ガーデンアウトレット店</t>
  </si>
  <si>
    <t xml:space="preserve">スタジオピッコーネ・ピッコーネクラブ</t>
  </si>
  <si>
    <t xml:space="preserve">大丸福岡天神店</t>
  </si>
  <si>
    <t xml:space="preserve">あべのハルカス近鉄本店</t>
  </si>
  <si>
    <t xml:space="preserve">スタジオピッコーネ</t>
  </si>
  <si>
    <t xml:space="preserve">近鉄百貨店和歌山店</t>
  </si>
  <si>
    <t xml:space="preserve">近鉄百貨店上本町店</t>
  </si>
  <si>
    <t xml:space="preserve">近鉄百貨店奈良店</t>
  </si>
  <si>
    <t xml:space="preserve">近鉄百貨店橿原店</t>
  </si>
  <si>
    <t xml:space="preserve">広島三越店</t>
  </si>
  <si>
    <t xml:space="preserve">名古屋三越栄店</t>
  </si>
  <si>
    <t xml:space="preserve">東武百貨店池袋店</t>
  </si>
  <si>
    <t xml:space="preserve">松坂屋上野店</t>
  </si>
  <si>
    <t xml:space="preserve">東武百貨店船橋店</t>
  </si>
  <si>
    <t xml:space="preserve">仙台三越</t>
  </si>
  <si>
    <t xml:space="preserve">ながの東急百貨店</t>
  </si>
  <si>
    <t xml:space="preserve">静岡伊勢丹</t>
  </si>
  <si>
    <t xml:space="preserve">伊勢丹立川店</t>
  </si>
  <si>
    <t xml:space="preserve">東武宇都宮百貨店</t>
  </si>
  <si>
    <t xml:space="preserve">高島屋大宮店</t>
  </si>
  <si>
    <t xml:space="preserve">ラポルテ芦屋店</t>
  </si>
  <si>
    <t xml:space="preserve">ホテルニューオータニ大阪店</t>
  </si>
  <si>
    <t xml:space="preserve">阪急三番街店</t>
  </si>
  <si>
    <t xml:space="preserve">東急百貨店たまプラーザ店</t>
  </si>
  <si>
    <t xml:space="preserve">東急百貨店吉祥寺店</t>
  </si>
  <si>
    <t xml:space="preserve">西宮阪急店</t>
  </si>
  <si>
    <t xml:space="preserve">ピッコーネクラブ・アルチビオ</t>
  </si>
  <si>
    <t xml:space="preserve">高島屋京都店</t>
  </si>
  <si>
    <t xml:space="preserve">アルチビオ・ピッコーネクラブ</t>
  </si>
  <si>
    <t xml:space="preserve">松坂屋名古屋店</t>
  </si>
  <si>
    <t xml:space="preserve">アルチビオ・ピッコ</t>
  </si>
  <si>
    <t xml:space="preserve">札幌三越</t>
  </si>
  <si>
    <t xml:space="preserve">ピッコーネ・アルチビオ</t>
  </si>
  <si>
    <t xml:space="preserve">取込チェック（自動計算・編集不要）</t>
  </si>
  <si>
    <t xml:space="preserve">元データの各行から店舗コードを取り出し、店舗マスタに登録済みかを判定します。「未登録」の行が出たら店舗マスタに追加してください。</t>
  </si>
  <si>
    <t xml:space="preserve">前年同月</t>
  </si>
  <si>
    <r>
      <rPr>
        <b val="true"/>
        <sz val="10"/>
        <rFont val="WenQuanYi Zen Hei"/>
        <family val="2"/>
      </rPr>
      <t xml:space="preserve">前年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Meiryo UI"/>
        <family val="0"/>
        <charset val="1"/>
      </rPr>
      <t xml:space="preserve">)</t>
    </r>
  </si>
  <si>
    <t xml:space="preserve">月</t>
  </si>
  <si>
    <t xml:space="preserve">タイトル</t>
  </si>
  <si>
    <t xml:space="preserve">元データ行</t>
  </si>
  <si>
    <t xml:space="preserve">元データ店舗名</t>
  </si>
  <si>
    <t xml:space="preserve">登録状況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</si>
</sst>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#,##0;[RED]\-#,##0;\-"/>
    <numFmt numFmtId="167" formatCode="0.0%;[RED]\-0.0%;\-"/>
    <numFmt numFmtId="168" formatCode="0"/>
    <numFmt numFmtId="169" formatCode="@"/>
    <numFmt numFmtId="170" formatCode="#,##0"/>
    <numFmt numFmtId="171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Meiryo UI"/>
      <family val="0"/>
      <charset val="1"/>
    </font>
    <font>
      <sz val="9"/>
      <color rgb="FF40404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1"/>
      <name val="WenQuanYi Zen Hei"/>
      <family val="2"/>
    </font>
    <font>
      <sz val="11"/>
      <name val="Meiryo UI"/>
      <family val="0"/>
      <charset val="1"/>
    </font>
    <font>
      <b val="true"/>
      <sz val="11"/>
      <name val="Meiryo UI"/>
      <family val="0"/>
      <charset val="1"/>
    </font>
    <font>
      <b val="true"/>
      <sz val="11"/>
      <color rgb="FF1F3864"/>
      <name val="WenQuanYi Zen Hei"/>
      <family val="2"/>
    </font>
    <font>
      <sz val="10"/>
      <name val="WenQuanYi Zen Hei"/>
      <family val="2"/>
    </font>
    <font>
      <b val="true"/>
      <sz val="10"/>
      <name val="Meiryo UI"/>
      <family val="0"/>
      <charset val="1"/>
    </font>
    <font>
      <sz val="10"/>
      <color rgb="FF000000"/>
      <name val="Meiryo UI"/>
      <family val="0"/>
      <charset val="1"/>
    </font>
    <font>
      <sz val="10"/>
      <color rgb="FF000000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sz val="9"/>
      <color rgb="FF404040"/>
      <name val="Meiryo UI"/>
      <family val="0"/>
      <charset val="1"/>
    </font>
    <font>
      <b val="true"/>
      <sz val="8.8"/>
      <color theme="1"/>
      <name val="WenQuanYi Zen Hei"/>
      <family val="2"/>
    </font>
    <font>
      <b val="true"/>
      <sz val="8.8"/>
      <color theme="1"/>
      <name val="MS PGothic"/>
      <family val="3"/>
      <charset val="1"/>
    </font>
    <font>
      <sz val="8.8"/>
      <color theme="1"/>
      <name val="MS PGothic"/>
      <family val="3"/>
      <charset val="1"/>
    </font>
    <font>
      <sz val="8.8"/>
      <color theme="1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0"/>
      <color rgb="FFFFFFFF"/>
      <name val="Meiryo UI"/>
      <family val="0"/>
      <charset val="1"/>
    </font>
    <font>
      <b val="true"/>
      <sz val="9"/>
      <color rgb="FF404040"/>
      <name val="WenQuanYi Zen Hei"/>
      <family val="2"/>
    </font>
    <font>
      <sz val="9"/>
      <name val="Meiryo U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DE7F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EDE7F6"/>
        <bgColor rgb="FFEDEDED"/>
      </patternFill>
    </fill>
    <fill>
      <patternFill patternType="solid">
        <fgColor rgb="FFD9D9D9"/>
        <bgColor rgb="FFDDEBF7"/>
      </patternFill>
    </fill>
    <fill>
      <patternFill patternType="solid">
        <fgColor rgb="FFF2F2F2"/>
        <bgColor rgb="FFEDEDED"/>
      </patternFill>
    </fill>
    <fill>
      <patternFill patternType="solid">
        <fgColor rgb="FFCCCCFF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CCCC"/>
        <bgColor rgb="FFFFC7CE"/>
      </patternFill>
    </fill>
    <fill>
      <patternFill patternType="solid">
        <fgColor rgb="FFBF8F00"/>
        <bgColor rgb="FF808000"/>
      </patternFill>
    </fill>
    <fill>
      <patternFill patternType="solid">
        <fgColor rgb="FF7F7F7F"/>
        <bgColor rgb="FF808080"/>
      </patternFill>
    </fill>
    <fill>
      <patternFill patternType="solid">
        <fgColor rgb="FFEDEDED"/>
        <bgColor rgb="FFF2F2F2"/>
      </patternFill>
    </fill>
    <fill>
      <patternFill patternType="solid">
        <fgColor rgb="FFFFF2CC"/>
        <bgColor rgb="FFFCE4D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0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0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1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EDE7F6"/>
        </patternFill>
      </fill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EFDA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EDEDED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C6EFCE"/>
      <rgbColor rgb="FFCCFFCC"/>
      <rgbColor rgb="FFFCE4D6"/>
      <rgbColor rgb="FFD9D9D9"/>
      <rgbColor rgb="FFFFC7CE"/>
      <rgbColor rgb="FFEDE7F6"/>
      <rgbColor rgb="FFFFCCCC"/>
      <rgbColor rgb="FF3366FF"/>
      <rgbColor rgb="FF33CCCC"/>
      <rgbColor rgb="FF99CC00"/>
      <rgbColor rgb="FFFFC000"/>
      <rgbColor rgb="FFBF8F00"/>
      <rgbColor rgb="FFFF6600"/>
      <rgbColor rgb="FF7F7F7F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6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予算・前年対比（2026年10月度／前年同月 2025年10月）</v>
      </c>
    </row>
    <row r="2" customFormat="false" ht="15" hidden="false" customHeight="false" outlineLevel="0" collapsed="false">
      <c r="A2" s="2" t="s">
        <v>0</v>
      </c>
    </row>
    <row r="4" customFormat="false" ht="31.5" hidden="false" customHeight="true" outlineLevel="0" collapsed="false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24" hidden="false" customHeight="true" outlineLevel="0" collapsed="false">
      <c r="A5" s="4" t="s">
        <v>11</v>
      </c>
      <c r="B5" s="5" t="n">
        <f aca="false">COUNTIFS(店舗マスタ!$E$5:$E$304,$A5,店舗マスタ!$F$5:$F$304,1)</f>
        <v>11</v>
      </c>
      <c r="C5" s="6" t="n">
        <f aca="false">SUMIFS(店舗マスタ!$G$5:$G$304,店舗マスタ!$E$5:$E$304,$A5)</f>
        <v>8874005</v>
      </c>
      <c r="D5" s="7" t="n">
        <f aca="false">IF($C$9=0,"-",C5/$C$9)</f>
        <v>0.358959003296726</v>
      </c>
      <c r="E5" s="6" t="n">
        <f aca="false">SUMIFS(店舗マスタ!$H$5:$H$304,店舗マスタ!$E$5:$E$304,$A5)</f>
        <v>42800000</v>
      </c>
      <c r="F5" s="7" t="n">
        <f aca="false">IF(E5=0,"-",C5/E5)</f>
        <v>0.207336565420561</v>
      </c>
      <c r="G5" s="6" t="n">
        <f aca="false">C5-E5</f>
        <v>-33925995</v>
      </c>
      <c r="H5" s="6" t="n">
        <f aca="false">SUMIFS(店舗マスタ!$I$5:$I$304,店舗マスタ!$E$5:$E$304,$A5)</f>
        <v>38987668</v>
      </c>
      <c r="I5" s="7" t="n">
        <f aca="false">IF(H5=0,"-",C5/H5)</f>
        <v>0.227610561370329</v>
      </c>
      <c r="J5" s="6" t="n">
        <f aca="false">C5-H5</f>
        <v>-30113663</v>
      </c>
    </row>
    <row r="6" customFormat="false" ht="24" hidden="false" customHeight="true" outlineLevel="0" collapsed="false">
      <c r="A6" s="8" t="s">
        <v>12</v>
      </c>
      <c r="B6" s="5" t="n">
        <f aca="false">COUNTIFS(店舗マスタ!$E$5:$E$304,$A6,店舗マスタ!$F$5:$F$304,1)</f>
        <v>23</v>
      </c>
      <c r="C6" s="6" t="n">
        <f aca="false">SUMIFS(店舗マスタ!$G$5:$G$304,店舗マスタ!$E$5:$E$304,$A6)</f>
        <v>11150262</v>
      </c>
      <c r="D6" s="7" t="n">
        <f aca="false">IF($C$9=0,"-",C6/$C$9)</f>
        <v>0.451035010011528</v>
      </c>
      <c r="E6" s="6" t="n">
        <f aca="false">SUMIFS(店舗マスタ!$H$5:$H$304,店舗マスタ!$E$5:$E$304,$A6)</f>
        <v>85888000</v>
      </c>
      <c r="F6" s="7" t="n">
        <f aca="false">IF(E6=0,"-",C6/E6)</f>
        <v>0.129823281482861</v>
      </c>
      <c r="G6" s="6" t="n">
        <f aca="false">C6-E6</f>
        <v>-74737738</v>
      </c>
      <c r="H6" s="6" t="n">
        <f aca="false">SUMIFS(店舗マスタ!$I$5:$I$304,店舗マスタ!$E$5:$E$304,$A6)</f>
        <v>78268222</v>
      </c>
      <c r="I6" s="7" t="n">
        <f aca="false">IF(H6=0,"-",C6/H6)</f>
        <v>0.142462185994208</v>
      </c>
      <c r="J6" s="6" t="n">
        <f aca="false">C6-H6</f>
        <v>-67117960</v>
      </c>
    </row>
    <row r="7" customFormat="false" ht="24" hidden="false" customHeight="true" outlineLevel="0" collapsed="false">
      <c r="A7" s="9" t="s">
        <v>13</v>
      </c>
      <c r="B7" s="5" t="n">
        <f aca="false">COUNTIFS(店舗マスタ!$E$5:$E$304,$A7,店舗マスタ!$F$5:$F$304,1)</f>
        <v>4</v>
      </c>
      <c r="C7" s="6" t="n">
        <f aca="false">SUMIFS(店舗マスタ!$G$5:$G$304,店舗マスタ!$E$5:$E$304,$A7)</f>
        <v>1026732</v>
      </c>
      <c r="D7" s="7" t="n">
        <f aca="false">IF($C$9=0,"-",C7/$C$9)</f>
        <v>0.0415319458770706</v>
      </c>
      <c r="E7" s="6" t="n">
        <f aca="false">SUMIFS(店舗マスタ!$H$5:$H$304,店舗マスタ!$E$5:$E$304,$A7)</f>
        <v>11700000</v>
      </c>
      <c r="F7" s="7" t="n">
        <f aca="false">IF(E7=0,"-",C7/E7)</f>
        <v>0.0877548717948718</v>
      </c>
      <c r="G7" s="6" t="n">
        <f aca="false">C7-E7</f>
        <v>-10673268</v>
      </c>
      <c r="H7" s="6" t="n">
        <f aca="false">SUMIFS(店舗マスタ!$I$5:$I$304,店舗マスタ!$E$5:$E$304,$A7)</f>
        <v>12271253</v>
      </c>
      <c r="I7" s="7" t="n">
        <f aca="false">IF(H7=0,"-",C7/H7)</f>
        <v>0.0836696953440696</v>
      </c>
      <c r="J7" s="6" t="n">
        <f aca="false">C7-H7</f>
        <v>-11244521</v>
      </c>
    </row>
    <row r="8" customFormat="false" ht="24" hidden="false" customHeight="true" outlineLevel="0" collapsed="false">
      <c r="A8" s="10" t="s">
        <v>14</v>
      </c>
      <c r="B8" s="5" t="n">
        <f aca="false">COUNTIFS(店舗マスタ!$E$5:$E$304,$A8,店舗マスタ!$F$5:$F$304,1)</f>
        <v>5</v>
      </c>
      <c r="C8" s="6" t="n">
        <f aca="false">SUMIFS(店舗マスタ!$G$5:$G$304,店舗マスタ!$E$5:$E$304,$A8)</f>
        <v>3670501</v>
      </c>
      <c r="D8" s="7" t="n">
        <f aca="false">IF($C$9=0,"-",C8/$C$9)</f>
        <v>0.148474040814676</v>
      </c>
      <c r="E8" s="6" t="n">
        <f aca="false">SUMIFS(店舗マスタ!$H$5:$H$304,店舗マスタ!$E$5:$E$304,$A8)</f>
        <v>24321000</v>
      </c>
      <c r="F8" s="7" t="n">
        <f aca="false">IF(E8=0,"-",C8/E8)</f>
        <v>0.150919000041117</v>
      </c>
      <c r="G8" s="6" t="n">
        <f aca="false">C8-E8</f>
        <v>-20650499</v>
      </c>
      <c r="H8" s="6" t="n">
        <f aca="false">SUMIFS(店舗マスタ!$I$5:$I$304,店舗マスタ!$E$5:$E$304,$A8)</f>
        <v>20612405</v>
      </c>
      <c r="I8" s="7" t="n">
        <f aca="false">IF(H8=0,"-",C8/H8)</f>
        <v>0.178072427744361</v>
      </c>
      <c r="J8" s="6" t="n">
        <f aca="false">C8-H8</f>
        <v>-16941904</v>
      </c>
    </row>
    <row r="9" customFormat="false" ht="24" hidden="false" customHeight="true" outlineLevel="0" collapsed="false">
      <c r="A9" s="11" t="s">
        <v>15</v>
      </c>
      <c r="B9" s="12" t="n">
        <f aca="false">SUM(B5:B8)</f>
        <v>43</v>
      </c>
      <c r="C9" s="13" t="n">
        <f aca="false">SUM(C5:C8)</f>
        <v>24721500</v>
      </c>
      <c r="D9" s="14" t="n">
        <f aca="false">IF($C$9=0,"-",C9/$C$9)</f>
        <v>1</v>
      </c>
      <c r="E9" s="13" t="n">
        <f aca="false">SUM(E5:E8)</f>
        <v>164709000</v>
      </c>
      <c r="F9" s="14" t="n">
        <f aca="false">IF(E9=0,"-",C9/E9)</f>
        <v>0.1500919804018</v>
      </c>
      <c r="G9" s="13" t="n">
        <f aca="false">C9-E9</f>
        <v>-139987500</v>
      </c>
      <c r="H9" s="13" t="n">
        <f aca="false">SUM(H5:H8)</f>
        <v>150139548</v>
      </c>
      <c r="I9" s="14" t="n">
        <f aca="false">IF(H9=0,"-",C9/H9)</f>
        <v>0.164656816470501</v>
      </c>
      <c r="J9" s="13" t="n">
        <f aca="false">C9-H9</f>
        <v>-125418048</v>
      </c>
    </row>
    <row r="11" customFormat="false" ht="15" hidden="false" customHeight="false" outlineLevel="0" collapsed="false">
      <c r="A11" s="15" t="s">
        <v>16</v>
      </c>
      <c r="F11" s="15" t="s">
        <v>17</v>
      </c>
    </row>
    <row r="12" customFormat="false" ht="15" hidden="false" customHeight="false" outlineLevel="0" collapsed="false">
      <c r="A12" s="16" t="s">
        <v>18</v>
      </c>
      <c r="B12" s="17" t="n">
        <f aca="false">IFERROR(INDEX(元データ!$B:$B,MATCH("合計",元データ!$A:$A,0)),"合計行なし")</f>
        <v>24721500</v>
      </c>
      <c r="C12" s="17"/>
      <c r="D12" s="17"/>
      <c r="F12" s="18" t="s">
        <v>19</v>
      </c>
    </row>
    <row r="13" customFormat="false" ht="15" hidden="false" customHeight="false" outlineLevel="0" collapsed="false">
      <c r="A13" s="16" t="s">
        <v>20</v>
      </c>
      <c r="B13" s="17" t="n">
        <f aca="false">C9</f>
        <v>24721500</v>
      </c>
      <c r="C13" s="17"/>
      <c r="D13" s="17"/>
      <c r="F13" s="19" t="s">
        <v>21</v>
      </c>
    </row>
    <row r="14" customFormat="false" ht="15" hidden="false" customHeight="false" outlineLevel="0" collapsed="false">
      <c r="A14" s="16" t="s">
        <v>22</v>
      </c>
      <c r="B14" s="17" t="n">
        <f aca="false">IF(ISNUMBER(B12),B12-B13,"-")</f>
        <v>0</v>
      </c>
      <c r="C14" s="17"/>
      <c r="D14" s="17"/>
      <c r="F14" s="19" t="s">
        <v>23</v>
      </c>
    </row>
    <row r="15" customFormat="false" ht="15" hidden="false" customHeight="false" outlineLevel="0" collapsed="false">
      <c r="A15" s="16" t="s">
        <v>24</v>
      </c>
      <c r="B15" s="20" t="n">
        <f aca="false">COUNTIF(取込チェック!$G$6:$G$505,"未登録*")</f>
        <v>0</v>
      </c>
      <c r="C15" s="20"/>
      <c r="D15" s="20"/>
      <c r="F15" s="19" t="s">
        <v>25</v>
      </c>
    </row>
    <row r="16" customFormat="false" ht="15" hidden="false" customHeight="false" outlineLevel="0" collapsed="false">
      <c r="A16" s="16" t="s">
        <v>26</v>
      </c>
      <c r="B16" s="20" t="n">
        <f aca="false">COUNTIFS(店舗マスタ!$B$5:$B$304,"&lt;&gt;",店舗マスタ!$F$5:$F$304,0)</f>
        <v>1</v>
      </c>
      <c r="C16" s="20"/>
      <c r="D16" s="20"/>
      <c r="F16" s="19" t="s">
        <v>27</v>
      </c>
    </row>
    <row r="17" customFormat="false" ht="15" hidden="false" customHeight="false" outlineLevel="0" collapsed="false">
      <c r="A17" s="16" t="s">
        <v>28</v>
      </c>
      <c r="B17" s="21" t="str">
        <f aca="false">IF(OR(B5&gt;14,B6&gt;26,B7&gt;8,B8&gt;8),"不足：店舗別明細の枠を追加してください","OK")</f>
        <v>OK</v>
      </c>
      <c r="C17" s="21"/>
      <c r="D17" s="21"/>
      <c r="F17" s="19" t="s">
        <v>29</v>
      </c>
    </row>
    <row r="18" customFormat="false" ht="15" hidden="false" customHeight="false" outlineLevel="0" collapsed="false">
      <c r="A18" s="16" t="s">
        <v>30</v>
      </c>
      <c r="B18" s="21" t="str">
        <f aca="false">IF(AND(B14=0,B15=0,B17="OK"),"OK：集計は元データと一致しています","要確認：上の項目と取込チェックシートを確認")</f>
        <v>OK：集計は元データと一致しています</v>
      </c>
      <c r="C18" s="21"/>
      <c r="D18" s="21"/>
    </row>
  </sheetData>
  <mergeCells count="7">
    <mergeCell ref="B12:D12"/>
    <mergeCell ref="B13:D13"/>
    <mergeCell ref="B14:D14"/>
    <mergeCell ref="B15:D15"/>
    <mergeCell ref="B16:D16"/>
    <mergeCell ref="B17:D17"/>
    <mergeCell ref="B18:D18"/>
  </mergeCells>
  <conditionalFormatting sqref="F5:F8">
    <cfRule type="dataBar" priority="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{E87DE090-EE21-4151-9E13-E89BDA6045C4}</x14:id>
        </ext>
      </extLst>
    </cfRule>
  </conditionalFormatting>
  <conditionalFormatting sqref="I5:I8">
    <cfRule type="dataBar" priority="3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{336A6736-5991-4D00-942C-4877617D822E}</x14:id>
        </ext>
      </extLst>
    </cfRule>
  </conditionalFormatting>
  <conditionalFormatting sqref="B14:B15">
    <cfRule type="expression" priority="4" aboveAverage="0" equalAverage="0" bottom="0" percent="0" rank="0" text="" dxfId="0">
      <formula>AND(ISNUMBER(B14),B14&lt;&gt;0)</formula>
    </cfRule>
  </conditionalFormatting>
  <conditionalFormatting sqref="B17:B18">
    <cfRule type="expression" priority="5" aboveAverage="0" equalAverage="0" bottom="0" percent="0" rank="0" text="" dxfId="0">
      <formula>LEFT(B17,2)&lt;&gt;"OK"</formula>
    </cfRule>
  </conditionalFormatting>
  <conditionalFormatting sqref="B18">
    <cfRule type="expression" priority="6" aboveAverage="0" equalAverage="0" bottom="0" percent="0" rank="0" text="" dxfId="1">
      <formula>LEFT(B18,2)="OK"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7DE090-EE21-4151-9E13-E89BDA6045C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F5:F8</xm:sqref>
        </x14:conditionalFormatting>
        <x14:conditionalFormatting xmlns:xm="http://schemas.microsoft.com/office/excel/2006/main">
          <x14:cfRule type="dataBar" id="{336A6736-5991-4D00-942C-4877617D822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I5:I8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9" min="8" style="0" width="15"/>
    <col collapsed="false" customWidth="true" hidden="false" outlineLevel="0" max="10" min="10" style="0" width="11"/>
    <col collapsed="false" customWidth="true" hidden="false" outlineLevel="0" max="11" min="11" style="0" width="15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予算・前年対比（2026年10月度／前年同月 2025年10月）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1</v>
      </c>
      <c r="B4" s="3" t="s">
        <v>32</v>
      </c>
      <c r="C4" s="3" t="s">
        <v>33</v>
      </c>
      <c r="D4" s="3" t="s">
        <v>34</v>
      </c>
      <c r="E4" s="3" t="s">
        <v>3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</row>
    <row r="5" customFormat="false" ht="15" hidden="false" customHeight="false" outlineLevel="0" collapsed="false">
      <c r="A5" s="22" t="str">
        <f aca="false">IF($B5="","","アルチビオ")</f>
        <v>アルチビオ</v>
      </c>
      <c r="B5" s="23" t="n">
        <f aca="false">IFERROR(INDEX(店舗マスタ!$B$5:$B$304,MATCH("アルチビオ|1",店舗マスタ!$L$5:$L$304,0)),"")</f>
        <v>32673900</v>
      </c>
      <c r="C5" s="22" t="str">
        <f aca="false">IF($B5="","",INDEX(店舗マスタ!$C$5:$C$304,MATCH($B5,店舗マスタ!$B$5:$B$304,0)))</f>
        <v>高島屋高崎店</v>
      </c>
      <c r="D5" s="22" t="str">
        <f aca="false">IF($B5="","",INDEX(店舗マスタ!$D$5:$D$304,MATCH($B5,店舗マスタ!$B$5:$B$304,0)))</f>
        <v>アルチビオ</v>
      </c>
      <c r="E5" s="24" t="n">
        <f aca="false">IF($B5="","",INDEX(店舗マスタ!$G$5:$G$304,MATCH($B5,店舗マスタ!$B$5:$B$304,0)))</f>
        <v>897774</v>
      </c>
      <c r="F5" s="24" t="n">
        <f aca="false">IF($B5="","",INDEX(店舗マスタ!$H$5:$H$304,MATCH($B5,店舗マスタ!$B$5:$B$304,0)))</f>
        <v>1200000</v>
      </c>
      <c r="G5" s="25" t="n">
        <f aca="false">IF($B5="","",IF(F5=0,"-",E5/F5))</f>
        <v>0.748145</v>
      </c>
      <c r="H5" s="24" t="n">
        <f aca="false">IF($B5="","",E5-F5)</f>
        <v>-302226</v>
      </c>
      <c r="I5" s="24" t="n">
        <f aca="false">IF($B5="","",INDEX(店舗マスタ!$I$5:$I$304,MATCH($B5,店舗マスタ!$B$5:$B$304,0)))</f>
        <v>1184930</v>
      </c>
      <c r="J5" s="26" t="n">
        <f aca="false">IF($B5="","",IF(I5=0,"前年実績なし",E5/I5))</f>
        <v>0.757659946157157</v>
      </c>
      <c r="K5" s="24" t="n">
        <f aca="false">IF($B5="","",E5-I5)</f>
        <v>-287156</v>
      </c>
    </row>
    <row r="6" customFormat="false" ht="15" hidden="false" customHeight="false" outlineLevel="0" collapsed="false">
      <c r="A6" s="22" t="str">
        <f aca="false">IF($B6="","","アルチビオ")</f>
        <v>アルチビオ</v>
      </c>
      <c r="B6" s="23" t="n">
        <f aca="false">IFERROR(INDEX(店舗マスタ!$B$5:$B$304,MATCH("アルチビオ|2",店舗マスタ!$L$5:$L$304,0)),"")</f>
        <v>32580400</v>
      </c>
      <c r="C6" s="22" t="str">
        <f aca="false">IF($B6="","",INDEX(店舗マスタ!$C$5:$C$304,MATCH($B6,店舗マスタ!$B$5:$B$304,0)))</f>
        <v>ハービスPLAZA店</v>
      </c>
      <c r="D6" s="22" t="str">
        <f aca="false">IF($B6="","",INDEX(店舗マスタ!$D$5:$D$304,MATCH($B6,店舗マスタ!$B$5:$B$304,0)))</f>
        <v>アルチビオ</v>
      </c>
      <c r="E6" s="24" t="n">
        <f aca="false">IF($B6="","",INDEX(店舗マスタ!$G$5:$G$304,MATCH($B6,店舗マスタ!$B$5:$B$304,0)))</f>
        <v>1942301</v>
      </c>
      <c r="F6" s="24" t="n">
        <f aca="false">IF($B6="","",INDEX(店舗マスタ!$H$5:$H$304,MATCH($B6,店舗マスタ!$B$5:$B$304,0)))</f>
        <v>3812000</v>
      </c>
      <c r="G6" s="25" t="n">
        <f aca="false">IF($B6="","",IF(F6=0,"-",E6/F6))</f>
        <v>0.509522822665268</v>
      </c>
      <c r="H6" s="24" t="n">
        <f aca="false">IF($B6="","",E6-F6)</f>
        <v>-1869699</v>
      </c>
      <c r="I6" s="24" t="n">
        <f aca="false">IF($B6="","",INDEX(店舗マスタ!$I$5:$I$304,MATCH($B6,店舗マスタ!$B$5:$B$304,0)))</f>
        <v>3514950</v>
      </c>
      <c r="J6" s="26" t="n">
        <f aca="false">IF($B6="","",IF(I6=0,"前年実績なし",E6/I6))</f>
        <v>0.552582824791249</v>
      </c>
      <c r="K6" s="24" t="n">
        <f aca="false">IF($B6="","",E6-I6)</f>
        <v>-1572649</v>
      </c>
    </row>
    <row r="7" customFormat="false" ht="15" hidden="false" customHeight="false" outlineLevel="0" collapsed="false">
      <c r="A7" s="22" t="str">
        <f aca="false">IF($B7="","","アルチビオ")</f>
        <v>アルチビオ</v>
      </c>
      <c r="B7" s="23" t="n">
        <f aca="false">IFERROR(INDEX(店舗マスタ!$B$5:$B$304,MATCH("アルチビオ|3",店舗マスタ!$L$5:$L$304,0)),"")</f>
        <v>32670600</v>
      </c>
      <c r="C7" s="22" t="str">
        <f aca="false">IF($B7="","",INDEX(店舗マスタ!$C$5:$C$304,MATCH($B7,店舗マスタ!$B$5:$B$304,0)))</f>
        <v>高島屋新宿店</v>
      </c>
      <c r="D7" s="22" t="str">
        <f aca="false">IF($B7="","",INDEX(店舗マスタ!$D$5:$D$304,MATCH($B7,店舗マスタ!$B$5:$B$304,0)))</f>
        <v>アルチビオ</v>
      </c>
      <c r="E7" s="24" t="n">
        <f aca="false">IF($B7="","",INDEX(店舗マスタ!$G$5:$G$304,MATCH($B7,店舗マスタ!$B$5:$B$304,0)))</f>
        <v>1202200</v>
      </c>
      <c r="F7" s="24" t="n">
        <f aca="false">IF($B7="","",INDEX(店舗マスタ!$H$5:$H$304,MATCH($B7,店舗マスタ!$B$5:$B$304,0)))</f>
        <v>3958000</v>
      </c>
      <c r="G7" s="25" t="n">
        <f aca="false">IF($B7="","",IF(F7=0,"-",E7/F7))</f>
        <v>0.303739262253664</v>
      </c>
      <c r="H7" s="24" t="n">
        <f aca="false">IF($B7="","",E7-F7)</f>
        <v>-2755800</v>
      </c>
      <c r="I7" s="24" t="n">
        <f aca="false">IF($B7="","",INDEX(店舗マスタ!$I$5:$I$304,MATCH($B7,店舗マスタ!$B$5:$B$304,0)))</f>
        <v>3803490</v>
      </c>
      <c r="J7" s="26" t="n">
        <f aca="false">IF($B7="","",IF(I7=0,"前年実績なし",E7/I7))</f>
        <v>0.316078128245375</v>
      </c>
      <c r="K7" s="24" t="n">
        <f aca="false">IF($B7="","",E7-I7)</f>
        <v>-2601290</v>
      </c>
    </row>
    <row r="8" customFormat="false" ht="15" hidden="false" customHeight="false" outlineLevel="0" collapsed="false">
      <c r="A8" s="22" t="str">
        <f aca="false">IF($B8="","","アルチビオ")</f>
        <v>アルチビオ</v>
      </c>
      <c r="B8" s="23" t="n">
        <f aca="false">IFERROR(INDEX(店舗マスタ!$B$5:$B$304,MATCH("アルチビオ|4",店舗マスタ!$L$5:$L$304,0)),"")</f>
        <v>32674900</v>
      </c>
      <c r="C8" s="22" t="str">
        <f aca="false">IF($B8="","",INDEX(店舗マスタ!$C$5:$C$304,MATCH($B8,店舗マスタ!$B$5:$B$304,0)))</f>
        <v>松屋銀座本店</v>
      </c>
      <c r="D8" s="22" t="str">
        <f aca="false">IF($B8="","",INDEX(店舗マスタ!$D$5:$D$304,MATCH($B8,店舗マスタ!$B$5:$B$304,0)))</f>
        <v>アルチビオ</v>
      </c>
      <c r="E8" s="24" t="n">
        <f aca="false">IF($B8="","",INDEX(店舗マスタ!$G$5:$G$304,MATCH($B8,店舗マスタ!$B$5:$B$304,0)))</f>
        <v>856826</v>
      </c>
      <c r="F8" s="24" t="n">
        <f aca="false">IF($B8="","",INDEX(店舗マスタ!$H$5:$H$304,MATCH($B8,店舗マスタ!$B$5:$B$304,0)))</f>
        <v>2900000</v>
      </c>
      <c r="G8" s="25" t="n">
        <f aca="false">IF($B8="","",IF(F8=0,"-",E8/F8))</f>
        <v>0.29545724137931</v>
      </c>
      <c r="H8" s="24" t="n">
        <f aca="false">IF($B8="","",E8-F8)</f>
        <v>-2043174</v>
      </c>
      <c r="I8" s="24" t="n">
        <f aca="false">IF($B8="","",INDEX(店舗マスタ!$I$5:$I$304,MATCH($B8,店舗マスタ!$B$5:$B$304,0)))</f>
        <v>2769045</v>
      </c>
      <c r="J8" s="26" t="n">
        <f aca="false">IF($B8="","",IF(I8=0,"前年実績なし",E8/I8))</f>
        <v>0.30943014649455</v>
      </c>
      <c r="K8" s="24" t="n">
        <f aca="false">IF($B8="","",E8-I8)</f>
        <v>-1912219</v>
      </c>
    </row>
    <row r="9" customFormat="false" ht="15" hidden="false" customHeight="false" outlineLevel="0" collapsed="false">
      <c r="A9" s="22" t="str">
        <f aca="false">IF($B9="","","アルチビオ")</f>
        <v>アルチビオ</v>
      </c>
      <c r="B9" s="23" t="n">
        <f aca="false">IFERROR(INDEX(店舗マスタ!$B$5:$B$304,MATCH("アルチビオ|5",店舗マスタ!$L$5:$L$304,0)),"")</f>
        <v>32570100</v>
      </c>
      <c r="C9" s="22" t="str">
        <f aca="false">IF($B9="","",INDEX(店舗マスタ!$C$5:$C$304,MATCH($B9,店舗マスタ!$B$5:$B$304,0)))</f>
        <v>高島屋大阪店</v>
      </c>
      <c r="D9" s="22" t="str">
        <f aca="false">IF($B9="","",INDEX(店舗マスタ!$D$5:$D$304,MATCH($B9,店舗マスタ!$B$5:$B$304,0)))</f>
        <v>アルチビオ</v>
      </c>
      <c r="E9" s="24" t="n">
        <f aca="false">IF($B9="","",INDEX(店舗マスタ!$G$5:$G$304,MATCH($B9,店舗マスタ!$B$5:$B$304,0)))</f>
        <v>1650946</v>
      </c>
      <c r="F9" s="24" t="n">
        <f aca="false">IF($B9="","",INDEX(店舗マスタ!$H$5:$H$304,MATCH($B9,店舗マスタ!$B$5:$B$304,0)))</f>
        <v>6591000</v>
      </c>
      <c r="G9" s="25" t="n">
        <f aca="false">IF($B9="","",IF(F9=0,"-",E9/F9))</f>
        <v>0.250484903656501</v>
      </c>
      <c r="H9" s="24" t="n">
        <f aca="false">IF($B9="","",E9-F9)</f>
        <v>-4940054</v>
      </c>
      <c r="I9" s="24" t="n">
        <f aca="false">IF($B9="","",INDEX(店舗マスタ!$I$5:$I$304,MATCH($B9,店舗マスタ!$B$5:$B$304,0)))</f>
        <v>4992300</v>
      </c>
      <c r="J9" s="26" t="n">
        <f aca="false">IF($B9="","",IF(I9=0,"前年実績なし",E9/I9))</f>
        <v>0.330698475652505</v>
      </c>
      <c r="K9" s="24" t="n">
        <f aca="false">IF($B9="","",E9-I9)</f>
        <v>-3341354</v>
      </c>
    </row>
    <row r="10" customFormat="false" ht="15" hidden="false" customHeight="false" outlineLevel="0" collapsed="false">
      <c r="A10" s="22" t="str">
        <f aca="false">IF($B10="","","アルチビオ")</f>
        <v>アルチビオ</v>
      </c>
      <c r="B10" s="23" t="n">
        <f aca="false">IFERROR(INDEX(店舗マスタ!$B$5:$B$304,MATCH("アルチビオ|6",店舗マスタ!$L$5:$L$304,0)),"")</f>
        <v>32581000</v>
      </c>
      <c r="C10" s="22" t="str">
        <f aca="false">IF($B10="","",INDEX(店舗マスタ!$C$5:$C$304,MATCH($B10,店舗マスタ!$B$5:$B$304,0)))</f>
        <v>堀江店</v>
      </c>
      <c r="D10" s="22" t="str">
        <f aca="false">IF($B10="","",INDEX(店舗マスタ!$D$5:$D$304,MATCH($B10,店舗マスタ!$B$5:$B$304,0)))</f>
        <v>アルチビオ</v>
      </c>
      <c r="E10" s="24" t="n">
        <f aca="false">IF($B10="","",INDEX(店舗マスタ!$G$5:$G$304,MATCH($B10,店舗マスタ!$B$5:$B$304,0)))</f>
        <v>898194</v>
      </c>
      <c r="F10" s="24" t="n">
        <f aca="false">IF($B10="","",INDEX(店舗マスタ!$H$5:$H$304,MATCH($B10,店舗マスタ!$B$5:$B$304,0)))</f>
        <v>4782000</v>
      </c>
      <c r="G10" s="25" t="n">
        <f aca="false">IF($B10="","",IF(F10=0,"-",E10/F10))</f>
        <v>0.187828105395232</v>
      </c>
      <c r="H10" s="24" t="n">
        <f aca="false">IF($B10="","",E10-F10)</f>
        <v>-3883806</v>
      </c>
      <c r="I10" s="24" t="n">
        <f aca="false">IF($B10="","",INDEX(店舗マスタ!$I$5:$I$304,MATCH($B10,店舗マスタ!$B$5:$B$304,0)))</f>
        <v>4451408</v>
      </c>
      <c r="J10" s="26" t="n">
        <f aca="false">IF($B10="","",IF(I10=0,"前年実績なし",E10/I10))</f>
        <v>0.201777505005158</v>
      </c>
      <c r="K10" s="24" t="n">
        <f aca="false">IF($B10="","",E10-I10)</f>
        <v>-3553214</v>
      </c>
    </row>
    <row r="11" customFormat="false" ht="15" hidden="false" customHeight="false" outlineLevel="0" collapsed="false">
      <c r="A11" s="22" t="str">
        <f aca="false">IF($B11="","","アルチビオ")</f>
        <v>アルチビオ</v>
      </c>
      <c r="B11" s="23" t="n">
        <f aca="false">IFERROR(INDEX(店舗マスタ!$B$5:$B$304,MATCH("アルチビオ|7",店舗マスタ!$L$5:$L$304,0)),"")</f>
        <v>32673800</v>
      </c>
      <c r="C11" s="22" t="str">
        <f aca="false">IF($B11="","",INDEX(店舗マスタ!$C$5:$C$304,MATCH($B11,店舗マスタ!$B$5:$B$304,0)))</f>
        <v>高島屋横浜店</v>
      </c>
      <c r="D11" s="22" t="str">
        <f aca="false">IF($B11="","",INDEX(店舗マスタ!$D$5:$D$304,MATCH($B11,店舗マスタ!$B$5:$B$304,0)))</f>
        <v>アルチビオ</v>
      </c>
      <c r="E11" s="24" t="n">
        <f aca="false">IF($B11="","",INDEX(店舗マスタ!$G$5:$G$304,MATCH($B11,店舗マスタ!$B$5:$B$304,0)))</f>
        <v>371528</v>
      </c>
      <c r="F11" s="24" t="n">
        <f aca="false">IF($B11="","",INDEX(店舗マスタ!$H$5:$H$304,MATCH($B11,店舗マスタ!$B$5:$B$304,0)))</f>
        <v>2180000</v>
      </c>
      <c r="G11" s="25" t="n">
        <f aca="false">IF($B11="","",IF(F11=0,"-",E11/F11))</f>
        <v>0.170425688073395</v>
      </c>
      <c r="H11" s="24" t="n">
        <f aca="false">IF($B11="","",E11-F11)</f>
        <v>-1808472</v>
      </c>
      <c r="I11" s="24" t="n">
        <f aca="false">IF($B11="","",INDEX(店舗マスタ!$I$5:$I$304,MATCH($B11,店舗マスタ!$B$5:$B$304,0)))</f>
        <v>1807900</v>
      </c>
      <c r="J11" s="26" t="n">
        <f aca="false">IF($B11="","",IF(I11=0,"前年実績なし",E11/I11))</f>
        <v>0.20550251673212</v>
      </c>
      <c r="K11" s="24" t="n">
        <f aca="false">IF($B11="","",E11-I11)</f>
        <v>-1436372</v>
      </c>
    </row>
    <row r="12" customFormat="false" ht="15" hidden="false" customHeight="false" outlineLevel="0" collapsed="false">
      <c r="A12" s="22" t="str">
        <f aca="false">IF($B12="","","アルチビオ")</f>
        <v>アルチビオ</v>
      </c>
      <c r="B12" s="23" t="n">
        <f aca="false">IFERROR(INDEX(店舗マスタ!$B$5:$B$304,MATCH("アルチビオ|8",店舗マスタ!$L$5:$L$304,0)),"")</f>
        <v>32674400</v>
      </c>
      <c r="C12" s="22" t="str">
        <f aca="false">IF($B12="","",INDEX(店舗マスタ!$C$5:$C$304,MATCH($B12,店舗マスタ!$B$5:$B$304,0)))</f>
        <v>伊勢丹浦和店</v>
      </c>
      <c r="D12" s="22" t="str">
        <f aca="false">IF($B12="","",INDEX(店舗マスタ!$D$5:$D$304,MATCH($B12,店舗マスタ!$B$5:$B$304,0)))</f>
        <v>アルチビオ</v>
      </c>
      <c r="E12" s="24" t="n">
        <f aca="false">IF($B12="","",INDEX(店舗マスタ!$G$5:$G$304,MATCH($B12,店舗マスタ!$B$5:$B$304,0)))</f>
        <v>212253</v>
      </c>
      <c r="F12" s="24" t="n">
        <f aca="false">IF($B12="","",INDEX(店舗マスタ!$H$5:$H$304,MATCH($B12,店舗マスタ!$B$5:$B$304,0)))</f>
        <v>1470000</v>
      </c>
      <c r="G12" s="25" t="n">
        <f aca="false">IF($B12="","",IF(F12=0,"-",E12/F12))</f>
        <v>0.144389795918367</v>
      </c>
      <c r="H12" s="24" t="n">
        <f aca="false">IF($B12="","",E12-F12)</f>
        <v>-1257747</v>
      </c>
      <c r="I12" s="24" t="n">
        <f aca="false">IF($B12="","",INDEX(店舗マスタ!$I$5:$I$304,MATCH($B12,店舗マスタ!$B$5:$B$304,0)))</f>
        <v>1293200</v>
      </c>
      <c r="J12" s="26" t="n">
        <f aca="false">IF($B12="","",IF(I12=0,"前年実績なし",E12/I12))</f>
        <v>0.16413006495515</v>
      </c>
      <c r="K12" s="24" t="n">
        <f aca="false">IF($B12="","",E12-I12)</f>
        <v>-1080947</v>
      </c>
    </row>
    <row r="13" customFormat="false" ht="15" hidden="false" customHeight="false" outlineLevel="0" collapsed="false">
      <c r="A13" s="22" t="str">
        <f aca="false">IF($B13="","","アルチビオ")</f>
        <v>アルチビオ</v>
      </c>
      <c r="B13" s="23" t="n">
        <f aca="false">IFERROR(INDEX(店舗マスタ!$B$5:$B$304,MATCH("アルチビオ|9",店舗マスタ!$L$5:$L$304,0)),"")</f>
        <v>32673500</v>
      </c>
      <c r="C13" s="22" t="str">
        <f aca="false">IF($B13="","",INDEX(店舗マスタ!$C$5:$C$304,MATCH($B13,店舗マスタ!$B$5:$B$304,0)))</f>
        <v>日本橋三越本店</v>
      </c>
      <c r="D13" s="22" t="str">
        <f aca="false">IF($B13="","",INDEX(店舗マスタ!$D$5:$D$304,MATCH($B13,店舗マスタ!$B$5:$B$304,0)))</f>
        <v>アルチビオ</v>
      </c>
      <c r="E13" s="24" t="n">
        <f aca="false">IF($B13="","",INDEX(店舗マスタ!$G$5:$G$304,MATCH($B13,店舗マスタ!$B$5:$B$304,0)))</f>
        <v>526863</v>
      </c>
      <c r="F13" s="24" t="n">
        <f aca="false">IF($B13="","",INDEX(店舗マスタ!$H$5:$H$304,MATCH($B13,店舗マスタ!$B$5:$B$304,0)))</f>
        <v>4457000</v>
      </c>
      <c r="G13" s="25" t="n">
        <f aca="false">IF($B13="","",IF(F13=0,"-",E13/F13))</f>
        <v>0.118210231097151</v>
      </c>
      <c r="H13" s="24" t="n">
        <f aca="false">IF($B13="","",E13-F13)</f>
        <v>-3930137</v>
      </c>
      <c r="I13" s="24" t="n">
        <f aca="false">IF($B13="","",INDEX(店舗マスタ!$I$5:$I$304,MATCH($B13,店舗マスタ!$B$5:$B$304,0)))</f>
        <v>4363100</v>
      </c>
      <c r="J13" s="26" t="n">
        <f aca="false">IF($B13="","",IF(I13=0,"前年実績なし",E13/I13))</f>
        <v>0.12075428021361</v>
      </c>
      <c r="K13" s="24" t="n">
        <f aca="false">IF($B13="","",E13-I13)</f>
        <v>-3836237</v>
      </c>
    </row>
    <row r="14" customFormat="false" ht="15" hidden="false" customHeight="false" outlineLevel="0" collapsed="false">
      <c r="A14" s="22" t="str">
        <f aca="false">IF($B14="","","アルチビオ")</f>
        <v>アルチビオ</v>
      </c>
      <c r="B14" s="23" t="n">
        <f aca="false">IFERROR(INDEX(店舗マスタ!$B$5:$B$304,MATCH("アルチビオ|10",店舗マスタ!$L$5:$L$304,0)),"")</f>
        <v>32680600</v>
      </c>
      <c r="C14" s="22" t="str">
        <f aca="false">IF($B14="","",INDEX(店舗マスタ!$C$5:$C$304,MATCH($B14,店舗マスタ!$B$5:$B$304,0)))</f>
        <v>那須ガーデンアウトレット店</v>
      </c>
      <c r="D14" s="22" t="str">
        <f aca="false">IF($B14="","",INDEX(店舗マスタ!$D$5:$D$304,MATCH($B14,店舗マスタ!$B$5:$B$304,0)))</f>
        <v>アルチビオ</v>
      </c>
      <c r="E14" s="24" t="n">
        <f aca="false">IF($B14="","",INDEX(店舗マスタ!$G$5:$G$304,MATCH($B14,店舗マスタ!$B$5:$B$304,0)))</f>
        <v>132320</v>
      </c>
      <c r="F14" s="24" t="n">
        <f aca="false">IF($B14="","",INDEX(店舗マスタ!$H$5:$H$304,MATCH($B14,店舗マスタ!$B$5:$B$304,0)))</f>
        <v>3050000</v>
      </c>
      <c r="G14" s="25" t="n">
        <f aca="false">IF($B14="","",IF(F14=0,"-",E14/F14))</f>
        <v>0.0433836065573771</v>
      </c>
      <c r="H14" s="24" t="n">
        <f aca="false">IF($B14="","",E14-F14)</f>
        <v>-2917680</v>
      </c>
      <c r="I14" s="24" t="n">
        <f aca="false">IF($B14="","",INDEX(店舗マスタ!$I$5:$I$304,MATCH($B14,店舗マスタ!$B$5:$B$304,0)))</f>
        <v>2677580</v>
      </c>
      <c r="J14" s="26" t="n">
        <f aca="false">IF($B14="","",IF(I14=0,"前年実績なし",E14/I14))</f>
        <v>0.0494177578260967</v>
      </c>
      <c r="K14" s="24" t="n">
        <f aca="false">IF($B14="","",E14-I14)</f>
        <v>-2545260</v>
      </c>
    </row>
    <row r="15" customFormat="false" ht="15" hidden="false" customHeight="false" outlineLevel="0" collapsed="false">
      <c r="A15" s="22" t="str">
        <f aca="false">IF($B15="","","アルチビオ")</f>
        <v>アルチビオ</v>
      </c>
      <c r="B15" s="23" t="n">
        <f aca="false">IFERROR(INDEX(店舗マスタ!$B$5:$B$304,MATCH("アルチビオ|11",店舗マスタ!$L$5:$L$304,0)),"")</f>
        <v>32571600</v>
      </c>
      <c r="C15" s="22" t="str">
        <f aca="false">IF($B15="","",INDEX(店舗マスタ!$C$5:$C$304,MATCH($B15,店舗マスタ!$B$5:$B$304,0)))</f>
        <v>ジェイアール名古屋タカシマヤ店</v>
      </c>
      <c r="D15" s="22" t="str">
        <f aca="false">IF($B15="","",INDEX(店舗マスタ!$D$5:$D$304,MATCH($B15,店舗マスタ!$B$5:$B$304,0)))</f>
        <v>アルチビオ</v>
      </c>
      <c r="E15" s="24" t="n">
        <f aca="false">IF($B15="","",INDEX(店舗マスタ!$G$5:$G$304,MATCH($B15,店舗マスタ!$B$5:$B$304,0)))</f>
        <v>182800</v>
      </c>
      <c r="F15" s="24" t="n">
        <f aca="false">IF($B15="","",INDEX(店舗マスタ!$H$5:$H$304,MATCH($B15,店舗マスタ!$B$5:$B$304,0)))</f>
        <v>8400000</v>
      </c>
      <c r="G15" s="25" t="n">
        <f aca="false">IF($B15="","",IF(F15=0,"-",E15/F15))</f>
        <v>0.0217619047619048</v>
      </c>
      <c r="H15" s="24" t="n">
        <f aca="false">IF($B15="","",E15-F15)</f>
        <v>-8217200</v>
      </c>
      <c r="I15" s="24" t="n">
        <f aca="false">IF($B15="","",INDEX(店舗マスタ!$I$5:$I$304,MATCH($B15,店舗マスタ!$B$5:$B$304,0)))</f>
        <v>8129765</v>
      </c>
      <c r="J15" s="26" t="n">
        <f aca="false">IF($B15="","",IF(I15=0,"前年実績なし",E15/I15))</f>
        <v>0.0224852747896157</v>
      </c>
      <c r="K15" s="24" t="n">
        <f aca="false">IF($B15="","",E15-I15)</f>
        <v>-7946965</v>
      </c>
    </row>
    <row r="16" customFormat="false" ht="15" hidden="false" customHeight="false" outlineLevel="0" collapsed="false">
      <c r="A16" s="22" t="str">
        <f aca="false">IF($B16="","","アルチビオ")</f>
        <v/>
      </c>
      <c r="B16" s="23" t="str">
        <f aca="false">IFERROR(INDEX(店舗マスタ!$B$5:$B$304,MATCH("アルチビオ|12",店舗マスタ!$L$5:$L$304,0)),"")</f>
        <v/>
      </c>
      <c r="C16" s="22" t="str">
        <f aca="false">IF($B16="","",INDEX(店舗マスタ!$C$5:$C$304,MATCH($B16,店舗マスタ!$B$5:$B$304,0)))</f>
        <v/>
      </c>
      <c r="D16" s="22" t="str">
        <f aca="false">IF($B16="","",INDEX(店舗マスタ!$D$5:$D$304,MATCH($B16,店舗マスタ!$B$5:$B$304,0)))</f>
        <v/>
      </c>
      <c r="E16" s="24" t="str">
        <f aca="false">IF($B16="","",INDEX(店舗マスタ!$G$5:$G$304,MATCH($B16,店舗マスタ!$B$5:$B$304,0)))</f>
        <v/>
      </c>
      <c r="F16" s="24" t="str">
        <f aca="false">IF($B16="","",INDEX(店舗マスタ!$H$5:$H$304,MATCH($B16,店舗マスタ!$B$5:$B$304,0)))</f>
        <v/>
      </c>
      <c r="G16" s="25" t="str">
        <f aca="false">IF($B16="","",IF(F16=0,"-",E16/F16))</f>
        <v/>
      </c>
      <c r="H16" s="24" t="str">
        <f aca="false">IF($B16="","",E16-F16)</f>
        <v/>
      </c>
      <c r="I16" s="24" t="str">
        <f aca="false">IF($B16="","",INDEX(店舗マスタ!$I$5:$I$304,MATCH($B16,店舗マスタ!$B$5:$B$304,0)))</f>
        <v/>
      </c>
      <c r="J16" s="26" t="str">
        <f aca="false">IF($B16="","",IF(I16=0,"前年実績なし",E16/I16))</f>
        <v/>
      </c>
      <c r="K16" s="24" t="str">
        <f aca="false">IF($B16="","",E16-I16)</f>
        <v/>
      </c>
    </row>
    <row r="17" customFormat="false" ht="15" hidden="false" customHeight="false" outlineLevel="0" collapsed="false">
      <c r="A17" s="22" t="str">
        <f aca="false">IF($B17="","","アルチビオ")</f>
        <v/>
      </c>
      <c r="B17" s="23" t="str">
        <f aca="false">IFERROR(INDEX(店舗マスタ!$B$5:$B$304,MATCH("アルチビオ|13",店舗マスタ!$L$5:$L$304,0)),"")</f>
        <v/>
      </c>
      <c r="C17" s="22" t="str">
        <f aca="false">IF($B17="","",INDEX(店舗マスタ!$C$5:$C$304,MATCH($B17,店舗マスタ!$B$5:$B$304,0)))</f>
        <v/>
      </c>
      <c r="D17" s="22" t="str">
        <f aca="false">IF($B17="","",INDEX(店舗マスタ!$D$5:$D$304,MATCH($B17,店舗マスタ!$B$5:$B$304,0)))</f>
        <v/>
      </c>
      <c r="E17" s="24" t="str">
        <f aca="false">IF($B17="","",INDEX(店舗マスタ!$G$5:$G$304,MATCH($B17,店舗マスタ!$B$5:$B$304,0)))</f>
        <v/>
      </c>
      <c r="F17" s="24" t="str">
        <f aca="false">IF($B17="","",INDEX(店舗マスタ!$H$5:$H$304,MATCH($B17,店舗マスタ!$B$5:$B$304,0)))</f>
        <v/>
      </c>
      <c r="G17" s="25" t="str">
        <f aca="false">IF($B17="","",IF(F17=0,"-",E17/F17))</f>
        <v/>
      </c>
      <c r="H17" s="24" t="str">
        <f aca="false">IF($B17="","",E17-F17)</f>
        <v/>
      </c>
      <c r="I17" s="24" t="str">
        <f aca="false">IF($B17="","",INDEX(店舗マスタ!$I$5:$I$304,MATCH($B17,店舗マスタ!$B$5:$B$304,0)))</f>
        <v/>
      </c>
      <c r="J17" s="26" t="str">
        <f aca="false">IF($B17="","",IF(I17=0,"前年実績なし",E17/I17))</f>
        <v/>
      </c>
      <c r="K17" s="24" t="str">
        <f aca="false">IF($B17="","",E17-I17)</f>
        <v/>
      </c>
    </row>
    <row r="18" customFormat="false" ht="15" hidden="false" customHeight="false" outlineLevel="0" collapsed="false">
      <c r="A18" s="22" t="str">
        <f aca="false">IF($B18="","","アルチビオ")</f>
        <v/>
      </c>
      <c r="B18" s="23" t="str">
        <f aca="false">IFERROR(INDEX(店舗マスタ!$B$5:$B$304,MATCH("アルチビオ|14",店舗マスタ!$L$5:$L$304,0)),"")</f>
        <v/>
      </c>
      <c r="C18" s="22" t="str">
        <f aca="false">IF($B18="","",INDEX(店舗マスタ!$C$5:$C$304,MATCH($B18,店舗マスタ!$B$5:$B$304,0)))</f>
        <v/>
      </c>
      <c r="D18" s="22" t="str">
        <f aca="false">IF($B18="","",INDEX(店舗マスタ!$D$5:$D$304,MATCH($B18,店舗マスタ!$B$5:$B$304,0)))</f>
        <v/>
      </c>
      <c r="E18" s="24" t="str">
        <f aca="false">IF($B18="","",INDEX(店舗マスタ!$G$5:$G$304,MATCH($B18,店舗マスタ!$B$5:$B$304,0)))</f>
        <v/>
      </c>
      <c r="F18" s="24" t="str">
        <f aca="false">IF($B18="","",INDEX(店舗マスタ!$H$5:$H$304,MATCH($B18,店舗マスタ!$B$5:$B$304,0)))</f>
        <v/>
      </c>
      <c r="G18" s="25" t="str">
        <f aca="false">IF($B18="","",IF(F18=0,"-",E18/F18))</f>
        <v/>
      </c>
      <c r="H18" s="24" t="str">
        <f aca="false">IF($B18="","",E18-F18)</f>
        <v/>
      </c>
      <c r="I18" s="24" t="str">
        <f aca="false">IF($B18="","",INDEX(店舗マスタ!$I$5:$I$304,MATCH($B18,店舗マスタ!$B$5:$B$304,0)))</f>
        <v/>
      </c>
      <c r="J18" s="26" t="str">
        <f aca="false">IF($B18="","",IF(I18=0,"前年実績なし",E18/I18))</f>
        <v/>
      </c>
      <c r="K18" s="24" t="str">
        <f aca="false">IF($B18="","",E18-I18)</f>
        <v/>
      </c>
    </row>
    <row r="19" customFormat="false" ht="15" hidden="false" customHeight="false" outlineLevel="0" collapsed="false">
      <c r="A19" s="27" t="str">
        <f aca="false">"アルチビオ　小計（"&amp;COUNT(E5:E18)&amp;"店舗）"</f>
        <v>アルチビオ　小計（11店舗）</v>
      </c>
      <c r="B19" s="27"/>
      <c r="C19" s="27"/>
      <c r="D19" s="27"/>
      <c r="E19" s="28" t="n">
        <f aca="false">SUBTOTAL(9,E5:E18)</f>
        <v>8874005</v>
      </c>
      <c r="F19" s="28" t="n">
        <f aca="false">SUBTOTAL(9,F5:F18)</f>
        <v>42800000</v>
      </c>
      <c r="G19" s="29" t="n">
        <f aca="false">IF(F19=0,"-",E19/F19)</f>
        <v>0.207336565420561</v>
      </c>
      <c r="H19" s="28" t="n">
        <f aca="false">E19-F19</f>
        <v>-33925995</v>
      </c>
      <c r="I19" s="28" t="n">
        <f aca="false">SUBTOTAL(9,I5:I18)</f>
        <v>38987668</v>
      </c>
      <c r="J19" s="29" t="n">
        <f aca="false">IF(I19=0,"-",E19/I19)</f>
        <v>0.227610561370329</v>
      </c>
      <c r="K19" s="28" t="n">
        <f aca="false">E19-I19</f>
        <v>-30113663</v>
      </c>
    </row>
    <row r="20" customFormat="false" ht="15" hidden="false" customHeight="false" outlineLevel="0" collapsed="false">
      <c r="A20" s="22" t="str">
        <f aca="false">IF($B20="","","スタジオピッコーネ／ピッコーネクラブ")</f>
        <v>スタジオピッコーネ／ピッコーネクラブ</v>
      </c>
      <c r="B20" s="23" t="n">
        <f aca="false">IFERROR(INDEX(店舗マスタ!$B$5:$B$304,MATCH("スタジオピッコーネ／ピッコーネクラブ|1",店舗マスタ!$L$5:$L$304,0)),"")</f>
        <v>32570200</v>
      </c>
      <c r="C20" s="22" t="str">
        <f aca="false">IF($B20="","",INDEX(店舗マスタ!$C$5:$C$304,MATCH($B20,店舗マスタ!$B$5:$B$304,0)))</f>
        <v>高島屋大阪店</v>
      </c>
      <c r="D20" s="22" t="str">
        <f aca="false">IF($B20="","",INDEX(店舗マスタ!$D$5:$D$304,MATCH($B20,店舗マスタ!$B$5:$B$304,0)))</f>
        <v>スタジオピッコーネ・ピッコーネクラブ</v>
      </c>
      <c r="E20" s="24" t="n">
        <f aca="false">IF($B20="","",INDEX(店舗マスタ!$G$5:$G$304,MATCH($B20,店舗マスタ!$B$5:$B$304,0)))</f>
        <v>1262854</v>
      </c>
      <c r="F20" s="24" t="n">
        <f aca="false">IF($B20="","",INDEX(店舗マスタ!$H$5:$H$304,MATCH($B20,店舗マスタ!$B$5:$B$304,0)))</f>
        <v>5370000</v>
      </c>
      <c r="G20" s="25" t="n">
        <f aca="false">IF($B20="","",IF(F20=0,"-",E20/F20))</f>
        <v>0.23516834264432</v>
      </c>
      <c r="H20" s="24" t="n">
        <f aca="false">IF($B20="","",E20-F20)</f>
        <v>-4107146</v>
      </c>
      <c r="I20" s="24" t="n">
        <f aca="false">IF($B20="","",INDEX(店舗マスタ!$I$5:$I$304,MATCH($B20,店舗マスタ!$B$5:$B$304,0)))</f>
        <v>4965460</v>
      </c>
      <c r="J20" s="26" t="n">
        <f aca="false">IF($B20="","",IF(I20=0,"前年実績なし",E20/I20))</f>
        <v>0.254327695722048</v>
      </c>
      <c r="K20" s="24" t="n">
        <f aca="false">IF($B20="","",E20-I20)</f>
        <v>-3702606</v>
      </c>
    </row>
    <row r="21" customFormat="false" ht="15" hidden="false" customHeight="false" outlineLevel="0" collapsed="false">
      <c r="A21" s="22" t="str">
        <f aca="false">IF($B21="","","スタジオピッコーネ／ピッコーネクラブ")</f>
        <v>スタジオピッコーネ／ピッコーネクラブ</v>
      </c>
      <c r="B21" s="23" t="n">
        <f aca="false">IFERROR(INDEX(店舗マスタ!$B$5:$B$304,MATCH("スタジオピッコーネ／ピッコーネクラブ|2",店舗マスタ!$L$5:$L$304,0)),"")</f>
        <v>32676200</v>
      </c>
      <c r="C21" s="22" t="str">
        <f aca="false">IF($B21="","",INDEX(店舗マスタ!$C$5:$C$304,MATCH($B21,店舗マスタ!$B$5:$B$304,0)))</f>
        <v>東武宇都宮百貨店</v>
      </c>
      <c r="D21" s="22" t="str">
        <f aca="false">IF($B21="","",INDEX(店舗マスタ!$D$5:$D$304,MATCH($B21,店舗マスタ!$B$5:$B$304,0)))</f>
        <v>スタジオピッコーネ・ピッコーネクラブ</v>
      </c>
      <c r="E21" s="24" t="n">
        <f aca="false">IF($B21="","",INDEX(店舗マスタ!$G$5:$G$304,MATCH($B21,店舗マスタ!$B$5:$B$304,0)))</f>
        <v>419700</v>
      </c>
      <c r="F21" s="24" t="n">
        <f aca="false">IF($B21="","",INDEX(店舗マスタ!$H$5:$H$304,MATCH($B21,店舗マスタ!$B$5:$B$304,0)))</f>
        <v>2100000</v>
      </c>
      <c r="G21" s="25" t="n">
        <f aca="false">IF($B21="","",IF(F21=0,"-",E21/F21))</f>
        <v>0.199857142857143</v>
      </c>
      <c r="H21" s="24" t="n">
        <f aca="false">IF($B21="","",E21-F21)</f>
        <v>-1680300</v>
      </c>
      <c r="I21" s="24" t="n">
        <f aca="false">IF($B21="","",INDEX(店舗マスタ!$I$5:$I$304,MATCH($B21,店舗マスタ!$B$5:$B$304,0)))</f>
        <v>1953490</v>
      </c>
      <c r="J21" s="26" t="n">
        <f aca="false">IF($B21="","",IF(I21=0,"前年実績なし",E21/I21))</f>
        <v>0.214846249532887</v>
      </c>
      <c r="K21" s="24" t="n">
        <f aca="false">IF($B21="","",E21-I21)</f>
        <v>-1533790</v>
      </c>
    </row>
    <row r="22" customFormat="false" ht="15" hidden="false" customHeight="false" outlineLevel="0" collapsed="false">
      <c r="A22" s="22" t="str">
        <f aca="false">IF($B22="","","スタジオピッコーネ／ピッコーネクラブ")</f>
        <v>スタジオピッコーネ／ピッコーネクラブ</v>
      </c>
      <c r="B22" s="23" t="n">
        <f aca="false">IFERROR(INDEX(店舗マスタ!$B$5:$B$304,MATCH("スタジオピッコーネ／ピッコーネクラブ|3",店舗マスタ!$L$5:$L$304,0)),"")</f>
        <v>32574100</v>
      </c>
      <c r="C22" s="22" t="str">
        <f aca="false">IF($B22="","",INDEX(店舗マスタ!$C$5:$C$304,MATCH($B22,店舗マスタ!$B$5:$B$304,0)))</f>
        <v>広島三越店</v>
      </c>
      <c r="D22" s="22" t="str">
        <f aca="false">IF($B22="","",INDEX(店舗マスタ!$D$5:$D$304,MATCH($B22,店舗マスタ!$B$5:$B$304,0)))</f>
        <v>スタジオピッコーネ</v>
      </c>
      <c r="E22" s="24" t="n">
        <f aca="false">IF($B22="","",INDEX(店舗マスタ!$G$5:$G$304,MATCH($B22,店舗マスタ!$B$5:$B$304,0)))</f>
        <v>507400</v>
      </c>
      <c r="F22" s="24" t="n">
        <f aca="false">IF($B22="","",INDEX(店舗マスタ!$H$5:$H$304,MATCH($B22,店舗マスタ!$B$5:$B$304,0)))</f>
        <v>2600000</v>
      </c>
      <c r="G22" s="25" t="n">
        <f aca="false">IF($B22="","",IF(F22=0,"-",E22/F22))</f>
        <v>0.195153846153846</v>
      </c>
      <c r="H22" s="24" t="n">
        <f aca="false">IF($B22="","",E22-F22)</f>
        <v>-2092600</v>
      </c>
      <c r="I22" s="24" t="n">
        <f aca="false">IF($B22="","",INDEX(店舗マスタ!$I$5:$I$304,MATCH($B22,店舗マスタ!$B$5:$B$304,0)))</f>
        <v>1796500</v>
      </c>
      <c r="J22" s="26" t="n">
        <f aca="false">IF($B22="","",IF(I22=0,"前年実績なし",E22/I22))</f>
        <v>0.282438074032842</v>
      </c>
      <c r="K22" s="24" t="n">
        <f aca="false">IF($B22="","",E22-I22)</f>
        <v>-1289100</v>
      </c>
    </row>
    <row r="23" customFormat="false" ht="15" hidden="false" customHeight="false" outlineLevel="0" collapsed="false">
      <c r="A23" s="22" t="str">
        <f aca="false">IF($B23="","","スタジオピッコーネ／ピッコーネクラブ")</f>
        <v>スタジオピッコーネ／ピッコーネクラブ</v>
      </c>
      <c r="B23" s="23" t="n">
        <f aca="false">IFERROR(INDEX(店舗マスタ!$B$5:$B$304,MATCH("スタジオピッコーネ／ピッコーネクラブ|4",店舗マスタ!$L$5:$L$304,0)),"")</f>
        <v>32675700</v>
      </c>
      <c r="C23" s="22" t="str">
        <f aca="false">IF($B23="","",INDEX(店舗マスタ!$C$5:$C$304,MATCH($B23,店舗マスタ!$B$5:$B$304,0)))</f>
        <v>静岡伊勢丹</v>
      </c>
      <c r="D23" s="22" t="str">
        <f aca="false">IF($B23="","",INDEX(店舗マスタ!$D$5:$D$304,MATCH($B23,店舗マスタ!$B$5:$B$304,0)))</f>
        <v>スタジオピッコーネ・ピッコーネクラブ</v>
      </c>
      <c r="E23" s="24" t="n">
        <f aca="false">IF($B23="","",INDEX(店舗マスタ!$G$5:$G$304,MATCH($B23,店舗マスタ!$B$5:$B$304,0)))</f>
        <v>241380</v>
      </c>
      <c r="F23" s="24" t="n">
        <f aca="false">IF($B23="","",INDEX(店舗マスタ!$H$5:$H$304,MATCH($B23,店舗マスタ!$B$5:$B$304,0)))</f>
        <v>1250000</v>
      </c>
      <c r="G23" s="25" t="n">
        <f aca="false">IF($B23="","",IF(F23=0,"-",E23/F23))</f>
        <v>0.193104</v>
      </c>
      <c r="H23" s="24" t="n">
        <f aca="false">IF($B23="","",E23-F23)</f>
        <v>-1008620</v>
      </c>
      <c r="I23" s="24" t="n">
        <f aca="false">IF($B23="","",INDEX(店舗マスタ!$I$5:$I$304,MATCH($B23,店舗マスタ!$B$5:$B$304,0)))</f>
        <v>997950</v>
      </c>
      <c r="J23" s="26" t="n">
        <f aca="false">IF($B23="","",IF(I23=0,"前年実績なし",E23/I23))</f>
        <v>0.241875845483241</v>
      </c>
      <c r="K23" s="24" t="n">
        <f aca="false">IF($B23="","",E23-I23)</f>
        <v>-756570</v>
      </c>
    </row>
    <row r="24" customFormat="false" ht="15" hidden="false" customHeight="false" outlineLevel="0" collapsed="false">
      <c r="A24" s="22" t="str">
        <f aca="false">IF($B24="","","スタジオピッコーネ／ピッコーネクラブ")</f>
        <v>スタジオピッコーネ／ピッコーネクラブ</v>
      </c>
      <c r="B24" s="23" t="n">
        <f aca="false">IFERROR(INDEX(店舗マスタ!$B$5:$B$304,MATCH("スタジオピッコーネ／ピッコーネクラブ|5",店舗マスタ!$L$5:$L$304,0)),"")</f>
        <v>32670400</v>
      </c>
      <c r="C24" s="22" t="str">
        <f aca="false">IF($B24="","",INDEX(店舗マスタ!$C$5:$C$304,MATCH($B24,店舗マスタ!$B$5:$B$304,0)))</f>
        <v>高島屋高崎店</v>
      </c>
      <c r="D24" s="22" t="str">
        <f aca="false">IF($B24="","",INDEX(店舗マスタ!$D$5:$D$304,MATCH($B24,店舗マスタ!$B$5:$B$304,0)))</f>
        <v>スタジオピッコーネ・ピッコーネクラブ</v>
      </c>
      <c r="E24" s="24" t="n">
        <f aca="false">IF($B24="","",INDEX(店舗マスタ!$G$5:$G$304,MATCH($B24,店舗マスタ!$B$5:$B$304,0)))</f>
        <v>776168</v>
      </c>
      <c r="F24" s="24" t="n">
        <f aca="false">IF($B24="","",INDEX(店舗マスタ!$H$5:$H$304,MATCH($B24,店舗マスタ!$B$5:$B$304,0)))</f>
        <v>4050000</v>
      </c>
      <c r="G24" s="25" t="n">
        <f aca="false">IF($B24="","",IF(F24=0,"-",E24/F24))</f>
        <v>0.191646419753086</v>
      </c>
      <c r="H24" s="24" t="n">
        <f aca="false">IF($B24="","",E24-F24)</f>
        <v>-3273832</v>
      </c>
      <c r="I24" s="24" t="n">
        <f aca="false">IF($B24="","",INDEX(店舗マスタ!$I$5:$I$304,MATCH($B24,店舗マスタ!$B$5:$B$304,0)))</f>
        <v>3884330</v>
      </c>
      <c r="J24" s="26" t="n">
        <f aca="false">IF($B24="","",IF(I24=0,"前年実績なし",E24/I24))</f>
        <v>0.199820303630227</v>
      </c>
      <c r="K24" s="24" t="n">
        <f aca="false">IF($B24="","",E24-I24)</f>
        <v>-3108162</v>
      </c>
    </row>
    <row r="25" customFormat="false" ht="15" hidden="false" customHeight="false" outlineLevel="0" collapsed="false">
      <c r="A25" s="22" t="str">
        <f aca="false">IF($B25="","","スタジオピッコーネ／ピッコーネクラブ")</f>
        <v>スタジオピッコーネ／ピッコーネクラブ</v>
      </c>
      <c r="B25" s="23" t="n">
        <f aca="false">IFERROR(INDEX(店舗マスタ!$B$5:$B$304,MATCH("スタジオピッコーネ／ピッコーネクラブ|6",店舗マスタ!$L$5:$L$304,0)),"")</f>
        <v>32572600</v>
      </c>
      <c r="C25" s="22" t="str">
        <f aca="false">IF($B25="","",INDEX(店舗マスタ!$C$5:$C$304,MATCH($B25,店舗マスタ!$B$5:$B$304,0)))</f>
        <v>大丸福岡天神店</v>
      </c>
      <c r="D25" s="22" t="str">
        <f aca="false">IF($B25="","",INDEX(店舗マスタ!$D$5:$D$304,MATCH($B25,店舗マスタ!$B$5:$B$304,0)))</f>
        <v>スタジオピッコーネ・ピッコーネクラブ</v>
      </c>
      <c r="E25" s="24" t="n">
        <f aca="false">IF($B25="","",INDEX(店舗マスタ!$G$5:$G$304,MATCH($B25,店舗マスタ!$B$5:$B$304,0)))</f>
        <v>521900</v>
      </c>
      <c r="F25" s="24" t="n">
        <f aca="false">IF($B25="","",INDEX(店舗マスタ!$H$5:$H$304,MATCH($B25,店舗マスタ!$B$5:$B$304,0)))</f>
        <v>2830000</v>
      </c>
      <c r="G25" s="25" t="n">
        <f aca="false">IF($B25="","",IF(F25=0,"-",E25/F25))</f>
        <v>0.184416961130742</v>
      </c>
      <c r="H25" s="24" t="n">
        <f aca="false">IF($B25="","",E25-F25)</f>
        <v>-2308100</v>
      </c>
      <c r="I25" s="24" t="n">
        <f aca="false">IF($B25="","",INDEX(店舗マスタ!$I$5:$I$304,MATCH($B25,店舗マスタ!$B$5:$B$304,0)))</f>
        <v>2230000</v>
      </c>
      <c r="J25" s="26" t="n">
        <f aca="false">IF($B25="","",IF(I25=0,"前年実績なし",E25/I25))</f>
        <v>0.234035874439462</v>
      </c>
      <c r="K25" s="24" t="n">
        <f aca="false">IF($B25="","",E25-I25)</f>
        <v>-1708100</v>
      </c>
    </row>
    <row r="26" customFormat="false" ht="15" hidden="false" customHeight="false" outlineLevel="0" collapsed="false">
      <c r="A26" s="22" t="str">
        <f aca="false">IF($B26="","","スタジオピッコーネ／ピッコーネクラブ")</f>
        <v>スタジオピッコーネ／ピッコーネクラブ</v>
      </c>
      <c r="B26" s="23" t="n">
        <f aca="false">IFERROR(INDEX(店舗マスタ!$B$5:$B$304,MATCH("スタジオピッコーネ／ピッコーネクラブ|7",店舗マスタ!$L$5:$L$304,0)),"")</f>
        <v>32670200</v>
      </c>
      <c r="C26" s="22" t="str">
        <f aca="false">IF($B26="","",INDEX(店舗マスタ!$C$5:$C$304,MATCH($B26,店舗マスタ!$B$5:$B$304,0)))</f>
        <v>高島屋横浜店</v>
      </c>
      <c r="D26" s="22" t="str">
        <f aca="false">IF($B26="","",INDEX(店舗マスタ!$D$5:$D$304,MATCH($B26,店舗マスタ!$B$5:$B$304,0)))</f>
        <v>スタジオピッコーネ・ピッコーネクラブ</v>
      </c>
      <c r="E26" s="24" t="n">
        <f aca="false">IF($B26="","",INDEX(店舗マスタ!$G$5:$G$304,MATCH($B26,店舗マスタ!$B$5:$B$304,0)))</f>
        <v>920100</v>
      </c>
      <c r="F26" s="24" t="n">
        <f aca="false">IF($B26="","",INDEX(店舗マスタ!$H$5:$H$304,MATCH($B26,店舗マスタ!$B$5:$B$304,0)))</f>
        <v>5100000</v>
      </c>
      <c r="G26" s="25" t="n">
        <f aca="false">IF($B26="","",IF(F26=0,"-",E26/F26))</f>
        <v>0.180411764705882</v>
      </c>
      <c r="H26" s="24" t="n">
        <f aca="false">IF($B26="","",E26-F26)</f>
        <v>-4179900</v>
      </c>
      <c r="I26" s="24" t="n">
        <f aca="false">IF($B26="","",INDEX(店舗マスタ!$I$5:$I$304,MATCH($B26,店舗マスタ!$B$5:$B$304,0)))</f>
        <v>4342490</v>
      </c>
      <c r="J26" s="26" t="n">
        <f aca="false">IF($B26="","",IF(I26=0,"前年実績なし",E26/I26))</f>
        <v>0.211883044059975</v>
      </c>
      <c r="K26" s="24" t="n">
        <f aca="false">IF($B26="","",E26-I26)</f>
        <v>-3422390</v>
      </c>
    </row>
    <row r="27" customFormat="false" ht="15" hidden="false" customHeight="false" outlineLevel="0" collapsed="false">
      <c r="A27" s="22" t="str">
        <f aca="false">IF($B27="","","スタジオピッコーネ／ピッコーネクラブ")</f>
        <v>スタジオピッコーネ／ピッコーネクラブ</v>
      </c>
      <c r="B27" s="23" t="n">
        <f aca="false">IFERROR(INDEX(店舗マスタ!$B$5:$B$304,MATCH("スタジオピッコーネ／ピッコーネクラブ|8",店舗マスタ!$L$5:$L$304,0)),"")</f>
        <v>32573700</v>
      </c>
      <c r="C27" s="22" t="str">
        <f aca="false">IF($B27="","",INDEX(店舗マスタ!$C$5:$C$304,MATCH($B27,店舗マスタ!$B$5:$B$304,0)))</f>
        <v>近鉄百貨店上本町店</v>
      </c>
      <c r="D27" s="22" t="str">
        <f aca="false">IF($B27="","",INDEX(店舗マスタ!$D$5:$D$304,MATCH($B27,店舗マスタ!$B$5:$B$304,0)))</f>
        <v>スタジオピッコーネ・ピッコーネクラブ</v>
      </c>
      <c r="E27" s="24" t="n">
        <f aca="false">IF($B27="","",INDEX(店舗マスタ!$G$5:$G$304,MATCH($B27,店舗マスタ!$B$5:$B$304,0)))</f>
        <v>691454</v>
      </c>
      <c r="F27" s="24" t="n">
        <f aca="false">IF($B27="","",INDEX(店舗マスタ!$H$5:$H$304,MATCH($B27,店舗マスタ!$B$5:$B$304,0)))</f>
        <v>3940000</v>
      </c>
      <c r="G27" s="25" t="n">
        <f aca="false">IF($B27="","",IF(F27=0,"-",E27/F27))</f>
        <v>0.175495939086294</v>
      </c>
      <c r="H27" s="24" t="n">
        <f aca="false">IF($B27="","",E27-F27)</f>
        <v>-3248546</v>
      </c>
      <c r="I27" s="24" t="n">
        <f aca="false">IF($B27="","",INDEX(店舗マスタ!$I$5:$I$304,MATCH($B27,店舗マスタ!$B$5:$B$304,0)))</f>
        <v>3597695</v>
      </c>
      <c r="J27" s="26" t="n">
        <f aca="false">IF($B27="","",IF(I27=0,"前年実績なし",E27/I27))</f>
        <v>0.192193612854897</v>
      </c>
      <c r="K27" s="24" t="n">
        <f aca="false">IF($B27="","",E27-I27)</f>
        <v>-2906241</v>
      </c>
    </row>
    <row r="28" customFormat="false" ht="15" hidden="false" customHeight="false" outlineLevel="0" collapsed="false">
      <c r="A28" s="22" t="str">
        <f aca="false">IF($B28="","","スタジオピッコーネ／ピッコーネクラブ")</f>
        <v>スタジオピッコーネ／ピッコーネクラブ</v>
      </c>
      <c r="B28" s="23" t="n">
        <f aca="false">IFERROR(INDEX(店舗マスタ!$B$5:$B$304,MATCH("スタジオピッコーネ／ピッコーネクラブ|9",店舗マスタ!$L$5:$L$304,0)),"")</f>
        <v>32575700</v>
      </c>
      <c r="C28" s="22" t="str">
        <f aca="false">IF($B28="","",INDEX(店舗マスタ!$C$5:$C$304,MATCH($B28,店舗マスタ!$B$5:$B$304,0)))</f>
        <v>名古屋三越栄店</v>
      </c>
      <c r="D28" s="22" t="str">
        <f aca="false">IF($B28="","",INDEX(店舗マスタ!$D$5:$D$304,MATCH($B28,店舗マスタ!$B$5:$B$304,0)))</f>
        <v>スタジオピッコーネ</v>
      </c>
      <c r="E28" s="24" t="n">
        <f aca="false">IF($B28="","",INDEX(店舗マスタ!$G$5:$G$304,MATCH($B28,店舗マスタ!$B$5:$B$304,0)))</f>
        <v>721272</v>
      </c>
      <c r="F28" s="24" t="n">
        <f aca="false">IF($B28="","",INDEX(店舗マスタ!$H$5:$H$304,MATCH($B28,店舗マスタ!$B$5:$B$304,0)))</f>
        <v>4200000</v>
      </c>
      <c r="G28" s="25" t="n">
        <f aca="false">IF($B28="","",IF(F28=0,"-",E28/F28))</f>
        <v>0.171731428571429</v>
      </c>
      <c r="H28" s="24" t="n">
        <f aca="false">IF($B28="","",E28-F28)</f>
        <v>-3478728</v>
      </c>
      <c r="I28" s="24" t="n">
        <f aca="false">IF($B28="","",INDEX(店舗マスタ!$I$5:$I$304,MATCH($B28,店舗マスタ!$B$5:$B$304,0)))</f>
        <v>4050580</v>
      </c>
      <c r="J28" s="26" t="n">
        <f aca="false">IF($B28="","",IF(I28=0,"前年実績なし",E28/I28))</f>
        <v>0.17806635099171</v>
      </c>
      <c r="K28" s="24" t="n">
        <f aca="false">IF($B28="","",E28-I28)</f>
        <v>-3329308</v>
      </c>
    </row>
    <row r="29" customFormat="false" ht="15" hidden="false" customHeight="false" outlineLevel="0" collapsed="false">
      <c r="A29" s="22" t="str">
        <f aca="false">IF($B29="","","スタジオピッコーネ／ピッコーネクラブ")</f>
        <v>スタジオピッコーネ／ピッコーネクラブ</v>
      </c>
      <c r="B29" s="23" t="n">
        <f aca="false">IFERROR(INDEX(店舗マスタ!$B$5:$B$304,MATCH("スタジオピッコーネ／ピッコーネクラブ|10",店舗マスタ!$L$5:$L$304,0)),"")</f>
        <v>32671900</v>
      </c>
      <c r="C29" s="22" t="str">
        <f aca="false">IF($B29="","",INDEX(店舗マスタ!$C$5:$C$304,MATCH($B29,店舗マスタ!$B$5:$B$304,0)))</f>
        <v>松坂屋上野店</v>
      </c>
      <c r="D29" s="22" t="str">
        <f aca="false">IF($B29="","",INDEX(店舗マスタ!$D$5:$D$304,MATCH($B29,店舗マスタ!$B$5:$B$304,0)))</f>
        <v>スタジオピッコーネ・ピッコーネクラブ</v>
      </c>
      <c r="E29" s="24" t="n">
        <f aca="false">IF($B29="","",INDEX(店舗マスタ!$G$5:$G$304,MATCH($B29,店舗マスタ!$B$5:$B$304,0)))</f>
        <v>492100</v>
      </c>
      <c r="F29" s="24" t="n">
        <f aca="false">IF($B29="","",INDEX(店舗マスタ!$H$5:$H$304,MATCH($B29,店舗マスタ!$B$5:$B$304,0)))</f>
        <v>2900000</v>
      </c>
      <c r="G29" s="25" t="n">
        <f aca="false">IF($B29="","",IF(F29=0,"-",E29/F29))</f>
        <v>0.169689655172414</v>
      </c>
      <c r="H29" s="24" t="n">
        <f aca="false">IF($B29="","",E29-F29)</f>
        <v>-2407900</v>
      </c>
      <c r="I29" s="24" t="n">
        <f aca="false">IF($B29="","",INDEX(店舗マスタ!$I$5:$I$304,MATCH($B29,店舗マスタ!$B$5:$B$304,0)))</f>
        <v>2327950</v>
      </c>
      <c r="J29" s="26" t="n">
        <f aca="false">IF($B29="","",IF(I29=0,"前年実績なし",E29/I29))</f>
        <v>0.211387701625894</v>
      </c>
      <c r="K29" s="24" t="n">
        <f aca="false">IF($B29="","",E29-I29)</f>
        <v>-1835850</v>
      </c>
    </row>
    <row r="30" customFormat="false" ht="15" hidden="false" customHeight="false" outlineLevel="0" collapsed="false">
      <c r="A30" s="22" t="str">
        <f aca="false">IF($B30="","","スタジオピッコーネ／ピッコーネクラブ")</f>
        <v>スタジオピッコーネ／ピッコーネクラブ</v>
      </c>
      <c r="B30" s="23" t="n">
        <f aca="false">IFERROR(INDEX(店舗マスタ!$B$5:$B$304,MATCH("スタジオピッコーネ／ピッコーネクラブ|11",店舗マスタ!$L$5:$L$304,0)),"")</f>
        <v>32675800</v>
      </c>
      <c r="C30" s="22" t="str">
        <f aca="false">IF($B30="","",INDEX(店舗マスタ!$C$5:$C$304,MATCH($B30,店舗マスタ!$B$5:$B$304,0)))</f>
        <v>伊勢丹立川店</v>
      </c>
      <c r="D30" s="22" t="str">
        <f aca="false">IF($B30="","",INDEX(店舗マスタ!$D$5:$D$304,MATCH($B30,店舗マスタ!$B$5:$B$304,0)))</f>
        <v>スタジオピッコーネ・ピッコーネクラブ</v>
      </c>
      <c r="E30" s="24" t="n">
        <f aca="false">IF($B30="","",INDEX(店舗マスタ!$G$5:$G$304,MATCH($B30,店舗マスタ!$B$5:$B$304,0)))</f>
        <v>414000</v>
      </c>
      <c r="F30" s="24" t="n">
        <f aca="false">IF($B30="","",INDEX(店舗マスタ!$H$5:$H$304,MATCH($B30,店舗マスタ!$B$5:$B$304,0)))</f>
        <v>2650000</v>
      </c>
      <c r="G30" s="25" t="n">
        <f aca="false">IF($B30="","",IF(F30=0,"-",E30/F30))</f>
        <v>0.15622641509434</v>
      </c>
      <c r="H30" s="24" t="n">
        <f aca="false">IF($B30="","",E30-F30)</f>
        <v>-2236000</v>
      </c>
      <c r="I30" s="24" t="n">
        <f aca="false">IF($B30="","",INDEX(店舗マスタ!$I$5:$I$304,MATCH($B30,店舗マスタ!$B$5:$B$304,0)))</f>
        <v>2438700</v>
      </c>
      <c r="J30" s="26" t="n">
        <f aca="false">IF($B30="","",IF(I30=0,"前年実績なし",E30/I30))</f>
        <v>0.16976257842293</v>
      </c>
      <c r="K30" s="24" t="n">
        <f aca="false">IF($B30="","",E30-I30)</f>
        <v>-2024700</v>
      </c>
    </row>
    <row r="31" customFormat="false" ht="15" hidden="false" customHeight="false" outlineLevel="0" collapsed="false">
      <c r="A31" s="22" t="str">
        <f aca="false">IF($B31="","","スタジオピッコーネ／ピッコーネクラブ")</f>
        <v>スタジオピッコーネ／ピッコーネクラブ</v>
      </c>
      <c r="B31" s="23" t="n">
        <f aca="false">IFERROR(INDEX(店舗マスタ!$B$5:$B$304,MATCH("スタジオピッコーネ／ピッコーネクラブ|12",店舗マスタ!$L$5:$L$304,0)),"")</f>
        <v>32573400</v>
      </c>
      <c r="C31" s="22" t="str">
        <f aca="false">IF($B31="","",INDEX(店舗マスタ!$C$5:$C$304,MATCH($B31,店舗マスタ!$B$5:$B$304,0)))</f>
        <v>近鉄百貨店和歌山店</v>
      </c>
      <c r="D31" s="22" t="str">
        <f aca="false">IF($B31="","",INDEX(店舗マスタ!$D$5:$D$304,MATCH($B31,店舗マスタ!$B$5:$B$304,0)))</f>
        <v>スタジオピッコーネ・ピッコーネクラブ</v>
      </c>
      <c r="E31" s="24" t="n">
        <f aca="false">IF($B31="","",INDEX(店舗マスタ!$G$5:$G$304,MATCH($B31,店舗マスタ!$B$5:$B$304,0)))</f>
        <v>315700</v>
      </c>
      <c r="F31" s="24" t="n">
        <f aca="false">IF($B31="","",INDEX(店舗マスタ!$H$5:$H$304,MATCH($B31,店舗マスタ!$B$5:$B$304,0)))</f>
        <v>2280000</v>
      </c>
      <c r="G31" s="25" t="n">
        <f aca="false">IF($B31="","",IF(F31=0,"-",E31/F31))</f>
        <v>0.138464912280702</v>
      </c>
      <c r="H31" s="24" t="n">
        <f aca="false">IF($B31="","",E31-F31)</f>
        <v>-1964300</v>
      </c>
      <c r="I31" s="24" t="n">
        <f aca="false">IF($B31="","",INDEX(店舗マスタ!$I$5:$I$304,MATCH($B31,店舗マスタ!$B$5:$B$304,0)))</f>
        <v>2014530</v>
      </c>
      <c r="J31" s="26" t="n">
        <f aca="false">IF($B31="","",IF(I31=0,"前年実績なし",E31/I31))</f>
        <v>0.156711491017756</v>
      </c>
      <c r="K31" s="24" t="n">
        <f aca="false">IF($B31="","",E31-I31)</f>
        <v>-1698830</v>
      </c>
    </row>
    <row r="32" customFormat="false" ht="15" hidden="false" customHeight="false" outlineLevel="0" collapsed="false">
      <c r="A32" s="22" t="str">
        <f aca="false">IF($B32="","","スタジオピッコーネ／ピッコーネクラブ")</f>
        <v>スタジオピッコーネ／ピッコーネクラブ</v>
      </c>
      <c r="B32" s="23" t="n">
        <f aca="false">IFERROR(INDEX(店舗マスタ!$B$5:$B$304,MATCH("スタジオピッコーネ／ピッコーネクラブ|13",店舗マスタ!$L$5:$L$304,0)),"")</f>
        <v>32674500</v>
      </c>
      <c r="C32" s="22" t="str">
        <f aca="false">IF($B32="","",INDEX(店舗マスタ!$C$5:$C$304,MATCH($B32,店舗マスタ!$B$5:$B$304,0)))</f>
        <v>仙台三越</v>
      </c>
      <c r="D32" s="22" t="str">
        <f aca="false">IF($B32="","",INDEX(店舗マスタ!$D$5:$D$304,MATCH($B32,店舗マスタ!$B$5:$B$304,0)))</f>
        <v>スタジオピッコーネ・ピッコーネクラブ</v>
      </c>
      <c r="E32" s="24" t="n">
        <f aca="false">IF($B32="","",INDEX(店舗マスタ!$G$5:$G$304,MATCH($B32,店舗マスタ!$B$5:$B$304,0)))</f>
        <v>255700</v>
      </c>
      <c r="F32" s="24" t="n">
        <f aca="false">IF($B32="","",INDEX(店舗マスタ!$H$5:$H$304,MATCH($B32,店舗マスタ!$B$5:$B$304,0)))</f>
        <v>1900000</v>
      </c>
      <c r="G32" s="25" t="n">
        <f aca="false">IF($B32="","",IF(F32=0,"-",E32/F32))</f>
        <v>0.134578947368421</v>
      </c>
      <c r="H32" s="24" t="n">
        <f aca="false">IF($B32="","",E32-F32)</f>
        <v>-1644300</v>
      </c>
      <c r="I32" s="24" t="n">
        <f aca="false">IF($B32="","",INDEX(店舗マスタ!$I$5:$I$304,MATCH($B32,店舗マスタ!$B$5:$B$304,0)))</f>
        <v>1610700</v>
      </c>
      <c r="J32" s="26" t="n">
        <f aca="false">IF($B32="","",IF(I32=0,"前年実績なし",E32/I32))</f>
        <v>0.158750853666108</v>
      </c>
      <c r="K32" s="24" t="n">
        <f aca="false">IF($B32="","",E32-I32)</f>
        <v>-1355000</v>
      </c>
    </row>
    <row r="33" customFormat="false" ht="15" hidden="false" customHeight="false" outlineLevel="0" collapsed="false">
      <c r="A33" s="22" t="str">
        <f aca="false">IF($B33="","","スタジオピッコーネ／ピッコーネクラブ")</f>
        <v>スタジオピッコーネ／ピッコーネクラブ</v>
      </c>
      <c r="B33" s="23" t="n">
        <f aca="false">IFERROR(INDEX(店舗マスタ!$B$5:$B$304,MATCH("スタジオピッコーネ／ピッコーネクラブ|14",店舗マスタ!$L$5:$L$304,0)),"")</f>
        <v>32675600</v>
      </c>
      <c r="C33" s="22" t="str">
        <f aca="false">IF($B33="","",INDEX(店舗マスタ!$C$5:$C$304,MATCH($B33,店舗マスタ!$B$5:$B$304,0)))</f>
        <v>ながの東急百貨店</v>
      </c>
      <c r="D33" s="22" t="str">
        <f aca="false">IF($B33="","",INDEX(店舗マスタ!$D$5:$D$304,MATCH($B33,店舗マスタ!$B$5:$B$304,0)))</f>
        <v>スタジオピッコーネ・ピッコーネクラブ</v>
      </c>
      <c r="E33" s="24" t="n">
        <f aca="false">IF($B33="","",INDEX(店舗マスタ!$G$5:$G$304,MATCH($B33,店舗マスタ!$B$5:$B$304,0)))</f>
        <v>512090</v>
      </c>
      <c r="F33" s="24" t="n">
        <f aca="false">IF($B33="","",INDEX(店舗マスタ!$H$5:$H$304,MATCH($B33,店舗マスタ!$B$5:$B$304,0)))</f>
        <v>4100000</v>
      </c>
      <c r="G33" s="25" t="n">
        <f aca="false">IF($B33="","",IF(F33=0,"-",E33/F33))</f>
        <v>0.1249</v>
      </c>
      <c r="H33" s="24" t="n">
        <f aca="false">IF($B33="","",E33-F33)</f>
        <v>-3587910</v>
      </c>
      <c r="I33" s="24" t="n">
        <f aca="false">IF($B33="","",INDEX(店舗マスタ!$I$5:$I$304,MATCH($B33,店舗マスタ!$B$5:$B$304,0)))</f>
        <v>4075700</v>
      </c>
      <c r="J33" s="26" t="n">
        <f aca="false">IF($B33="","",IF(I33=0,"前年実績なし",E33/I33))</f>
        <v>0.125644674534436</v>
      </c>
      <c r="K33" s="24" t="n">
        <f aca="false">IF($B33="","",E33-I33)</f>
        <v>-3563610</v>
      </c>
    </row>
    <row r="34" customFormat="false" ht="15" hidden="false" customHeight="false" outlineLevel="0" collapsed="false">
      <c r="A34" s="22" t="str">
        <f aca="false">IF($B34="","","スタジオピッコーネ／ピッコーネクラブ")</f>
        <v>スタジオピッコーネ／ピッコーネクラブ</v>
      </c>
      <c r="B34" s="23" t="n">
        <f aca="false">IFERROR(INDEX(店舗マスタ!$B$5:$B$304,MATCH("スタジオピッコーネ／ピッコーネクラブ|15",店舗マスタ!$L$5:$L$304,0)),"")</f>
        <v>32573900</v>
      </c>
      <c r="C34" s="22" t="str">
        <f aca="false">IF($B34="","",INDEX(店舗マスタ!$C$5:$C$304,MATCH($B34,店舗マスタ!$B$5:$B$304,0)))</f>
        <v>近鉄百貨店橿原店</v>
      </c>
      <c r="D34" s="22" t="str">
        <f aca="false">IF($B34="","",INDEX(店舗マスタ!$D$5:$D$304,MATCH($B34,店舗マスタ!$B$5:$B$304,0)))</f>
        <v>スタジオピッコーネ</v>
      </c>
      <c r="E34" s="24" t="n">
        <f aca="false">IF($B34="","",INDEX(店舗マスタ!$G$5:$G$304,MATCH($B34,店舗マスタ!$B$5:$B$304,0)))</f>
        <v>313800</v>
      </c>
      <c r="F34" s="24" t="n">
        <f aca="false">IF($B34="","",INDEX(店舗マスタ!$H$5:$H$304,MATCH($B34,店舗マスタ!$B$5:$B$304,0)))</f>
        <v>2600000</v>
      </c>
      <c r="G34" s="25" t="n">
        <f aca="false">IF($B34="","",IF(F34=0,"-",E34/F34))</f>
        <v>0.120692307692308</v>
      </c>
      <c r="H34" s="24" t="n">
        <f aca="false">IF($B34="","",E34-F34)</f>
        <v>-2286200</v>
      </c>
      <c r="I34" s="24" t="n">
        <f aca="false">IF($B34="","",INDEX(店舗マスタ!$I$5:$I$304,MATCH($B34,店舗マスタ!$B$5:$B$304,0)))</f>
        <v>2629520</v>
      </c>
      <c r="J34" s="26" t="n">
        <f aca="false">IF($B34="","",IF(I34=0,"前年実績なし",E34/I34))</f>
        <v>0.119337369557942</v>
      </c>
      <c r="K34" s="24" t="n">
        <f aca="false">IF($B34="","",E34-I34)</f>
        <v>-2315720</v>
      </c>
    </row>
    <row r="35" customFormat="false" ht="15" hidden="false" customHeight="false" outlineLevel="0" collapsed="false">
      <c r="A35" s="22" t="str">
        <f aca="false">IF($B35="","","スタジオピッコーネ／ピッコーネクラブ")</f>
        <v>スタジオピッコーネ／ピッコーネクラブ</v>
      </c>
      <c r="B35" s="23" t="n">
        <f aca="false">IFERROR(INDEX(店舗マスタ!$B$5:$B$304,MATCH("スタジオピッコーネ／ピッコーネクラブ|16",店舗マスタ!$L$5:$L$304,0)),"")</f>
        <v>32573200</v>
      </c>
      <c r="C35" s="22" t="str">
        <f aca="false">IF($B35="","",INDEX(店舗マスタ!$C$5:$C$304,MATCH($B35,店舗マスタ!$B$5:$B$304,0)))</f>
        <v>あべのハルカス近鉄本店</v>
      </c>
      <c r="D35" s="22" t="str">
        <f aca="false">IF($B35="","",INDEX(店舗マスタ!$D$5:$D$304,MATCH($B35,店舗マスタ!$B$5:$B$304,0)))</f>
        <v>スタジオピッコーネ</v>
      </c>
      <c r="E35" s="24" t="n">
        <f aca="false">IF($B35="","",INDEX(店舗マスタ!$G$5:$G$304,MATCH($B35,店舗マスタ!$B$5:$B$304,0)))</f>
        <v>506300</v>
      </c>
      <c r="F35" s="24" t="n">
        <f aca="false">IF($B35="","",INDEX(店舗マスタ!$H$5:$H$304,MATCH($B35,店舗マスタ!$B$5:$B$304,0)))</f>
        <v>4400000</v>
      </c>
      <c r="G35" s="25" t="n">
        <f aca="false">IF($B35="","",IF(F35=0,"-",E35/F35))</f>
        <v>0.115068181818182</v>
      </c>
      <c r="H35" s="24" t="n">
        <f aca="false">IF($B35="","",E35-F35)</f>
        <v>-3893700</v>
      </c>
      <c r="I35" s="24" t="n">
        <f aca="false">IF($B35="","",INDEX(店舗マスタ!$I$5:$I$304,MATCH($B35,店舗マスタ!$B$5:$B$304,0)))</f>
        <v>4159145</v>
      </c>
      <c r="J35" s="26" t="n">
        <f aca="false">IF($B35="","",IF(I35=0,"前年実績なし",E35/I35))</f>
        <v>0.12173175015538</v>
      </c>
      <c r="K35" s="24" t="n">
        <f aca="false">IF($B35="","",E35-I35)</f>
        <v>-3652845</v>
      </c>
    </row>
    <row r="36" customFormat="false" ht="15" hidden="false" customHeight="false" outlineLevel="0" collapsed="false">
      <c r="A36" s="22" t="str">
        <f aca="false">IF($B36="","","スタジオピッコーネ／ピッコーネクラブ")</f>
        <v>スタジオピッコーネ／ピッコーネクラブ</v>
      </c>
      <c r="B36" s="23" t="n">
        <f aca="false">IFERROR(INDEX(店舗マスタ!$B$5:$B$304,MATCH("スタジオピッコーネ／ピッコーネクラブ|17",店舗マスタ!$L$5:$L$304,0)),"")</f>
        <v>32673300</v>
      </c>
      <c r="C36" s="22" t="str">
        <f aca="false">IF($B36="","",INDEX(店舗マスタ!$C$5:$C$304,MATCH($B36,店舗マスタ!$B$5:$B$304,0)))</f>
        <v>松屋銀座本店</v>
      </c>
      <c r="D36" s="22" t="str">
        <f aca="false">IF($B36="","",INDEX(店舗マスタ!$D$5:$D$304,MATCH($B36,店舗マスタ!$B$5:$B$304,0)))</f>
        <v>スタジオピッコーネ・ピッコーネクラブ</v>
      </c>
      <c r="E36" s="24" t="n">
        <f aca="false">IF($B36="","",INDEX(店舗マスタ!$G$5:$G$304,MATCH($B36,店舗マスタ!$B$5:$B$304,0)))</f>
        <v>312500</v>
      </c>
      <c r="F36" s="24" t="n">
        <f aca="false">IF($B36="","",INDEX(店舗マスタ!$H$5:$H$304,MATCH($B36,店舗マスタ!$B$5:$B$304,0)))</f>
        <v>3100000</v>
      </c>
      <c r="G36" s="25" t="n">
        <f aca="false">IF($B36="","",IF(F36=0,"-",E36/F36))</f>
        <v>0.100806451612903</v>
      </c>
      <c r="H36" s="24" t="n">
        <f aca="false">IF($B36="","",E36-F36)</f>
        <v>-2787500</v>
      </c>
      <c r="I36" s="24" t="n">
        <f aca="false">IF($B36="","",INDEX(店舗マスタ!$I$5:$I$304,MATCH($B36,店舗マスタ!$B$5:$B$304,0)))</f>
        <v>2923612</v>
      </c>
      <c r="J36" s="26" t="n">
        <f aca="false">IF($B36="","",IF(I36=0,"前年実績なし",E36/I36))</f>
        <v>0.106888328547016</v>
      </c>
      <c r="K36" s="24" t="n">
        <f aca="false">IF($B36="","",E36-I36)</f>
        <v>-2611112</v>
      </c>
    </row>
    <row r="37" customFormat="false" ht="15" hidden="false" customHeight="false" outlineLevel="0" collapsed="false">
      <c r="A37" s="22" t="str">
        <f aca="false">IF($B37="","","スタジオピッコーネ／ピッコーネクラブ")</f>
        <v>スタジオピッコーネ／ピッコーネクラブ</v>
      </c>
      <c r="B37" s="23" t="n">
        <f aca="false">IFERROR(INDEX(店舗マスタ!$B$5:$B$304,MATCH("スタジオピッコーネ／ピッコーネクラブ|18",店舗マスタ!$L$5:$L$304,0)),"")</f>
        <v>32573800</v>
      </c>
      <c r="C37" s="22" t="str">
        <f aca="false">IF($B37="","",INDEX(店舗マスタ!$C$5:$C$304,MATCH($B37,店舗マスタ!$B$5:$B$304,0)))</f>
        <v>近鉄百貨店奈良店</v>
      </c>
      <c r="D37" s="22" t="str">
        <f aca="false">IF($B37="","",INDEX(店舗マスタ!$D$5:$D$304,MATCH($B37,店舗マスタ!$B$5:$B$304,0)))</f>
        <v>スタジオピッコーネ・ピッコーネクラブ</v>
      </c>
      <c r="E37" s="24" t="n">
        <f aca="false">IF($B37="","",INDEX(店舗マスタ!$G$5:$G$304,MATCH($B37,店舗マスタ!$B$5:$B$304,0)))</f>
        <v>304800</v>
      </c>
      <c r="F37" s="24" t="n">
        <f aca="false">IF($B37="","",INDEX(店舗マスタ!$H$5:$H$304,MATCH($B37,店舗マスタ!$B$5:$B$304,0)))</f>
        <v>3050000</v>
      </c>
      <c r="G37" s="25" t="n">
        <f aca="false">IF($B37="","",IF(F37=0,"-",E37/F37))</f>
        <v>0.0999344262295082</v>
      </c>
      <c r="H37" s="24" t="n">
        <f aca="false">IF($B37="","",E37-F37)</f>
        <v>-2745200</v>
      </c>
      <c r="I37" s="24" t="n">
        <f aca="false">IF($B37="","",INDEX(店舗マスタ!$I$5:$I$304,MATCH($B37,店舗マスタ!$B$5:$B$304,0)))</f>
        <v>3027600</v>
      </c>
      <c r="J37" s="26" t="n">
        <f aca="false">IF($B37="","",IF(I37=0,"前年実績なし",E37/I37))</f>
        <v>0.100673801030519</v>
      </c>
      <c r="K37" s="24" t="n">
        <f aca="false">IF($B37="","",E37-I37)</f>
        <v>-2722800</v>
      </c>
    </row>
    <row r="38" customFormat="false" ht="15" hidden="false" customHeight="false" outlineLevel="0" collapsed="false">
      <c r="A38" s="22" t="str">
        <f aca="false">IF($B38="","","スタジオピッコーネ／ピッコーネクラブ")</f>
        <v>スタジオピッコーネ／ピッコーネクラブ</v>
      </c>
      <c r="B38" s="23" t="n">
        <f aca="false">IFERROR(INDEX(店舗マスタ!$B$5:$B$304,MATCH("スタジオピッコーネ／ピッコーネクラブ|19",店舗マスタ!$L$5:$L$304,0)),"")</f>
        <v>32670900</v>
      </c>
      <c r="C38" s="22" t="str">
        <f aca="false">IF($B38="","",INDEX(店舗マスタ!$C$5:$C$304,MATCH($B38,店舗マスタ!$B$5:$B$304,0)))</f>
        <v>東武百貨店池袋店</v>
      </c>
      <c r="D38" s="22" t="str">
        <f aca="false">IF($B38="","",INDEX(店舗マスタ!$D$5:$D$304,MATCH($B38,店舗マスタ!$B$5:$B$304,0)))</f>
        <v>スタジオピッコーネ・ピッコーネクラブ</v>
      </c>
      <c r="E38" s="24" t="n">
        <f aca="false">IF($B38="","",INDEX(店舗マスタ!$G$5:$G$304,MATCH($B38,店舗マスタ!$B$5:$B$304,0)))</f>
        <v>644000</v>
      </c>
      <c r="F38" s="24" t="n">
        <f aca="false">IF($B38="","",INDEX(店舗マスタ!$H$5:$H$304,MATCH($B38,店舗マスタ!$B$5:$B$304,0)))</f>
        <v>6700000</v>
      </c>
      <c r="G38" s="25" t="n">
        <f aca="false">IF($B38="","",IF(F38=0,"-",E38/F38))</f>
        <v>0.0961194029850746</v>
      </c>
      <c r="H38" s="24" t="n">
        <f aca="false">IF($B38="","",E38-F38)</f>
        <v>-6056000</v>
      </c>
      <c r="I38" s="24" t="n">
        <f aca="false">IF($B38="","",INDEX(店舗マスタ!$I$5:$I$304,MATCH($B38,店舗マスタ!$B$5:$B$304,0)))</f>
        <v>6535150</v>
      </c>
      <c r="J38" s="26" t="n">
        <f aca="false">IF($B38="","",IF(I38=0,"前年実績なし",E38/I38))</f>
        <v>0.0985440272985318</v>
      </c>
      <c r="K38" s="24" t="n">
        <f aca="false">IF($B38="","",E38-I38)</f>
        <v>-5891150</v>
      </c>
    </row>
    <row r="39" customFormat="false" ht="15" hidden="false" customHeight="false" outlineLevel="0" collapsed="false">
      <c r="A39" s="22" t="str">
        <f aca="false">IF($B39="","","スタジオピッコーネ／ピッコーネクラブ")</f>
        <v>スタジオピッコーネ／ピッコーネクラブ</v>
      </c>
      <c r="B39" s="23" t="n">
        <f aca="false">IFERROR(INDEX(店舗マスタ!$B$5:$B$304,MATCH("スタジオピッコーネ／ピッコーネクラブ|20",店舗マスタ!$L$5:$L$304,0)),"")</f>
        <v>32676700</v>
      </c>
      <c r="C39" s="22" t="str">
        <f aca="false">IF($B39="","",INDEX(店舗マスタ!$C$5:$C$304,MATCH($B39,店舗マスタ!$B$5:$B$304,0)))</f>
        <v>高島屋大宮店</v>
      </c>
      <c r="D39" s="22" t="str">
        <f aca="false">IF($B39="","",INDEX(店舗マスタ!$D$5:$D$304,MATCH($B39,店舗マスタ!$B$5:$B$304,0)))</f>
        <v>スタジオピッコーネ・ピッコーネクラブ</v>
      </c>
      <c r="E39" s="24" t="n">
        <f aca="false">IF($B39="","",INDEX(店舗マスタ!$G$5:$G$304,MATCH($B39,店舗マスタ!$B$5:$B$304,0)))</f>
        <v>119200</v>
      </c>
      <c r="F39" s="24" t="n">
        <f aca="false">IF($B39="","",INDEX(店舗マスタ!$H$5:$H$304,MATCH($B39,店舗マスタ!$B$5:$B$304,0)))</f>
        <v>1700000</v>
      </c>
      <c r="G39" s="25" t="n">
        <f aca="false">IF($B39="","",IF(F39=0,"-",E39/F39))</f>
        <v>0.0701176470588235</v>
      </c>
      <c r="H39" s="24" t="n">
        <f aca="false">IF($B39="","",E39-F39)</f>
        <v>-1580800</v>
      </c>
      <c r="I39" s="24" t="n">
        <f aca="false">IF($B39="","",INDEX(店舗マスタ!$I$5:$I$304,MATCH($B39,店舗マスタ!$B$5:$B$304,0)))</f>
        <v>0</v>
      </c>
      <c r="J39" s="26" t="str">
        <f aca="false">IF($B39="","",IF(I39=0,"前年実績なし",E39/I39))</f>
        <v>前年実績なし</v>
      </c>
      <c r="K39" s="24" t="n">
        <f aca="false">IF($B39="","",E39-I39)</f>
        <v>119200</v>
      </c>
    </row>
    <row r="40" customFormat="false" ht="15" hidden="false" customHeight="false" outlineLevel="0" collapsed="false">
      <c r="A40" s="22" t="str">
        <f aca="false">IF($B40="","","スタジオピッコーネ／ピッコーネクラブ")</f>
        <v>スタジオピッコーネ／ピッコーネクラブ</v>
      </c>
      <c r="B40" s="23" t="n">
        <f aca="false">IFERROR(INDEX(店舗マスタ!$B$5:$B$304,MATCH("スタジオピッコーネ／ピッコーネクラブ|21",店舗マスタ!$L$5:$L$304,0)),"")</f>
        <v>32674100</v>
      </c>
      <c r="C40" s="22" t="str">
        <f aca="false">IF($B40="","",INDEX(店舗マスタ!$C$5:$C$304,MATCH($B40,店舗マスタ!$B$5:$B$304,0)))</f>
        <v>東武百貨店船橋店</v>
      </c>
      <c r="D40" s="22" t="str">
        <f aca="false">IF($B40="","",INDEX(店舗マスタ!$D$5:$D$304,MATCH($B40,店舗マスタ!$B$5:$B$304,0)))</f>
        <v>スタジオピッコーネ・ピッコーネクラブ</v>
      </c>
      <c r="E40" s="24" t="n">
        <f aca="false">IF($B40="","",INDEX(店舗マスタ!$G$5:$G$304,MATCH($B40,店舗マスタ!$B$5:$B$304,0)))</f>
        <v>151000</v>
      </c>
      <c r="F40" s="24" t="n">
        <f aca="false">IF($B40="","",INDEX(店舗マスタ!$H$5:$H$304,MATCH($B40,店舗マスタ!$B$5:$B$304,0)))</f>
        <v>2168000</v>
      </c>
      <c r="G40" s="25" t="n">
        <f aca="false">IF($B40="","",IF(F40=0,"-",E40/F40))</f>
        <v>0.0696494464944649</v>
      </c>
      <c r="H40" s="24" t="n">
        <f aca="false">IF($B40="","",E40-F40)</f>
        <v>-2017000</v>
      </c>
      <c r="I40" s="24" t="n">
        <f aca="false">IF($B40="","",INDEX(店舗マスタ!$I$5:$I$304,MATCH($B40,店舗マスタ!$B$5:$B$304,0)))</f>
        <v>2059800</v>
      </c>
      <c r="J40" s="26" t="n">
        <f aca="false">IF($B40="","",IF(I40=0,"前年実績なし",E40/I40))</f>
        <v>0.0733080881638994</v>
      </c>
      <c r="K40" s="24" t="n">
        <f aca="false">IF($B40="","",E40-I40)</f>
        <v>-1908800</v>
      </c>
    </row>
    <row r="41" customFormat="false" ht="15" hidden="false" customHeight="false" outlineLevel="0" collapsed="false">
      <c r="A41" s="22" t="str">
        <f aca="false">IF($B41="","","スタジオピッコーネ／ピッコーネクラブ")</f>
        <v>スタジオピッコーネ／ピッコーネクラブ</v>
      </c>
      <c r="B41" s="23" t="n">
        <f aca="false">IFERROR(INDEX(店舗マスタ!$B$5:$B$304,MATCH("スタジオピッコーネ／ピッコーネクラブ|22",店舗マスタ!$L$5:$L$304,0)),"")</f>
        <v>32671400</v>
      </c>
      <c r="C41" s="22" t="str">
        <f aca="false">IF($B41="","",INDEX(店舗マスタ!$C$5:$C$304,MATCH($B41,店舗マスタ!$B$5:$B$304,0)))</f>
        <v>日本橋三越本店</v>
      </c>
      <c r="D41" s="22" t="str">
        <f aca="false">IF($B41="","",INDEX(店舗マスタ!$D$5:$D$304,MATCH($B41,店舗マスタ!$B$5:$B$304,0)))</f>
        <v>スタジオピッコーネ・ピッコーネクラブ</v>
      </c>
      <c r="E41" s="24" t="n">
        <f aca="false">IF($B41="","",INDEX(店舗マスタ!$G$5:$G$304,MATCH($B41,店舗マスタ!$B$5:$B$304,0)))</f>
        <v>619544</v>
      </c>
      <c r="F41" s="24" t="n">
        <f aca="false">IF($B41="","",INDEX(店舗マスタ!$H$5:$H$304,MATCH($B41,店舗マスタ!$B$5:$B$304,0)))</f>
        <v>12000000</v>
      </c>
      <c r="G41" s="25" t="n">
        <f aca="false">IF($B41="","",IF(F41=0,"-",E41/F41))</f>
        <v>0.0516286666666667</v>
      </c>
      <c r="H41" s="24" t="n">
        <f aca="false">IF($B41="","",E41-F41)</f>
        <v>-11380456</v>
      </c>
      <c r="I41" s="24" t="n">
        <f aca="false">IF($B41="","",INDEX(店舗マスタ!$I$5:$I$304,MATCH($B41,店舗マスタ!$B$5:$B$304,0)))</f>
        <v>11765100</v>
      </c>
      <c r="J41" s="26" t="n">
        <f aca="false">IF($B41="","",IF(I41=0,"前年実績なし",E41/I41))</f>
        <v>0.0526594759075571</v>
      </c>
      <c r="K41" s="24" t="n">
        <f aca="false">IF($B41="","",E41-I41)</f>
        <v>-11145556</v>
      </c>
    </row>
    <row r="42" customFormat="false" ht="15" hidden="false" customHeight="false" outlineLevel="0" collapsed="false">
      <c r="A42" s="22" t="str">
        <f aca="false">IF($B42="","","スタジオピッコーネ／ピッコーネクラブ")</f>
        <v>スタジオピッコーネ／ピッコーネクラブ</v>
      </c>
      <c r="B42" s="23" t="n">
        <f aca="false">IFERROR(INDEX(店舗マスタ!$B$5:$B$304,MATCH("スタジオピッコーネ／ピッコーネクラブ|23",店舗マスタ!$L$5:$L$304,0)),"")</f>
        <v>32676300</v>
      </c>
      <c r="C42" s="22" t="str">
        <f aca="false">IF($B42="","",INDEX(店舗マスタ!$C$5:$C$304,MATCH($B42,店舗マスタ!$B$5:$B$304,0)))</f>
        <v>高島屋新宿店</v>
      </c>
      <c r="D42" s="22" t="str">
        <f aca="false">IF($B42="","",INDEX(店舗マスタ!$D$5:$D$304,MATCH($B42,店舗マスタ!$B$5:$B$304,0)))</f>
        <v>スタジオピッコーネ・ピッコーネクラブ</v>
      </c>
      <c r="E42" s="24" t="n">
        <f aca="false">IF($B42="","",INDEX(店舗マスタ!$G$5:$G$304,MATCH($B42,店舗マスタ!$B$5:$B$304,0)))</f>
        <v>127300</v>
      </c>
      <c r="F42" s="24" t="n">
        <f aca="false">IF($B42="","",INDEX(店舗マスタ!$H$5:$H$304,MATCH($B42,店舗マスタ!$B$5:$B$304,0)))</f>
        <v>4900000</v>
      </c>
      <c r="G42" s="25" t="n">
        <f aca="false">IF($B42="","",IF(F42=0,"-",E42/F42))</f>
        <v>0.0259795918367347</v>
      </c>
      <c r="H42" s="24" t="n">
        <f aca="false">IF($B42="","",E42-F42)</f>
        <v>-4772700</v>
      </c>
      <c r="I42" s="24" t="n">
        <f aca="false">IF($B42="","",INDEX(店舗マスタ!$I$5:$I$304,MATCH($B42,店舗マスタ!$B$5:$B$304,0)))</f>
        <v>4882220</v>
      </c>
      <c r="J42" s="26" t="n">
        <f aca="false">IF($B42="","",IF(I42=0,"前年実績なし",E42/I42))</f>
        <v>0.0260742039482039</v>
      </c>
      <c r="K42" s="24" t="n">
        <f aca="false">IF($B42="","",E42-I42)</f>
        <v>-4754920</v>
      </c>
    </row>
    <row r="43" customFormat="false" ht="15" hidden="false" customHeight="false" outlineLevel="0" collapsed="false">
      <c r="A43" s="22" t="str">
        <f aca="false">IF($B43="","","スタジオピッコーネ／ピッコーネクラブ")</f>
        <v/>
      </c>
      <c r="B43" s="23" t="str">
        <f aca="false">IFERROR(INDEX(店舗マスタ!$B$5:$B$304,MATCH("スタジオピッコーネ／ピッコーネクラブ|24",店舗マスタ!$L$5:$L$304,0)),"")</f>
        <v/>
      </c>
      <c r="C43" s="22" t="str">
        <f aca="false">IF($B43="","",INDEX(店舗マスタ!$C$5:$C$304,MATCH($B43,店舗マスタ!$B$5:$B$304,0)))</f>
        <v/>
      </c>
      <c r="D43" s="22" t="str">
        <f aca="false">IF($B43="","",INDEX(店舗マスタ!$D$5:$D$304,MATCH($B43,店舗マスタ!$B$5:$B$304,0)))</f>
        <v/>
      </c>
      <c r="E43" s="24" t="str">
        <f aca="false">IF($B43="","",INDEX(店舗マスタ!$G$5:$G$304,MATCH($B43,店舗マスタ!$B$5:$B$304,0)))</f>
        <v/>
      </c>
      <c r="F43" s="24" t="str">
        <f aca="false">IF($B43="","",INDEX(店舗マスタ!$H$5:$H$304,MATCH($B43,店舗マスタ!$B$5:$B$304,0)))</f>
        <v/>
      </c>
      <c r="G43" s="25" t="str">
        <f aca="false">IF($B43="","",IF(F43=0,"-",E43/F43))</f>
        <v/>
      </c>
      <c r="H43" s="24" t="str">
        <f aca="false">IF($B43="","",E43-F43)</f>
        <v/>
      </c>
      <c r="I43" s="24" t="str">
        <f aca="false">IF($B43="","",INDEX(店舗マスタ!$I$5:$I$304,MATCH($B43,店舗マスタ!$B$5:$B$304,0)))</f>
        <v/>
      </c>
      <c r="J43" s="26" t="str">
        <f aca="false">IF($B43="","",IF(I43=0,"前年実績なし",E43/I43))</f>
        <v/>
      </c>
      <c r="K43" s="24" t="str">
        <f aca="false">IF($B43="","",E43-I43)</f>
        <v/>
      </c>
    </row>
    <row r="44" customFormat="false" ht="15" hidden="false" customHeight="false" outlineLevel="0" collapsed="false">
      <c r="A44" s="22" t="str">
        <f aca="false">IF($B44="","","スタジオピッコーネ／ピッコーネクラブ")</f>
        <v/>
      </c>
      <c r="B44" s="23" t="str">
        <f aca="false">IFERROR(INDEX(店舗マスタ!$B$5:$B$304,MATCH("スタジオピッコーネ／ピッコーネクラブ|25",店舗マスタ!$L$5:$L$304,0)),"")</f>
        <v/>
      </c>
      <c r="C44" s="22" t="str">
        <f aca="false">IF($B44="","",INDEX(店舗マスタ!$C$5:$C$304,MATCH($B44,店舗マスタ!$B$5:$B$304,0)))</f>
        <v/>
      </c>
      <c r="D44" s="22" t="str">
        <f aca="false">IF($B44="","",INDEX(店舗マスタ!$D$5:$D$304,MATCH($B44,店舗マスタ!$B$5:$B$304,0)))</f>
        <v/>
      </c>
      <c r="E44" s="24" t="str">
        <f aca="false">IF($B44="","",INDEX(店舗マスタ!$G$5:$G$304,MATCH($B44,店舗マスタ!$B$5:$B$304,0)))</f>
        <v/>
      </c>
      <c r="F44" s="24" t="str">
        <f aca="false">IF($B44="","",INDEX(店舗マスタ!$H$5:$H$304,MATCH($B44,店舗マスタ!$B$5:$B$304,0)))</f>
        <v/>
      </c>
      <c r="G44" s="25" t="str">
        <f aca="false">IF($B44="","",IF(F44=0,"-",E44/F44))</f>
        <v/>
      </c>
      <c r="H44" s="24" t="str">
        <f aca="false">IF($B44="","",E44-F44)</f>
        <v/>
      </c>
      <c r="I44" s="24" t="str">
        <f aca="false">IF($B44="","",INDEX(店舗マスタ!$I$5:$I$304,MATCH($B44,店舗マスタ!$B$5:$B$304,0)))</f>
        <v/>
      </c>
      <c r="J44" s="26" t="str">
        <f aca="false">IF($B44="","",IF(I44=0,"前年実績なし",E44/I44))</f>
        <v/>
      </c>
      <c r="K44" s="24" t="str">
        <f aca="false">IF($B44="","",E44-I44)</f>
        <v/>
      </c>
    </row>
    <row r="45" customFormat="false" ht="15" hidden="false" customHeight="false" outlineLevel="0" collapsed="false">
      <c r="A45" s="22" t="str">
        <f aca="false">IF($B45="","","スタジオピッコーネ／ピッコーネクラブ")</f>
        <v/>
      </c>
      <c r="B45" s="23" t="str">
        <f aca="false">IFERROR(INDEX(店舗マスタ!$B$5:$B$304,MATCH("スタジオピッコーネ／ピッコーネクラブ|26",店舗マスタ!$L$5:$L$304,0)),"")</f>
        <v/>
      </c>
      <c r="C45" s="22" t="str">
        <f aca="false">IF($B45="","",INDEX(店舗マスタ!$C$5:$C$304,MATCH($B45,店舗マスタ!$B$5:$B$304,0)))</f>
        <v/>
      </c>
      <c r="D45" s="22" t="str">
        <f aca="false">IF($B45="","",INDEX(店舗マスタ!$D$5:$D$304,MATCH($B45,店舗マスタ!$B$5:$B$304,0)))</f>
        <v/>
      </c>
      <c r="E45" s="24" t="str">
        <f aca="false">IF($B45="","",INDEX(店舗マスタ!$G$5:$G$304,MATCH($B45,店舗マスタ!$B$5:$B$304,0)))</f>
        <v/>
      </c>
      <c r="F45" s="24" t="str">
        <f aca="false">IF($B45="","",INDEX(店舗マスタ!$H$5:$H$304,MATCH($B45,店舗マスタ!$B$5:$B$304,0)))</f>
        <v/>
      </c>
      <c r="G45" s="25" t="str">
        <f aca="false">IF($B45="","",IF(F45=0,"-",E45/F45))</f>
        <v/>
      </c>
      <c r="H45" s="24" t="str">
        <f aca="false">IF($B45="","",E45-F45)</f>
        <v/>
      </c>
      <c r="I45" s="24" t="str">
        <f aca="false">IF($B45="","",INDEX(店舗マスタ!$I$5:$I$304,MATCH($B45,店舗マスタ!$B$5:$B$304,0)))</f>
        <v/>
      </c>
      <c r="J45" s="26" t="str">
        <f aca="false">IF($B45="","",IF(I45=0,"前年実績なし",E45/I45))</f>
        <v/>
      </c>
      <c r="K45" s="24" t="str">
        <f aca="false">IF($B45="","",E45-I45)</f>
        <v/>
      </c>
    </row>
    <row r="46" customFormat="false" ht="15" hidden="false" customHeight="false" outlineLevel="0" collapsed="false">
      <c r="A46" s="27" t="str">
        <f aca="false">"スタジオピッコーネ／ピッコーネクラブ　小計（"&amp;COUNT(E20:E45)&amp;"店舗）"</f>
        <v>スタジオピッコーネ／ピッコーネクラブ　小計（23店舗）</v>
      </c>
      <c r="B46" s="27"/>
      <c r="C46" s="27"/>
      <c r="D46" s="27"/>
      <c r="E46" s="28" t="n">
        <f aca="false">SUBTOTAL(9,E20:E45)</f>
        <v>11150262</v>
      </c>
      <c r="F46" s="28" t="n">
        <f aca="false">SUBTOTAL(9,F20:F45)</f>
        <v>85888000</v>
      </c>
      <c r="G46" s="29" t="n">
        <f aca="false">IF(F46=0,"-",E46/F46)</f>
        <v>0.129823281482861</v>
      </c>
      <c r="H46" s="28" t="n">
        <f aca="false">E46-F46</f>
        <v>-74737738</v>
      </c>
      <c r="I46" s="28" t="n">
        <f aca="false">SUBTOTAL(9,I20:I45)</f>
        <v>78268222</v>
      </c>
      <c r="J46" s="29" t="n">
        <f aca="false">IF(I46=0,"-",E46/I46)</f>
        <v>0.142462185994208</v>
      </c>
      <c r="K46" s="28" t="n">
        <f aca="false">E46-I46</f>
        <v>-67117960</v>
      </c>
    </row>
    <row r="47" customFormat="false" ht="15" hidden="false" customHeight="false" outlineLevel="0" collapsed="false">
      <c r="A47" s="22" t="str">
        <f aca="false">IF($B47="","","ピッコーネ")</f>
        <v>ピッコーネ</v>
      </c>
      <c r="B47" s="23" t="n">
        <f aca="false">IFERROR(INDEX(店舗マスタ!$B$5:$B$304,MATCH("ピッコーネ|1",店舗マスタ!$L$5:$L$304,0)),"")</f>
        <v>32675100</v>
      </c>
      <c r="C47" s="22" t="str">
        <f aca="false">IF($B47="","",INDEX(店舗マスタ!$C$5:$C$304,MATCH($B47,店舗マスタ!$B$5:$B$304,0)))</f>
        <v>東急百貨店たまプラーザ店</v>
      </c>
      <c r="D47" s="22" t="str">
        <f aca="false">IF($B47="","",INDEX(店舗マスタ!$D$5:$D$304,MATCH($B47,店舗マスタ!$B$5:$B$304,0)))</f>
        <v>ピッコーネ</v>
      </c>
      <c r="E47" s="24" t="n">
        <f aca="false">IF($B47="","",INDEX(店舗マスタ!$G$5:$G$304,MATCH($B47,店舗マスタ!$B$5:$B$304,0)))</f>
        <v>413000</v>
      </c>
      <c r="F47" s="24" t="n">
        <f aca="false">IF($B47="","",INDEX(店舗マスタ!$H$5:$H$304,MATCH($B47,店舗マスタ!$B$5:$B$304,0)))</f>
        <v>3650000</v>
      </c>
      <c r="G47" s="25" t="n">
        <f aca="false">IF($B47="","",IF(F47=0,"-",E47/F47))</f>
        <v>0.113150684931507</v>
      </c>
      <c r="H47" s="24" t="n">
        <f aca="false">IF($B47="","",E47-F47)</f>
        <v>-3237000</v>
      </c>
      <c r="I47" s="24" t="n">
        <f aca="false">IF($B47="","",INDEX(店舗マスタ!$I$5:$I$304,MATCH($B47,店舗マスタ!$B$5:$B$304,0)))</f>
        <v>3418600</v>
      </c>
      <c r="J47" s="26" t="n">
        <f aca="false">IF($B47="","",IF(I47=0,"前年実績なし",E47/I47))</f>
        <v>0.120809688176447</v>
      </c>
      <c r="K47" s="24" t="n">
        <f aca="false">IF($B47="","",E47-I47)</f>
        <v>-3005600</v>
      </c>
    </row>
    <row r="48" customFormat="false" ht="15" hidden="false" customHeight="false" outlineLevel="0" collapsed="false">
      <c r="A48" s="22" t="str">
        <f aca="false">IF($B48="","","ピッコーネ")</f>
        <v>ピッコーネ</v>
      </c>
      <c r="B48" s="23" t="n">
        <f aca="false">IFERROR(INDEX(店舗マスタ!$B$5:$B$304,MATCH("ピッコーネ|2",店舗マスタ!$L$5:$L$304,0)),"")</f>
        <v>32580700</v>
      </c>
      <c r="C48" s="22" t="str">
        <f aca="false">IF($B48="","",INDEX(店舗マスタ!$C$5:$C$304,MATCH($B48,店舗マスタ!$B$5:$B$304,0)))</f>
        <v>ホテルニューオータニ大阪店</v>
      </c>
      <c r="D48" s="22" t="str">
        <f aca="false">IF($B48="","",INDEX(店舗マスタ!$D$5:$D$304,MATCH($B48,店舗マスタ!$B$5:$B$304,0)))</f>
        <v>ピッコーネ</v>
      </c>
      <c r="E48" s="24" t="n">
        <f aca="false">IF($B48="","",INDEX(店舗マスタ!$G$5:$G$304,MATCH($B48,店舗マスタ!$B$5:$B$304,0)))</f>
        <v>147316</v>
      </c>
      <c r="F48" s="24" t="n">
        <f aca="false">IF($B48="","",INDEX(店舗マスタ!$H$5:$H$304,MATCH($B48,店舗マスタ!$B$5:$B$304,0)))</f>
        <v>1520000</v>
      </c>
      <c r="G48" s="25" t="n">
        <f aca="false">IF($B48="","",IF(F48=0,"-",E48/F48))</f>
        <v>0.0969184210526316</v>
      </c>
      <c r="H48" s="24" t="n">
        <f aca="false">IF($B48="","",E48-F48)</f>
        <v>-1372684</v>
      </c>
      <c r="I48" s="24" t="n">
        <f aca="false">IF($B48="","",INDEX(店舗マスタ!$I$5:$I$304,MATCH($B48,店舗マスタ!$B$5:$B$304,0)))</f>
        <v>1451810</v>
      </c>
      <c r="J48" s="26" t="n">
        <f aca="false">IF($B48="","",IF(I48=0,"前年実績なし",E48/I48))</f>
        <v>0.101470578105951</v>
      </c>
      <c r="K48" s="24" t="n">
        <f aca="false">IF($B48="","",E48-I48)</f>
        <v>-1304494</v>
      </c>
    </row>
    <row r="49" customFormat="false" ht="15" hidden="false" customHeight="false" outlineLevel="0" collapsed="false">
      <c r="A49" s="22" t="str">
        <f aca="false">IF($B49="","","ピッコーネ")</f>
        <v>ピッコーネ</v>
      </c>
      <c r="B49" s="23" t="n">
        <f aca="false">IFERROR(INDEX(店舗マスタ!$B$5:$B$304,MATCH("ピッコーネ|3",店舗マスタ!$L$5:$L$304,0)),"")</f>
        <v>32580600</v>
      </c>
      <c r="C49" s="22" t="str">
        <f aca="false">IF($B49="","",INDEX(店舗マスタ!$C$5:$C$304,MATCH($B49,店舗マスタ!$B$5:$B$304,0)))</f>
        <v>ラポルテ芦屋店</v>
      </c>
      <c r="D49" s="22" t="str">
        <f aca="false">IF($B49="","",INDEX(店舗マスタ!$D$5:$D$304,MATCH($B49,店舗マスタ!$B$5:$B$304,0)))</f>
        <v>ピッコーネ</v>
      </c>
      <c r="E49" s="24" t="n">
        <f aca="false">IF($B49="","",INDEX(店舗マスタ!$G$5:$G$304,MATCH($B49,店舗マスタ!$B$5:$B$304,0)))</f>
        <v>263871</v>
      </c>
      <c r="F49" s="24" t="n">
        <f aca="false">IF($B49="","",INDEX(店舗マスタ!$H$5:$H$304,MATCH($B49,店舗マスタ!$B$5:$B$304,0)))</f>
        <v>3130000</v>
      </c>
      <c r="G49" s="25" t="n">
        <f aca="false">IF($B49="","",IF(F49=0,"-",E49/F49))</f>
        <v>0.0843038338658147</v>
      </c>
      <c r="H49" s="24" t="n">
        <f aca="false">IF($B49="","",E49-F49)</f>
        <v>-2866129</v>
      </c>
      <c r="I49" s="24" t="n">
        <f aca="false">IF($B49="","",INDEX(店舗マスタ!$I$5:$I$304,MATCH($B49,店舗マスタ!$B$5:$B$304,0)))</f>
        <v>2850123</v>
      </c>
      <c r="J49" s="26" t="n">
        <f aca="false">IF($B49="","",IF(I49=0,"前年実績なし",E49/I49))</f>
        <v>0.092582320131447</v>
      </c>
      <c r="K49" s="24" t="n">
        <f aca="false">IF($B49="","",E49-I49)</f>
        <v>-2586252</v>
      </c>
    </row>
    <row r="50" customFormat="false" ht="15" hidden="false" customHeight="false" outlineLevel="0" collapsed="false">
      <c r="A50" s="22" t="str">
        <f aca="false">IF($B50="","","ピッコーネ")</f>
        <v>ピッコーネ</v>
      </c>
      <c r="B50" s="23" t="n">
        <f aca="false">IFERROR(INDEX(店舗マスタ!$B$5:$B$304,MATCH("ピッコーネ|4",店舗マスタ!$L$5:$L$304,0)),"")</f>
        <v>32675300</v>
      </c>
      <c r="C50" s="22" t="str">
        <f aca="false">IF($B50="","",INDEX(店舗マスタ!$C$5:$C$304,MATCH($B50,店舗マスタ!$B$5:$B$304,0)))</f>
        <v>東急百貨店吉祥寺店</v>
      </c>
      <c r="D50" s="22" t="str">
        <f aca="false">IF($B50="","",INDEX(店舗マスタ!$D$5:$D$304,MATCH($B50,店舗マスタ!$B$5:$B$304,0)))</f>
        <v>ピッコーネ</v>
      </c>
      <c r="E50" s="24" t="n">
        <f aca="false">IF($B50="","",INDEX(店舗マスタ!$G$5:$G$304,MATCH($B50,店舗マスタ!$B$5:$B$304,0)))</f>
        <v>202545</v>
      </c>
      <c r="F50" s="24" t="n">
        <f aca="false">IF($B50="","",INDEX(店舗マスタ!$H$5:$H$304,MATCH($B50,店舗マスタ!$B$5:$B$304,0)))</f>
        <v>3400000</v>
      </c>
      <c r="G50" s="25" t="n">
        <f aca="false">IF($B50="","",IF(F50=0,"-",E50/F50))</f>
        <v>0.0595720588235294</v>
      </c>
      <c r="H50" s="24" t="n">
        <f aca="false">IF($B50="","",E50-F50)</f>
        <v>-3197455</v>
      </c>
      <c r="I50" s="24" t="n">
        <f aca="false">IF($B50="","",INDEX(店舗マスタ!$I$5:$I$304,MATCH($B50,店舗マスタ!$B$5:$B$304,0)))</f>
        <v>4550720</v>
      </c>
      <c r="J50" s="26" t="n">
        <f aca="false">IF($B50="","",IF(I50=0,"前年実績なし",E50/I50))</f>
        <v>0.0445083415371634</v>
      </c>
      <c r="K50" s="24" t="n">
        <f aca="false">IF($B50="","",E50-I50)</f>
        <v>-4348175</v>
      </c>
    </row>
    <row r="51" customFormat="false" ht="15" hidden="false" customHeight="false" outlineLevel="0" collapsed="false">
      <c r="A51" s="22" t="str">
        <f aca="false">IF($B51="","","ピッコーネ")</f>
        <v/>
      </c>
      <c r="B51" s="23" t="str">
        <f aca="false">IFERROR(INDEX(店舗マスタ!$B$5:$B$304,MATCH("ピッコーネ|5",店舗マスタ!$L$5:$L$304,0)),"")</f>
        <v/>
      </c>
      <c r="C51" s="22" t="str">
        <f aca="false">IF($B51="","",INDEX(店舗マスタ!$C$5:$C$304,MATCH($B51,店舗マスタ!$B$5:$B$304,0)))</f>
        <v/>
      </c>
      <c r="D51" s="22" t="str">
        <f aca="false">IF($B51="","",INDEX(店舗マスタ!$D$5:$D$304,MATCH($B51,店舗マスタ!$B$5:$B$304,0)))</f>
        <v/>
      </c>
      <c r="E51" s="24" t="str">
        <f aca="false">IF($B51="","",INDEX(店舗マスタ!$G$5:$G$304,MATCH($B51,店舗マスタ!$B$5:$B$304,0)))</f>
        <v/>
      </c>
      <c r="F51" s="24" t="str">
        <f aca="false">IF($B51="","",INDEX(店舗マスタ!$H$5:$H$304,MATCH($B51,店舗マスタ!$B$5:$B$304,0)))</f>
        <v/>
      </c>
      <c r="G51" s="25" t="str">
        <f aca="false">IF($B51="","",IF(F51=0,"-",E51/F51))</f>
        <v/>
      </c>
      <c r="H51" s="24" t="str">
        <f aca="false">IF($B51="","",E51-F51)</f>
        <v/>
      </c>
      <c r="I51" s="24" t="str">
        <f aca="false">IF($B51="","",INDEX(店舗マスタ!$I$5:$I$304,MATCH($B51,店舗マスタ!$B$5:$B$304,0)))</f>
        <v/>
      </c>
      <c r="J51" s="26" t="str">
        <f aca="false">IF($B51="","",IF(I51=0,"前年実績なし",E51/I51))</f>
        <v/>
      </c>
      <c r="K51" s="24" t="str">
        <f aca="false">IF($B51="","",E51-I51)</f>
        <v/>
      </c>
    </row>
    <row r="52" customFormat="false" ht="15" hidden="false" customHeight="false" outlineLevel="0" collapsed="false">
      <c r="A52" s="22" t="str">
        <f aca="false">IF($B52="","","ピッコーネ")</f>
        <v/>
      </c>
      <c r="B52" s="23" t="str">
        <f aca="false">IFERROR(INDEX(店舗マスタ!$B$5:$B$304,MATCH("ピッコーネ|6",店舗マスタ!$L$5:$L$304,0)),"")</f>
        <v/>
      </c>
      <c r="C52" s="22" t="str">
        <f aca="false">IF($B52="","",INDEX(店舗マスタ!$C$5:$C$304,MATCH($B52,店舗マスタ!$B$5:$B$304,0)))</f>
        <v/>
      </c>
      <c r="D52" s="22" t="str">
        <f aca="false">IF($B52="","",INDEX(店舗マスタ!$D$5:$D$304,MATCH($B52,店舗マスタ!$B$5:$B$304,0)))</f>
        <v/>
      </c>
      <c r="E52" s="24" t="str">
        <f aca="false">IF($B52="","",INDEX(店舗マスタ!$G$5:$G$304,MATCH($B52,店舗マスタ!$B$5:$B$304,0)))</f>
        <v/>
      </c>
      <c r="F52" s="24" t="str">
        <f aca="false">IF($B52="","",INDEX(店舗マスタ!$H$5:$H$304,MATCH($B52,店舗マスタ!$B$5:$B$304,0)))</f>
        <v/>
      </c>
      <c r="G52" s="25" t="str">
        <f aca="false">IF($B52="","",IF(F52=0,"-",E52/F52))</f>
        <v/>
      </c>
      <c r="H52" s="24" t="str">
        <f aca="false">IF($B52="","",E52-F52)</f>
        <v/>
      </c>
      <c r="I52" s="24" t="str">
        <f aca="false">IF($B52="","",INDEX(店舗マスタ!$I$5:$I$304,MATCH($B52,店舗マスタ!$B$5:$B$304,0)))</f>
        <v/>
      </c>
      <c r="J52" s="26" t="str">
        <f aca="false">IF($B52="","",IF(I52=0,"前年実績なし",E52/I52))</f>
        <v/>
      </c>
      <c r="K52" s="24" t="str">
        <f aca="false">IF($B52="","",E52-I52)</f>
        <v/>
      </c>
    </row>
    <row r="53" customFormat="false" ht="15" hidden="false" customHeight="false" outlineLevel="0" collapsed="false">
      <c r="A53" s="22" t="str">
        <f aca="false">IF($B53="","","ピッコーネ")</f>
        <v/>
      </c>
      <c r="B53" s="23" t="str">
        <f aca="false">IFERROR(INDEX(店舗マスタ!$B$5:$B$304,MATCH("ピッコーネ|7",店舗マスタ!$L$5:$L$304,0)),"")</f>
        <v/>
      </c>
      <c r="C53" s="22" t="str">
        <f aca="false">IF($B53="","",INDEX(店舗マスタ!$C$5:$C$304,MATCH($B53,店舗マスタ!$B$5:$B$304,0)))</f>
        <v/>
      </c>
      <c r="D53" s="22" t="str">
        <f aca="false">IF($B53="","",INDEX(店舗マスタ!$D$5:$D$304,MATCH($B53,店舗マスタ!$B$5:$B$304,0)))</f>
        <v/>
      </c>
      <c r="E53" s="24" t="str">
        <f aca="false">IF($B53="","",INDEX(店舗マスタ!$G$5:$G$304,MATCH($B53,店舗マスタ!$B$5:$B$304,0)))</f>
        <v/>
      </c>
      <c r="F53" s="24" t="str">
        <f aca="false">IF($B53="","",INDEX(店舗マスタ!$H$5:$H$304,MATCH($B53,店舗マスタ!$B$5:$B$304,0)))</f>
        <v/>
      </c>
      <c r="G53" s="25" t="str">
        <f aca="false">IF($B53="","",IF(F53=0,"-",E53/F53))</f>
        <v/>
      </c>
      <c r="H53" s="24" t="str">
        <f aca="false">IF($B53="","",E53-F53)</f>
        <v/>
      </c>
      <c r="I53" s="24" t="str">
        <f aca="false">IF($B53="","",INDEX(店舗マスタ!$I$5:$I$304,MATCH($B53,店舗マスタ!$B$5:$B$304,0)))</f>
        <v/>
      </c>
      <c r="J53" s="26" t="str">
        <f aca="false">IF($B53="","",IF(I53=0,"前年実績なし",E53/I53))</f>
        <v/>
      </c>
      <c r="K53" s="24" t="str">
        <f aca="false">IF($B53="","",E53-I53)</f>
        <v/>
      </c>
    </row>
    <row r="54" customFormat="false" ht="15" hidden="false" customHeight="false" outlineLevel="0" collapsed="false">
      <c r="A54" s="22" t="str">
        <f aca="false">IF($B54="","","ピッコーネ")</f>
        <v/>
      </c>
      <c r="B54" s="23" t="str">
        <f aca="false">IFERROR(INDEX(店舗マスタ!$B$5:$B$304,MATCH("ピッコーネ|8",店舗マスタ!$L$5:$L$304,0)),"")</f>
        <v/>
      </c>
      <c r="C54" s="22" t="str">
        <f aca="false">IF($B54="","",INDEX(店舗マスタ!$C$5:$C$304,MATCH($B54,店舗マスタ!$B$5:$B$304,0)))</f>
        <v/>
      </c>
      <c r="D54" s="22" t="str">
        <f aca="false">IF($B54="","",INDEX(店舗マスタ!$D$5:$D$304,MATCH($B54,店舗マスタ!$B$5:$B$304,0)))</f>
        <v/>
      </c>
      <c r="E54" s="24" t="str">
        <f aca="false">IF($B54="","",INDEX(店舗マスタ!$G$5:$G$304,MATCH($B54,店舗マスタ!$B$5:$B$304,0)))</f>
        <v/>
      </c>
      <c r="F54" s="24" t="str">
        <f aca="false">IF($B54="","",INDEX(店舗マスタ!$H$5:$H$304,MATCH($B54,店舗マスタ!$B$5:$B$304,0)))</f>
        <v/>
      </c>
      <c r="G54" s="25" t="str">
        <f aca="false">IF($B54="","",IF(F54=0,"-",E54/F54))</f>
        <v/>
      </c>
      <c r="H54" s="24" t="str">
        <f aca="false">IF($B54="","",E54-F54)</f>
        <v/>
      </c>
      <c r="I54" s="24" t="str">
        <f aca="false">IF($B54="","",INDEX(店舗マスタ!$I$5:$I$304,MATCH($B54,店舗マスタ!$B$5:$B$304,0)))</f>
        <v/>
      </c>
      <c r="J54" s="26" t="str">
        <f aca="false">IF($B54="","",IF(I54=0,"前年実績なし",E54/I54))</f>
        <v/>
      </c>
      <c r="K54" s="24" t="str">
        <f aca="false">IF($B54="","",E54-I54)</f>
        <v/>
      </c>
    </row>
    <row r="55" customFormat="false" ht="15" hidden="false" customHeight="false" outlineLevel="0" collapsed="false">
      <c r="A55" s="27" t="str">
        <f aca="false">"ピッコーネ　小計（"&amp;COUNT(E47:E54)&amp;"店舗）"</f>
        <v>ピッコーネ　小計（4店舗）</v>
      </c>
      <c r="B55" s="27"/>
      <c r="C55" s="27"/>
      <c r="D55" s="27"/>
      <c r="E55" s="28" t="n">
        <f aca="false">SUBTOTAL(9,E47:E54)</f>
        <v>1026732</v>
      </c>
      <c r="F55" s="28" t="n">
        <f aca="false">SUBTOTAL(9,F47:F54)</f>
        <v>11700000</v>
      </c>
      <c r="G55" s="29" t="n">
        <f aca="false">IF(F55=0,"-",E55/F55)</f>
        <v>0.0877548717948718</v>
      </c>
      <c r="H55" s="28" t="n">
        <f aca="false">E55-F55</f>
        <v>-10673268</v>
      </c>
      <c r="I55" s="28" t="n">
        <f aca="false">SUBTOTAL(9,I47:I54)</f>
        <v>12271253</v>
      </c>
      <c r="J55" s="29" t="n">
        <f aca="false">IF(I55=0,"-",E55/I55)</f>
        <v>0.0836696953440696</v>
      </c>
      <c r="K55" s="28" t="n">
        <f aca="false">E55-I55</f>
        <v>-11244521</v>
      </c>
    </row>
    <row r="56" customFormat="false" ht="15" hidden="false" customHeight="false" outlineLevel="0" collapsed="false">
      <c r="A56" s="22" t="str">
        <f aca="false">IF($B56="","","複合（アルチビオ＋ピッコーネ系）")</f>
        <v>複合（アルチビオ＋ピッコーネ系）</v>
      </c>
      <c r="B56" s="23" t="n">
        <f aca="false">IFERROR(INDEX(店舗マスタ!$B$5:$B$304,MATCH("複合（アルチビオ＋ピッコーネ系）|1",店舗マスタ!$L$5:$L$304,0)),"")</f>
        <v>32671500</v>
      </c>
      <c r="C56" s="22" t="str">
        <f aca="false">IF($B56="","",INDEX(店舗マスタ!$C$5:$C$304,MATCH($B56,店舗マスタ!$B$5:$B$304,0)))</f>
        <v>札幌三越</v>
      </c>
      <c r="D56" s="22" t="str">
        <f aca="false">IF($B56="","",INDEX(店舗マスタ!$D$5:$D$304,MATCH($B56,店舗マスタ!$B$5:$B$304,0)))</f>
        <v>ピッコーネ・アルチビオ</v>
      </c>
      <c r="E56" s="24" t="n">
        <f aca="false">IF($B56="","",INDEX(店舗マスタ!$G$5:$G$304,MATCH($B56,店舗マスタ!$B$5:$B$304,0)))</f>
        <v>922530</v>
      </c>
      <c r="F56" s="24" t="n">
        <f aca="false">IF($B56="","",INDEX(店舗マスタ!$H$5:$H$304,MATCH($B56,店舗マスタ!$B$5:$B$304,0)))</f>
        <v>3079000</v>
      </c>
      <c r="G56" s="25" t="n">
        <f aca="false">IF($B56="","",IF(F56=0,"-",E56/F56))</f>
        <v>0.299620006495615</v>
      </c>
      <c r="H56" s="24" t="n">
        <f aca="false">IF($B56="","",E56-F56)</f>
        <v>-2156470</v>
      </c>
      <c r="I56" s="24" t="n">
        <f aca="false">IF($B56="","",INDEX(店舗マスタ!$I$5:$I$304,MATCH($B56,店舗マスタ!$B$5:$B$304,0)))</f>
        <v>2912300</v>
      </c>
      <c r="J56" s="26" t="n">
        <f aca="false">IF($B56="","",IF(I56=0,"前年実績なし",E56/I56))</f>
        <v>0.316770250317618</v>
      </c>
      <c r="K56" s="24" t="n">
        <f aca="false">IF($B56="","",E56-I56)</f>
        <v>-1989770</v>
      </c>
    </row>
    <row r="57" customFormat="false" ht="15" hidden="false" customHeight="false" outlineLevel="0" collapsed="false">
      <c r="A57" s="22" t="str">
        <f aca="false">IF($B57="","","複合（アルチビオ＋ピッコーネ系）")</f>
        <v>複合（アルチビオ＋ピッコーネ系）</v>
      </c>
      <c r="B57" s="23" t="n">
        <f aca="false">IFERROR(INDEX(店舗マスタ!$B$5:$B$304,MATCH("複合（アルチビオ＋ピッコーネ系）|2",店舗マスタ!$L$5:$L$304,0)),"")</f>
        <v>32572200</v>
      </c>
      <c r="C57" s="22" t="str">
        <f aca="false">IF($B57="","",INDEX(店舗マスタ!$C$5:$C$304,MATCH($B57,店舗マスタ!$B$5:$B$304,0)))</f>
        <v>松坂屋名古屋店</v>
      </c>
      <c r="D57" s="22" t="str">
        <f aca="false">IF($B57="","",INDEX(店舗マスタ!$D$5:$D$304,MATCH($B57,店舗マスタ!$B$5:$B$304,0)))</f>
        <v>アルチビオ・ピッコーネクラブ</v>
      </c>
      <c r="E57" s="24" t="n">
        <f aca="false">IF($B57="","",INDEX(店舗マスタ!$G$5:$G$304,MATCH($B57,店舗マスタ!$B$5:$B$304,0)))</f>
        <v>1582708</v>
      </c>
      <c r="F57" s="24" t="n">
        <f aca="false">IF($B57="","",INDEX(店舗マスタ!$H$5:$H$304,MATCH($B57,店舗マスタ!$B$5:$B$304,0)))</f>
        <v>9500000</v>
      </c>
      <c r="G57" s="25" t="n">
        <f aca="false">IF($B57="","",IF(F57=0,"-",E57/F57))</f>
        <v>0.166600842105263</v>
      </c>
      <c r="H57" s="24" t="n">
        <f aca="false">IF($B57="","",E57-F57)</f>
        <v>-7917292</v>
      </c>
      <c r="I57" s="24" t="n">
        <f aca="false">IF($B57="","",INDEX(店舗マスタ!$I$5:$I$304,MATCH($B57,店舗マスタ!$B$5:$B$304,0)))</f>
        <v>9277415</v>
      </c>
      <c r="J57" s="26" t="n">
        <f aca="false">IF($B57="","",IF(I57=0,"前年実績なし",E57/I57))</f>
        <v>0.170597952123517</v>
      </c>
      <c r="K57" s="24" t="n">
        <f aca="false">IF($B57="","",E57-I57)</f>
        <v>-7694707</v>
      </c>
    </row>
    <row r="58" customFormat="false" ht="15" hidden="false" customHeight="false" outlineLevel="0" collapsed="false">
      <c r="A58" s="22" t="str">
        <f aca="false">IF($B58="","","複合（アルチビオ＋ピッコーネ系）")</f>
        <v>複合（アルチビオ＋ピッコーネ系）</v>
      </c>
      <c r="B58" s="23" t="n">
        <f aca="false">IFERROR(INDEX(店舗マスタ!$B$5:$B$304,MATCH("複合（アルチビオ＋ピッコーネ系）|3",店舗マスタ!$L$5:$L$304,0)),"")</f>
        <v>32570800</v>
      </c>
      <c r="C58" s="22" t="str">
        <f aca="false">IF($B58="","",INDEX(店舗マスタ!$C$5:$C$304,MATCH($B58,店舗マスタ!$B$5:$B$304,0)))</f>
        <v>高島屋京都店</v>
      </c>
      <c r="D58" s="22" t="str">
        <f aca="false">IF($B58="","",INDEX(店舗マスタ!$D$5:$D$304,MATCH($B58,店舗マスタ!$B$5:$B$304,0)))</f>
        <v>アルチビオ・ピッコーネクラブ</v>
      </c>
      <c r="E58" s="24" t="n">
        <f aca="false">IF($B58="","",INDEX(店舗マスタ!$G$5:$G$304,MATCH($B58,店舗マスタ!$B$5:$B$304,0)))</f>
        <v>597712</v>
      </c>
      <c r="F58" s="24" t="n">
        <f aca="false">IF($B58="","",INDEX(店舗マスタ!$H$5:$H$304,MATCH($B58,店舗マスタ!$B$5:$B$304,0)))</f>
        <v>4687000</v>
      </c>
      <c r="G58" s="25" t="n">
        <f aca="false">IF($B58="","",IF(F58=0,"-",E58/F58))</f>
        <v>0.127525496052912</v>
      </c>
      <c r="H58" s="24" t="n">
        <f aca="false">IF($B58="","",E58-F58)</f>
        <v>-4089288</v>
      </c>
      <c r="I58" s="24" t="n">
        <f aca="false">IF($B58="","",INDEX(店舗マスタ!$I$5:$I$304,MATCH($B58,店舗マスタ!$B$5:$B$304,0)))</f>
        <v>3376895</v>
      </c>
      <c r="J58" s="26" t="n">
        <f aca="false">IF($B58="","",IF(I58=0,"前年実績なし",E58/I58))</f>
        <v>0.177000469366089</v>
      </c>
      <c r="K58" s="24" t="n">
        <f aca="false">IF($B58="","",E58-I58)</f>
        <v>-2779183</v>
      </c>
    </row>
    <row r="59" customFormat="false" ht="15" hidden="false" customHeight="false" outlineLevel="0" collapsed="false">
      <c r="A59" s="22" t="str">
        <f aca="false">IF($B59="","","複合（アルチビオ＋ピッコーネ系）")</f>
        <v>複合（アルチビオ＋ピッコーネ系）</v>
      </c>
      <c r="B59" s="23" t="n">
        <f aca="false">IFERROR(INDEX(店舗マスタ!$B$5:$B$304,MATCH("複合（アルチビオ＋ピッコーネ系）|4",店舗マスタ!$L$5:$L$304,0)),"")</f>
        <v>32573300</v>
      </c>
      <c r="C59" s="22" t="str">
        <f aca="false">IF($B59="","",INDEX(店舗マスタ!$C$5:$C$304,MATCH($B59,店舗マスタ!$B$5:$B$304,0)))</f>
        <v>あべのハルカス近鉄本店</v>
      </c>
      <c r="D59" s="22" t="str">
        <f aca="false">IF($B59="","",INDEX(店舗マスタ!$D$5:$D$304,MATCH($B59,店舗マスタ!$B$5:$B$304,0)))</f>
        <v>アルチビオ・ピッコ</v>
      </c>
      <c r="E59" s="24" t="n">
        <f aca="false">IF($B59="","",INDEX(店舗マスタ!$G$5:$G$304,MATCH($B59,店舗マスタ!$B$5:$B$304,0)))</f>
        <v>247325</v>
      </c>
      <c r="F59" s="24" t="n">
        <f aca="false">IF($B59="","",INDEX(店舗マスタ!$H$5:$H$304,MATCH($B59,店舗マスタ!$B$5:$B$304,0)))</f>
        <v>2883000</v>
      </c>
      <c r="G59" s="25" t="n">
        <f aca="false">IF($B59="","",IF(F59=0,"-",E59/F59))</f>
        <v>0.0857873742629206</v>
      </c>
      <c r="H59" s="24" t="n">
        <f aca="false">IF($B59="","",E59-F59)</f>
        <v>-2635675</v>
      </c>
      <c r="I59" s="24" t="n">
        <f aca="false">IF($B59="","",INDEX(店舗マスタ!$I$5:$I$304,MATCH($B59,店舗マスタ!$B$5:$B$304,0)))</f>
        <v>2232420</v>
      </c>
      <c r="J59" s="26" t="n">
        <f aca="false">IF($B59="","",IF(I59=0,"前年実績なし",E59/I59))</f>
        <v>0.110787844581217</v>
      </c>
      <c r="K59" s="24" t="n">
        <f aca="false">IF($B59="","",E59-I59)</f>
        <v>-1985095</v>
      </c>
    </row>
    <row r="60" customFormat="false" ht="15" hidden="false" customHeight="false" outlineLevel="0" collapsed="false">
      <c r="A60" s="22" t="str">
        <f aca="false">IF($B60="","","複合（アルチビオ＋ピッコーネ系）")</f>
        <v>複合（アルチビオ＋ピッコーネ系）</v>
      </c>
      <c r="B60" s="23" t="n">
        <f aca="false">IFERROR(INDEX(店舗マスタ!$B$5:$B$304,MATCH("複合（アルチビオ＋ピッコーネ系）|5",店舗マスタ!$L$5:$L$304,0)),"")</f>
        <v>32570700</v>
      </c>
      <c r="C60" s="22" t="str">
        <f aca="false">IF($B60="","",INDEX(店舗マスタ!$C$5:$C$304,MATCH($B60,店舗マスタ!$B$5:$B$304,0)))</f>
        <v>西宮阪急店</v>
      </c>
      <c r="D60" s="22" t="str">
        <f aca="false">IF($B60="","",INDEX(店舗マスタ!$D$5:$D$304,MATCH($B60,店舗マスタ!$B$5:$B$304,0)))</f>
        <v>ピッコーネクラブ・アルチビオ</v>
      </c>
      <c r="E60" s="24" t="n">
        <f aca="false">IF($B60="","",INDEX(店舗マスタ!$G$5:$G$304,MATCH($B60,店舗マスタ!$B$5:$B$304,0)))</f>
        <v>320226</v>
      </c>
      <c r="F60" s="24" t="n">
        <f aca="false">IF($B60="","",INDEX(店舗マスタ!$H$5:$H$304,MATCH($B60,店舗マスタ!$B$5:$B$304,0)))</f>
        <v>4172000</v>
      </c>
      <c r="G60" s="25" t="n">
        <f aca="false">IF($B60="","",IF(F60=0,"-",E60/F60))</f>
        <v>0.0767559923298178</v>
      </c>
      <c r="H60" s="24" t="n">
        <f aca="false">IF($B60="","",E60-F60)</f>
        <v>-3851774</v>
      </c>
      <c r="I60" s="24" t="n">
        <f aca="false">IF($B60="","",INDEX(店舗マスタ!$I$5:$I$304,MATCH($B60,店舗マスタ!$B$5:$B$304,0)))</f>
        <v>2813375</v>
      </c>
      <c r="J60" s="26" t="n">
        <f aca="false">IF($B60="","",IF(I60=0,"前年実績なし",E60/I60))</f>
        <v>0.113822721819878</v>
      </c>
      <c r="K60" s="24" t="n">
        <f aca="false">IF($B60="","",E60-I60)</f>
        <v>-2493149</v>
      </c>
    </row>
    <row r="61" customFormat="false" ht="15" hidden="false" customHeight="false" outlineLevel="0" collapsed="false">
      <c r="A61" s="22" t="str">
        <f aca="false">IF($B61="","","複合（アルチビオ＋ピッコーネ系）")</f>
        <v/>
      </c>
      <c r="B61" s="23" t="str">
        <f aca="false">IFERROR(INDEX(店舗マスタ!$B$5:$B$304,MATCH("複合（アルチビオ＋ピッコーネ系）|6",店舗マスタ!$L$5:$L$304,0)),"")</f>
        <v/>
      </c>
      <c r="C61" s="22" t="str">
        <f aca="false">IF($B61="","",INDEX(店舗マスタ!$C$5:$C$304,MATCH($B61,店舗マスタ!$B$5:$B$304,0)))</f>
        <v/>
      </c>
      <c r="D61" s="22" t="str">
        <f aca="false">IF($B61="","",INDEX(店舗マスタ!$D$5:$D$304,MATCH($B61,店舗マスタ!$B$5:$B$304,0)))</f>
        <v/>
      </c>
      <c r="E61" s="24" t="str">
        <f aca="false">IF($B61="","",INDEX(店舗マスタ!$G$5:$G$304,MATCH($B61,店舗マスタ!$B$5:$B$304,0)))</f>
        <v/>
      </c>
      <c r="F61" s="24" t="str">
        <f aca="false">IF($B61="","",INDEX(店舗マスタ!$H$5:$H$304,MATCH($B61,店舗マスタ!$B$5:$B$304,0)))</f>
        <v/>
      </c>
      <c r="G61" s="25" t="str">
        <f aca="false">IF($B61="","",IF(F61=0,"-",E61/F61))</f>
        <v/>
      </c>
      <c r="H61" s="24" t="str">
        <f aca="false">IF($B61="","",E61-F61)</f>
        <v/>
      </c>
      <c r="I61" s="24" t="str">
        <f aca="false">IF($B61="","",INDEX(店舗マスタ!$I$5:$I$304,MATCH($B61,店舗マスタ!$B$5:$B$304,0)))</f>
        <v/>
      </c>
      <c r="J61" s="26" t="str">
        <f aca="false">IF($B61="","",IF(I61=0,"前年実績なし",E61/I61))</f>
        <v/>
      </c>
      <c r="K61" s="24" t="str">
        <f aca="false">IF($B61="","",E61-I61)</f>
        <v/>
      </c>
    </row>
    <row r="62" customFormat="false" ht="15" hidden="false" customHeight="false" outlineLevel="0" collapsed="false">
      <c r="A62" s="22" t="str">
        <f aca="false">IF($B62="","","複合（アルチビオ＋ピッコーネ系）")</f>
        <v/>
      </c>
      <c r="B62" s="23" t="str">
        <f aca="false">IFERROR(INDEX(店舗マスタ!$B$5:$B$304,MATCH("複合（アルチビオ＋ピッコーネ系）|7",店舗マスタ!$L$5:$L$304,0)),"")</f>
        <v/>
      </c>
      <c r="C62" s="22" t="str">
        <f aca="false">IF($B62="","",INDEX(店舗マスタ!$C$5:$C$304,MATCH($B62,店舗マスタ!$B$5:$B$304,0)))</f>
        <v/>
      </c>
      <c r="D62" s="22" t="str">
        <f aca="false">IF($B62="","",INDEX(店舗マスタ!$D$5:$D$304,MATCH($B62,店舗マスタ!$B$5:$B$304,0)))</f>
        <v/>
      </c>
      <c r="E62" s="24" t="str">
        <f aca="false">IF($B62="","",INDEX(店舗マスタ!$G$5:$G$304,MATCH($B62,店舗マスタ!$B$5:$B$304,0)))</f>
        <v/>
      </c>
      <c r="F62" s="24" t="str">
        <f aca="false">IF($B62="","",INDEX(店舗マスタ!$H$5:$H$304,MATCH($B62,店舗マスタ!$B$5:$B$304,0)))</f>
        <v/>
      </c>
      <c r="G62" s="25" t="str">
        <f aca="false">IF($B62="","",IF(F62=0,"-",E62/F62))</f>
        <v/>
      </c>
      <c r="H62" s="24" t="str">
        <f aca="false">IF($B62="","",E62-F62)</f>
        <v/>
      </c>
      <c r="I62" s="24" t="str">
        <f aca="false">IF($B62="","",INDEX(店舗マスタ!$I$5:$I$304,MATCH($B62,店舗マスタ!$B$5:$B$304,0)))</f>
        <v/>
      </c>
      <c r="J62" s="26" t="str">
        <f aca="false">IF($B62="","",IF(I62=0,"前年実績なし",E62/I62))</f>
        <v/>
      </c>
      <c r="K62" s="24" t="str">
        <f aca="false">IF($B62="","",E62-I62)</f>
        <v/>
      </c>
    </row>
    <row r="63" customFormat="false" ht="15" hidden="false" customHeight="false" outlineLevel="0" collapsed="false">
      <c r="A63" s="22" t="str">
        <f aca="false">IF($B63="","","複合（アルチビオ＋ピッコーネ系）")</f>
        <v/>
      </c>
      <c r="B63" s="23" t="str">
        <f aca="false">IFERROR(INDEX(店舗マスタ!$B$5:$B$304,MATCH("複合（アルチビオ＋ピッコーネ系）|8",店舗マスタ!$L$5:$L$304,0)),"")</f>
        <v/>
      </c>
      <c r="C63" s="22" t="str">
        <f aca="false">IF($B63="","",INDEX(店舗マスタ!$C$5:$C$304,MATCH($B63,店舗マスタ!$B$5:$B$304,0)))</f>
        <v/>
      </c>
      <c r="D63" s="22" t="str">
        <f aca="false">IF($B63="","",INDEX(店舗マスタ!$D$5:$D$304,MATCH($B63,店舗マスタ!$B$5:$B$304,0)))</f>
        <v/>
      </c>
      <c r="E63" s="24" t="str">
        <f aca="false">IF($B63="","",INDEX(店舗マスタ!$G$5:$G$304,MATCH($B63,店舗マスタ!$B$5:$B$304,0)))</f>
        <v/>
      </c>
      <c r="F63" s="24" t="str">
        <f aca="false">IF($B63="","",INDEX(店舗マスタ!$H$5:$H$304,MATCH($B63,店舗マスタ!$B$5:$B$304,0)))</f>
        <v/>
      </c>
      <c r="G63" s="25" t="str">
        <f aca="false">IF($B63="","",IF(F63=0,"-",E63/F63))</f>
        <v/>
      </c>
      <c r="H63" s="24" t="str">
        <f aca="false">IF($B63="","",E63-F63)</f>
        <v/>
      </c>
      <c r="I63" s="24" t="str">
        <f aca="false">IF($B63="","",INDEX(店舗マスタ!$I$5:$I$304,MATCH($B63,店舗マスタ!$B$5:$B$304,0)))</f>
        <v/>
      </c>
      <c r="J63" s="26" t="str">
        <f aca="false">IF($B63="","",IF(I63=0,"前年実績なし",E63/I63))</f>
        <v/>
      </c>
      <c r="K63" s="24" t="str">
        <f aca="false">IF($B63="","",E63-I63)</f>
        <v/>
      </c>
    </row>
    <row r="64" customFormat="false" ht="15" hidden="false" customHeight="false" outlineLevel="0" collapsed="false">
      <c r="A64" s="27" t="str">
        <f aca="false">"複合（アルチビオ＋ピッコーネ系）　小計（"&amp;COUNT(E56:E63)&amp;"店舗）"</f>
        <v>複合（アルチビオ＋ピッコーネ系）　小計（5店舗）</v>
      </c>
      <c r="B64" s="27"/>
      <c r="C64" s="27"/>
      <c r="D64" s="27"/>
      <c r="E64" s="28" t="n">
        <f aca="false">SUBTOTAL(9,E56:E63)</f>
        <v>3670501</v>
      </c>
      <c r="F64" s="28" t="n">
        <f aca="false">SUBTOTAL(9,F56:F63)</f>
        <v>24321000</v>
      </c>
      <c r="G64" s="29" t="n">
        <f aca="false">IF(F64=0,"-",E64/F64)</f>
        <v>0.150919000041117</v>
      </c>
      <c r="H64" s="28" t="n">
        <f aca="false">E64-F64</f>
        <v>-20650499</v>
      </c>
      <c r="I64" s="28" t="n">
        <f aca="false">SUBTOTAL(9,I56:I63)</f>
        <v>20612405</v>
      </c>
      <c r="J64" s="29" t="n">
        <f aca="false">IF(I64=0,"-",E64/I64)</f>
        <v>0.178072427744361</v>
      </c>
      <c r="K64" s="28" t="n">
        <f aca="false">E64-I64</f>
        <v>-16941904</v>
      </c>
    </row>
    <row r="65" customFormat="false" ht="15" hidden="false" customHeight="false" outlineLevel="0" collapsed="false">
      <c r="A65" s="11" t="str">
        <f aca="false">"総合計（"&amp;COUNT(E5:E64)-4&amp;"店舗）"</f>
        <v>総合計（43店舗）</v>
      </c>
      <c r="B65" s="11"/>
      <c r="C65" s="11"/>
      <c r="D65" s="11"/>
      <c r="E65" s="13" t="n">
        <f aca="false">SUBTOTAL(9,E5:E64)</f>
        <v>24721500</v>
      </c>
      <c r="F65" s="13" t="n">
        <f aca="false">SUBTOTAL(9,F5:F64)</f>
        <v>164709000</v>
      </c>
      <c r="G65" s="14" t="n">
        <f aca="false">IF(F65=0,"-",E65/F65)</f>
        <v>0.1500919804018</v>
      </c>
      <c r="H65" s="13" t="n">
        <f aca="false">E65-F65</f>
        <v>-139987500</v>
      </c>
      <c r="I65" s="13" t="n">
        <f aca="false">SUBTOTAL(9,I5:I64)</f>
        <v>150139548</v>
      </c>
      <c r="J65" s="14" t="n">
        <f aca="false">IF(I65=0,"-",E65/I65)</f>
        <v>0.164656816470501</v>
      </c>
      <c r="K65" s="13" t="n">
        <f aca="false">E65-I65</f>
        <v>-125418048</v>
      </c>
    </row>
  </sheetData>
  <mergeCells count="5">
    <mergeCell ref="A19:D19"/>
    <mergeCell ref="A46:D46"/>
    <mergeCell ref="A55:D55"/>
    <mergeCell ref="A64:D64"/>
    <mergeCell ref="A65:D65"/>
  </mergeCells>
  <conditionalFormatting sqref="A5:A18">
    <cfRule type="expression" priority="2" aboveAverage="0" equalAverage="0" bottom="0" percent="0" rank="0" text="" dxfId="2">
      <formula>$B5&lt;&gt;""</formula>
    </cfRule>
  </conditionalFormatting>
  <conditionalFormatting sqref="G5:G18">
    <cfRule type="dataBar" priority="3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{8F9AF2DC-2347-4C5E-A97F-CE1EC0815BA0}</x14:id>
        </ext>
      </extLst>
    </cfRule>
  </conditionalFormatting>
  <conditionalFormatting sqref="J5:J18">
    <cfRule type="dataBar" priority="4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{CBCB55FF-AF77-45AB-8613-5AE5F15B98A1}</x14:id>
        </ext>
      </extLst>
    </cfRule>
  </conditionalFormatting>
  <conditionalFormatting sqref="A20:A45">
    <cfRule type="expression" priority="5" aboveAverage="0" equalAverage="0" bottom="0" percent="0" rank="0" text="" dxfId="3">
      <formula>$B20&lt;&gt;""</formula>
    </cfRule>
  </conditionalFormatting>
  <conditionalFormatting sqref="G20:G45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{5FEDA356-5593-48FA-B5AD-B385B9C5BC8E}</x14:id>
        </ext>
      </extLst>
    </cfRule>
  </conditionalFormatting>
  <conditionalFormatting sqref="J20:J45">
    <cfRule type="dataBar" priority="7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{F61ADC20-6CE7-4CEE-A0AB-7C30EE2133C7}</x14:id>
        </ext>
      </extLst>
    </cfRule>
  </conditionalFormatting>
  <conditionalFormatting sqref="A47:A54">
    <cfRule type="expression" priority="8" aboveAverage="0" equalAverage="0" bottom="0" percent="0" rank="0" text="" dxfId="4">
      <formula>$B47&lt;&gt;""</formula>
    </cfRule>
  </conditionalFormatting>
  <conditionalFormatting sqref="G47:G54">
    <cfRule type="dataBar" priority="9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{70E057A6-2E92-4424-AEAD-B84868D0FABE}</x14:id>
        </ext>
      </extLst>
    </cfRule>
  </conditionalFormatting>
  <conditionalFormatting sqref="J47:J54">
    <cfRule type="dataBar" priority="10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{D0A88A1C-3CF0-4CCF-93CD-339473307E4D}</x14:id>
        </ext>
      </extLst>
    </cfRule>
  </conditionalFormatting>
  <conditionalFormatting sqref="A56:A63">
    <cfRule type="expression" priority="11" aboveAverage="0" equalAverage="0" bottom="0" percent="0" rank="0" text="" dxfId="5">
      <formula>$B56&lt;&gt;""</formula>
    </cfRule>
  </conditionalFormatting>
  <conditionalFormatting sqref="G56:G63">
    <cfRule type="dataBar" priority="12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{7C9C7812-9341-45CE-874D-FBE342C44170}</x14:id>
        </ext>
      </extLst>
    </cfRule>
  </conditionalFormatting>
  <conditionalFormatting sqref="J56:J63">
    <cfRule type="dataBar" priority="13">
      <dataBar showValue="1" minLength="10" maxLength="90">
        <cfvo type="num" val="0"/>
        <cfvo type="num" val="1"/>
        <color rgb="FFA9D18E"/>
      </dataBar>
      <extLst>
        <ext xmlns:x14="http://schemas.microsoft.com/office/spreadsheetml/2009/9/main" uri="{B025F937-C7B1-47D3-B67F-A62EFF666E3E}">
          <x14:id>{91EAD6B0-61BD-4F8E-9112-EF8D40F4A928}</x14:id>
        </ext>
      </extLst>
    </cfRule>
  </conditionalFormatting>
  <conditionalFormatting sqref="A5:K64">
    <cfRule type="expression" priority="14" aboveAverage="0" equalAverage="0" bottom="0" percent="0" rank="0" text="" dxfId="6">
      <formula>AND($B5&lt;&gt;"",ISNUMBER($B5))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9AF2DC-2347-4C5E-A97F-CE1EC0815BA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G5:G18</xm:sqref>
        </x14:conditionalFormatting>
        <x14:conditionalFormatting xmlns:xm="http://schemas.microsoft.com/office/excel/2006/main">
          <x14:cfRule type="dataBar" id="{CBCB55FF-AF77-45AB-8613-5AE5F15B98A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J5:J18</xm:sqref>
        </x14:conditionalFormatting>
        <x14:conditionalFormatting xmlns:xm="http://schemas.microsoft.com/office/excel/2006/main">
          <x14:cfRule type="dataBar" id="{5FEDA356-5593-48FA-B5AD-B385B9C5BC8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G20:G45</xm:sqref>
        </x14:conditionalFormatting>
        <x14:conditionalFormatting xmlns:xm="http://schemas.microsoft.com/office/excel/2006/main">
          <x14:cfRule type="dataBar" id="{F61ADC20-6CE7-4CEE-A0AB-7C30EE2133C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J20:J45</xm:sqref>
        </x14:conditionalFormatting>
        <x14:conditionalFormatting xmlns:xm="http://schemas.microsoft.com/office/excel/2006/main">
          <x14:cfRule type="dataBar" id="{70E057A6-2E92-4424-AEAD-B84868D0FAB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G47:G54</xm:sqref>
        </x14:conditionalFormatting>
        <x14:conditionalFormatting xmlns:xm="http://schemas.microsoft.com/office/excel/2006/main">
          <x14:cfRule type="dataBar" id="{D0A88A1C-3CF0-4CCF-93CD-339473307E4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J47:J54</xm:sqref>
        </x14:conditionalFormatting>
        <x14:conditionalFormatting xmlns:xm="http://schemas.microsoft.com/office/excel/2006/main">
          <x14:cfRule type="dataBar" id="{7C9C7812-9341-45CE-874D-FBE342C4417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G56:G63</xm:sqref>
        </x14:conditionalFormatting>
        <x14:conditionalFormatting xmlns:xm="http://schemas.microsoft.com/office/excel/2006/main">
          <x14:cfRule type="dataBar" id="{91EAD6B0-61BD-4F8E-9112-EF8D40F4A92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A9D18E"/>
              <x14:axisColor rgb="FF000000"/>
            </x14:dataBar>
          </x14:cfRule>
          <xm:sqref>J56:J63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19.4" hidden="false" customHeight="false" outlineLevel="0" collapsed="false">
      <c r="A1" s="1" t="str">
        <f aca="false">取込チェック!$H$3</f>
        <v>POS売上 予算・前年対比（2026年10月度／前年同月 2025年10月）</v>
      </c>
    </row>
    <row r="2" customFormat="false" ht="15" hidden="false" customHeight="false" outlineLevel="0" collapsed="false">
      <c r="A2" s="2" t="s">
        <v>35</v>
      </c>
    </row>
    <row r="4" customFormat="false" ht="43.5" hidden="false" customHeight="true" outlineLevel="0" collapsed="false">
      <c r="A4" s="3" t="s">
        <v>33</v>
      </c>
      <c r="B4" s="30" t="s">
        <v>11</v>
      </c>
      <c r="C4" s="31" t="s">
        <v>12</v>
      </c>
      <c r="D4" s="32" t="s">
        <v>13</v>
      </c>
      <c r="E4" s="33" t="s">
        <v>36</v>
      </c>
      <c r="F4" s="3" t="s">
        <v>37</v>
      </c>
      <c r="G4" s="3" t="s">
        <v>38</v>
      </c>
      <c r="H4" s="3" t="s">
        <v>6</v>
      </c>
      <c r="I4" s="3" t="s">
        <v>39</v>
      </c>
      <c r="J4" s="3" t="s">
        <v>9</v>
      </c>
    </row>
    <row r="5" customFormat="false" ht="15" hidden="false" customHeight="false" outlineLevel="0" collapsed="false">
      <c r="A5" s="24" t="str">
        <f aca="false">IFERROR(INDEX(店舗マスタ!$C$5:$C$304,MATCH(1,店舗マスタ!$O$5:$O$304,0)),"")</f>
        <v>高島屋大阪店</v>
      </c>
      <c r="B5" s="24" t="n">
        <f aca="false">IF($A5="","",SUMIFS(店舗マスタ!$G$5:$G$304,店舗マスタ!$C$5:$C$304,$A5,店舗マスタ!$E$5:$E$304,"アルチビオ"))</f>
        <v>1650946</v>
      </c>
      <c r="C5" s="24" t="n">
        <f aca="false">IF($A5="","",SUMIFS(店舗マスタ!$G$5:$G$304,店舗マスタ!$C$5:$C$304,$A5,店舗マスタ!$E$5:$E$304,"スタジオピッコーネ／ピッコーネクラブ"))</f>
        <v>1262854</v>
      </c>
      <c r="D5" s="24" t="n">
        <f aca="false">IF($A5="","",SUMIFS(店舗マスタ!$G$5:$G$304,店舗マスタ!$C$5:$C$304,$A5,店舗マスタ!$E$5:$E$304,"ピッコーネ"))</f>
        <v>0</v>
      </c>
      <c r="E5" s="24" t="n">
        <f aca="false">IF($A5="","",SUMIFS(店舗マスタ!$G$5:$G$304,店舗マスタ!$C$5:$C$304,$A5,店舗マスタ!$E$5:$E$304,"複合（アルチビオ＋ピッコーネ系）"))</f>
        <v>0</v>
      </c>
      <c r="F5" s="24" t="n">
        <f aca="false">IF($A5="","",SUM(B5:E5))</f>
        <v>2913800</v>
      </c>
      <c r="G5" s="24" t="n">
        <f aca="false">IF($A5="","",SUMIFS(店舗マスタ!$H$5:$H$304,店舗マスタ!$C$5:$C$304,$A5))</f>
        <v>11961000</v>
      </c>
      <c r="H5" s="25" t="n">
        <f aca="false">IF($A5="","",IF(G5=0,"-",F5/G5))</f>
        <v>0.243608393946994</v>
      </c>
      <c r="I5" s="24" t="n">
        <f aca="false">IF($A5="","",SUMIFS(店舗マスタ!$I$5:$I$304,店舗マスタ!$C$5:$C$304,$A5))</f>
        <v>9957760</v>
      </c>
      <c r="J5" s="26" t="n">
        <f aca="false">IF($A5="","",IF(I5=0,"前年実績なし",F5/I5))</f>
        <v>0.292616010026351</v>
      </c>
    </row>
    <row r="6" customFormat="false" ht="15" hidden="false" customHeight="false" outlineLevel="0" collapsed="false">
      <c r="A6" s="24" t="str">
        <f aca="false">IFERROR(INDEX(店舗マスタ!$C$5:$C$304,MATCH(2,店舗マスタ!$O$5:$O$304,0)),"")</f>
        <v>ハービスPLAZA店</v>
      </c>
      <c r="B6" s="24" t="n">
        <f aca="false">IF($A6="","",SUMIFS(店舗マスタ!$G$5:$G$304,店舗マスタ!$C$5:$C$304,$A6,店舗マスタ!$E$5:$E$304,"アルチビオ"))</f>
        <v>1942301</v>
      </c>
      <c r="C6" s="24" t="n">
        <f aca="false">IF($A6="","",SUMIFS(店舗マスタ!$G$5:$G$304,店舗マスタ!$C$5:$C$304,$A6,店舗マスタ!$E$5:$E$304,"スタジオピッコーネ／ピッコーネクラブ"))</f>
        <v>0</v>
      </c>
      <c r="D6" s="24" t="n">
        <f aca="false">IF($A6="","",SUMIFS(店舗マスタ!$G$5:$G$304,店舗マスタ!$C$5:$C$304,$A6,店舗マスタ!$E$5:$E$304,"ピッコーネ"))</f>
        <v>0</v>
      </c>
      <c r="E6" s="24" t="n">
        <f aca="false">IF($A6="","",SUMIFS(店舗マスタ!$G$5:$G$304,店舗マスタ!$C$5:$C$304,$A6,店舗マスタ!$E$5:$E$304,"複合（アルチビオ＋ピッコーネ系）"))</f>
        <v>0</v>
      </c>
      <c r="F6" s="24" t="n">
        <f aca="false">IF($A6="","",SUM(B6:E6))</f>
        <v>1942301</v>
      </c>
      <c r="G6" s="24" t="n">
        <f aca="false">IF($A6="","",SUMIFS(店舗マスタ!$H$5:$H$304,店舗マスタ!$C$5:$C$304,$A6))</f>
        <v>3812000</v>
      </c>
      <c r="H6" s="25" t="n">
        <f aca="false">IF($A6="","",IF(G6=0,"-",F6/G6))</f>
        <v>0.509522822665268</v>
      </c>
      <c r="I6" s="24" t="n">
        <f aca="false">IF($A6="","",SUMIFS(店舗マスタ!$I$5:$I$304,店舗マスタ!$C$5:$C$304,$A6))</f>
        <v>3514950</v>
      </c>
      <c r="J6" s="26" t="n">
        <f aca="false">IF($A6="","",IF(I6=0,"前年実績なし",F6/I6))</f>
        <v>0.552582824791249</v>
      </c>
    </row>
    <row r="7" customFormat="false" ht="15" hidden="false" customHeight="false" outlineLevel="0" collapsed="false">
      <c r="A7" s="24" t="str">
        <f aca="false">IFERROR(INDEX(店舗マスタ!$C$5:$C$304,MATCH(3,店舗マスタ!$O$5:$O$304,0)),"")</f>
        <v>高島屋高崎店</v>
      </c>
      <c r="B7" s="24" t="n">
        <f aca="false">IF($A7="","",SUMIFS(店舗マスタ!$G$5:$G$304,店舗マスタ!$C$5:$C$304,$A7,店舗マスタ!$E$5:$E$304,"アルチビオ"))</f>
        <v>897774</v>
      </c>
      <c r="C7" s="24" t="n">
        <f aca="false">IF($A7="","",SUMIFS(店舗マスタ!$G$5:$G$304,店舗マスタ!$C$5:$C$304,$A7,店舗マスタ!$E$5:$E$304,"スタジオピッコーネ／ピッコーネクラブ"))</f>
        <v>776168</v>
      </c>
      <c r="D7" s="24" t="n">
        <f aca="false">IF($A7="","",SUMIFS(店舗マスタ!$G$5:$G$304,店舗マスタ!$C$5:$C$304,$A7,店舗マスタ!$E$5:$E$304,"ピッコーネ"))</f>
        <v>0</v>
      </c>
      <c r="E7" s="24" t="n">
        <f aca="false">IF($A7="","",SUMIFS(店舗マスタ!$G$5:$G$304,店舗マスタ!$C$5:$C$304,$A7,店舗マスタ!$E$5:$E$304,"複合（アルチビオ＋ピッコーネ系）"))</f>
        <v>0</v>
      </c>
      <c r="F7" s="24" t="n">
        <f aca="false">IF($A7="","",SUM(B7:E7))</f>
        <v>1673942</v>
      </c>
      <c r="G7" s="24" t="n">
        <f aca="false">IF($A7="","",SUMIFS(店舗マスタ!$H$5:$H$304,店舗マスタ!$C$5:$C$304,$A7))</f>
        <v>5250000</v>
      </c>
      <c r="H7" s="25" t="n">
        <f aca="false">IF($A7="","",IF(G7=0,"-",F7/G7))</f>
        <v>0.318846095238095</v>
      </c>
      <c r="I7" s="24" t="n">
        <f aca="false">IF($A7="","",SUMIFS(店舗マスタ!$I$5:$I$304,店舗マスタ!$C$5:$C$304,$A7))</f>
        <v>5069260</v>
      </c>
      <c r="J7" s="26" t="n">
        <f aca="false">IF($A7="","",IF(I7=0,"前年実績なし",F7/I7))</f>
        <v>0.330214271905564</v>
      </c>
    </row>
    <row r="8" customFormat="false" ht="15" hidden="false" customHeight="false" outlineLevel="0" collapsed="false">
      <c r="A8" s="24" t="str">
        <f aca="false">IFERROR(INDEX(店舗マスタ!$C$5:$C$304,MATCH(4,店舗マスタ!$O$5:$O$304,0)),"")</f>
        <v>松坂屋名古屋店</v>
      </c>
      <c r="B8" s="24" t="n">
        <f aca="false">IF($A8="","",SUMIFS(店舗マスタ!$G$5:$G$304,店舗マスタ!$C$5:$C$304,$A8,店舗マスタ!$E$5:$E$304,"アルチビオ"))</f>
        <v>0</v>
      </c>
      <c r="C8" s="24" t="n">
        <f aca="false">IF($A8="","",SUMIFS(店舗マスタ!$G$5:$G$304,店舗マスタ!$C$5:$C$304,$A8,店舗マスタ!$E$5:$E$304,"スタジオピッコーネ／ピッコーネクラブ"))</f>
        <v>0</v>
      </c>
      <c r="D8" s="24" t="n">
        <f aca="false">IF($A8="","",SUMIFS(店舗マスタ!$G$5:$G$304,店舗マスタ!$C$5:$C$304,$A8,店舗マスタ!$E$5:$E$304,"ピッコーネ"))</f>
        <v>0</v>
      </c>
      <c r="E8" s="24" t="n">
        <f aca="false">IF($A8="","",SUMIFS(店舗マスタ!$G$5:$G$304,店舗マスタ!$C$5:$C$304,$A8,店舗マスタ!$E$5:$E$304,"複合（アルチビオ＋ピッコーネ系）"))</f>
        <v>1582708</v>
      </c>
      <c r="F8" s="24" t="n">
        <f aca="false">IF($A8="","",SUM(B8:E8))</f>
        <v>1582708</v>
      </c>
      <c r="G8" s="24" t="n">
        <f aca="false">IF($A8="","",SUMIFS(店舗マスタ!$H$5:$H$304,店舗マスタ!$C$5:$C$304,$A8))</f>
        <v>9500000</v>
      </c>
      <c r="H8" s="25" t="n">
        <f aca="false">IF($A8="","",IF(G8=0,"-",F8/G8))</f>
        <v>0.166600842105263</v>
      </c>
      <c r="I8" s="24" t="n">
        <f aca="false">IF($A8="","",SUMIFS(店舗マスタ!$I$5:$I$304,店舗マスタ!$C$5:$C$304,$A8))</f>
        <v>9277415</v>
      </c>
      <c r="J8" s="26" t="n">
        <f aca="false">IF($A8="","",IF(I8=0,"前年実績なし",F8/I8))</f>
        <v>0.170597952123517</v>
      </c>
    </row>
    <row r="9" customFormat="false" ht="15" hidden="false" customHeight="false" outlineLevel="0" collapsed="false">
      <c r="A9" s="24" t="str">
        <f aca="false">IFERROR(INDEX(店舗マスタ!$C$5:$C$304,MATCH(5,店舗マスタ!$O$5:$O$304,0)),"")</f>
        <v>高島屋新宿店</v>
      </c>
      <c r="B9" s="24" t="n">
        <f aca="false">IF($A9="","",SUMIFS(店舗マスタ!$G$5:$G$304,店舗マスタ!$C$5:$C$304,$A9,店舗マスタ!$E$5:$E$304,"アルチビオ"))</f>
        <v>1202200</v>
      </c>
      <c r="C9" s="24" t="n">
        <f aca="false">IF($A9="","",SUMIFS(店舗マスタ!$G$5:$G$304,店舗マスタ!$C$5:$C$304,$A9,店舗マスタ!$E$5:$E$304,"スタジオピッコーネ／ピッコーネクラブ"))</f>
        <v>127300</v>
      </c>
      <c r="D9" s="24" t="n">
        <f aca="false">IF($A9="","",SUMIFS(店舗マスタ!$G$5:$G$304,店舗マスタ!$C$5:$C$304,$A9,店舗マスタ!$E$5:$E$304,"ピッコーネ"))</f>
        <v>0</v>
      </c>
      <c r="E9" s="24" t="n">
        <f aca="false">IF($A9="","",SUMIFS(店舗マスタ!$G$5:$G$304,店舗マスタ!$C$5:$C$304,$A9,店舗マスタ!$E$5:$E$304,"複合（アルチビオ＋ピッコーネ系）"))</f>
        <v>0</v>
      </c>
      <c r="F9" s="24" t="n">
        <f aca="false">IF($A9="","",SUM(B9:E9))</f>
        <v>1329500</v>
      </c>
      <c r="G9" s="24" t="n">
        <f aca="false">IF($A9="","",SUMIFS(店舗マスタ!$H$5:$H$304,店舗マスタ!$C$5:$C$304,$A9))</f>
        <v>8858000</v>
      </c>
      <c r="H9" s="25" t="n">
        <f aca="false">IF($A9="","",IF(G9=0,"-",F9/G9))</f>
        <v>0.150090313840596</v>
      </c>
      <c r="I9" s="24" t="n">
        <f aca="false">IF($A9="","",SUMIFS(店舗マスタ!$I$5:$I$304,店舗マスタ!$C$5:$C$304,$A9))</f>
        <v>8685710</v>
      </c>
      <c r="J9" s="26" t="n">
        <f aca="false">IF($A9="","",IF(I9=0,"前年実績なし",F9/I9))</f>
        <v>0.153067509737258</v>
      </c>
    </row>
    <row r="10" customFormat="false" ht="15" hidden="false" customHeight="false" outlineLevel="0" collapsed="false">
      <c r="A10" s="24" t="str">
        <f aca="false">IFERROR(INDEX(店舗マスタ!$C$5:$C$304,MATCH(6,店舗マスタ!$O$5:$O$304,0)),"")</f>
        <v>高島屋横浜店</v>
      </c>
      <c r="B10" s="24" t="n">
        <f aca="false">IF($A10="","",SUMIFS(店舗マスタ!$G$5:$G$304,店舗マスタ!$C$5:$C$304,$A10,店舗マスタ!$E$5:$E$304,"アルチビオ"))</f>
        <v>371528</v>
      </c>
      <c r="C10" s="24" t="n">
        <f aca="false">IF($A10="","",SUMIFS(店舗マスタ!$G$5:$G$304,店舗マスタ!$C$5:$C$304,$A10,店舗マスタ!$E$5:$E$304,"スタジオピッコーネ／ピッコーネクラブ"))</f>
        <v>920100</v>
      </c>
      <c r="D10" s="24" t="n">
        <f aca="false">IF($A10="","",SUMIFS(店舗マスタ!$G$5:$G$304,店舗マスタ!$C$5:$C$304,$A10,店舗マスタ!$E$5:$E$304,"ピッコーネ"))</f>
        <v>0</v>
      </c>
      <c r="E10" s="24" t="n">
        <f aca="false">IF($A10="","",SUMIFS(店舗マスタ!$G$5:$G$304,店舗マスタ!$C$5:$C$304,$A10,店舗マスタ!$E$5:$E$304,"複合（アルチビオ＋ピッコーネ系）"))</f>
        <v>0</v>
      </c>
      <c r="F10" s="24" t="n">
        <f aca="false">IF($A10="","",SUM(B10:E10))</f>
        <v>1291628</v>
      </c>
      <c r="G10" s="24" t="n">
        <f aca="false">IF($A10="","",SUMIFS(店舗マスタ!$H$5:$H$304,店舗マスタ!$C$5:$C$304,$A10))</f>
        <v>7280000</v>
      </c>
      <c r="H10" s="25" t="n">
        <f aca="false">IF($A10="","",IF(G10=0,"-",F10/G10))</f>
        <v>0.177421428571429</v>
      </c>
      <c r="I10" s="24" t="n">
        <f aca="false">IF($A10="","",SUMIFS(店舗マスタ!$I$5:$I$304,店舗マスタ!$C$5:$C$304,$A10))</f>
        <v>6150390</v>
      </c>
      <c r="J10" s="26" t="n">
        <f aca="false">IF($A10="","",IF(I10=0,"前年実績なし",F10/I10))</f>
        <v>0.210007495459638</v>
      </c>
    </row>
    <row r="11" customFormat="false" ht="15" hidden="false" customHeight="false" outlineLevel="0" collapsed="false">
      <c r="A11" s="24" t="str">
        <f aca="false">IFERROR(INDEX(店舗マスタ!$C$5:$C$304,MATCH(7,店舗マスタ!$O$5:$O$304,0)),"")</f>
        <v>松屋銀座本店</v>
      </c>
      <c r="B11" s="24" t="n">
        <f aca="false">IF($A11="","",SUMIFS(店舗マスタ!$G$5:$G$304,店舗マスタ!$C$5:$C$304,$A11,店舗マスタ!$E$5:$E$304,"アルチビオ"))</f>
        <v>856826</v>
      </c>
      <c r="C11" s="24" t="n">
        <f aca="false">IF($A11="","",SUMIFS(店舗マスタ!$G$5:$G$304,店舗マスタ!$C$5:$C$304,$A11,店舗マスタ!$E$5:$E$304,"スタジオピッコーネ／ピッコーネクラブ"))</f>
        <v>312500</v>
      </c>
      <c r="D11" s="24" t="n">
        <f aca="false">IF($A11="","",SUMIFS(店舗マスタ!$G$5:$G$304,店舗マスタ!$C$5:$C$304,$A11,店舗マスタ!$E$5:$E$304,"ピッコーネ"))</f>
        <v>0</v>
      </c>
      <c r="E11" s="24" t="n">
        <f aca="false">IF($A11="","",SUMIFS(店舗マスタ!$G$5:$G$304,店舗マスタ!$C$5:$C$304,$A11,店舗マスタ!$E$5:$E$304,"複合（アルチビオ＋ピッコーネ系）"))</f>
        <v>0</v>
      </c>
      <c r="F11" s="24" t="n">
        <f aca="false">IF($A11="","",SUM(B11:E11))</f>
        <v>1169326</v>
      </c>
      <c r="G11" s="24" t="n">
        <f aca="false">IF($A11="","",SUMIFS(店舗マスタ!$H$5:$H$304,店舗マスタ!$C$5:$C$304,$A11))</f>
        <v>6000000</v>
      </c>
      <c r="H11" s="25" t="n">
        <f aca="false">IF($A11="","",IF(G11=0,"-",F11/G11))</f>
        <v>0.194887666666667</v>
      </c>
      <c r="I11" s="24" t="n">
        <f aca="false">IF($A11="","",SUMIFS(店舗マスタ!$I$5:$I$304,店舗マスタ!$C$5:$C$304,$A11))</f>
        <v>5692657</v>
      </c>
      <c r="J11" s="26" t="n">
        <f aca="false">IF($A11="","",IF(I11=0,"前年実績なし",F11/I11))</f>
        <v>0.205409530207072</v>
      </c>
    </row>
    <row r="12" customFormat="false" ht="15" hidden="false" customHeight="false" outlineLevel="0" collapsed="false">
      <c r="A12" s="24" t="str">
        <f aca="false">IFERROR(INDEX(店舗マスタ!$C$5:$C$304,MATCH(8,店舗マスタ!$O$5:$O$304,0)),"")</f>
        <v>日本橋三越本店</v>
      </c>
      <c r="B12" s="24" t="n">
        <f aca="false">IF($A12="","",SUMIFS(店舗マスタ!$G$5:$G$304,店舗マスタ!$C$5:$C$304,$A12,店舗マスタ!$E$5:$E$304,"アルチビオ"))</f>
        <v>526863</v>
      </c>
      <c r="C12" s="24" t="n">
        <f aca="false">IF($A12="","",SUMIFS(店舗マスタ!$G$5:$G$304,店舗マスタ!$C$5:$C$304,$A12,店舗マスタ!$E$5:$E$304,"スタジオピッコーネ／ピッコーネクラブ"))</f>
        <v>619544</v>
      </c>
      <c r="D12" s="24" t="n">
        <f aca="false">IF($A12="","",SUMIFS(店舗マスタ!$G$5:$G$304,店舗マスタ!$C$5:$C$304,$A12,店舗マスタ!$E$5:$E$304,"ピッコーネ"))</f>
        <v>0</v>
      </c>
      <c r="E12" s="24" t="n">
        <f aca="false">IF($A12="","",SUMIFS(店舗マスタ!$G$5:$G$304,店舗マスタ!$C$5:$C$304,$A12,店舗マスタ!$E$5:$E$304,"複合（アルチビオ＋ピッコーネ系）"))</f>
        <v>0</v>
      </c>
      <c r="F12" s="24" t="n">
        <f aca="false">IF($A12="","",SUM(B12:E12))</f>
        <v>1146407</v>
      </c>
      <c r="G12" s="24" t="n">
        <f aca="false">IF($A12="","",SUMIFS(店舗マスタ!$H$5:$H$304,店舗マスタ!$C$5:$C$304,$A12))</f>
        <v>16457000</v>
      </c>
      <c r="H12" s="25" t="n">
        <f aca="false">IF($A12="","",IF(G12=0,"-",F12/G12))</f>
        <v>0.0696607522634745</v>
      </c>
      <c r="I12" s="24" t="n">
        <f aca="false">IF($A12="","",SUMIFS(店舗マスタ!$I$5:$I$304,店舗マスタ!$C$5:$C$304,$A12))</f>
        <v>16128200</v>
      </c>
      <c r="J12" s="26" t="n">
        <f aca="false">IF($A12="","",IF(I12=0,"前年実績なし",F12/I12))</f>
        <v>0.0710809017745316</v>
      </c>
    </row>
    <row r="13" customFormat="false" ht="15" hidden="false" customHeight="false" outlineLevel="0" collapsed="false">
      <c r="A13" s="24" t="str">
        <f aca="false">IFERROR(INDEX(店舗マスタ!$C$5:$C$304,MATCH(9,店舗マスタ!$O$5:$O$304,0)),"")</f>
        <v>札幌三越</v>
      </c>
      <c r="B13" s="24" t="n">
        <f aca="false">IF($A13="","",SUMIFS(店舗マスタ!$G$5:$G$304,店舗マスタ!$C$5:$C$304,$A13,店舗マスタ!$E$5:$E$304,"アルチビオ"))</f>
        <v>0</v>
      </c>
      <c r="C13" s="24" t="n">
        <f aca="false">IF($A13="","",SUMIFS(店舗マスタ!$G$5:$G$304,店舗マスタ!$C$5:$C$304,$A13,店舗マスタ!$E$5:$E$304,"スタジオピッコーネ／ピッコーネクラブ"))</f>
        <v>0</v>
      </c>
      <c r="D13" s="24" t="n">
        <f aca="false">IF($A13="","",SUMIFS(店舗マスタ!$G$5:$G$304,店舗マスタ!$C$5:$C$304,$A13,店舗マスタ!$E$5:$E$304,"ピッコーネ"))</f>
        <v>0</v>
      </c>
      <c r="E13" s="24" t="n">
        <f aca="false">IF($A13="","",SUMIFS(店舗マスタ!$G$5:$G$304,店舗マスタ!$C$5:$C$304,$A13,店舗マスタ!$E$5:$E$304,"複合（アルチビオ＋ピッコーネ系）"))</f>
        <v>922530</v>
      </c>
      <c r="F13" s="24" t="n">
        <f aca="false">IF($A13="","",SUM(B13:E13))</f>
        <v>922530</v>
      </c>
      <c r="G13" s="24" t="n">
        <f aca="false">IF($A13="","",SUMIFS(店舗マスタ!$H$5:$H$304,店舗マスタ!$C$5:$C$304,$A13))</f>
        <v>3079000</v>
      </c>
      <c r="H13" s="25" t="n">
        <f aca="false">IF($A13="","",IF(G13=0,"-",F13/G13))</f>
        <v>0.299620006495615</v>
      </c>
      <c r="I13" s="24" t="n">
        <f aca="false">IF($A13="","",SUMIFS(店舗マスタ!$I$5:$I$304,店舗マスタ!$C$5:$C$304,$A13))</f>
        <v>2912300</v>
      </c>
      <c r="J13" s="26" t="n">
        <f aca="false">IF($A13="","",IF(I13=0,"前年実績なし",F13/I13))</f>
        <v>0.316770250317618</v>
      </c>
    </row>
    <row r="14" customFormat="false" ht="15" hidden="false" customHeight="false" outlineLevel="0" collapsed="false">
      <c r="A14" s="24" t="str">
        <f aca="false">IFERROR(INDEX(店舗マスタ!$C$5:$C$304,MATCH(10,店舗マスタ!$O$5:$O$304,0)),"")</f>
        <v>堀江店</v>
      </c>
      <c r="B14" s="24" t="n">
        <f aca="false">IF($A14="","",SUMIFS(店舗マスタ!$G$5:$G$304,店舗マスタ!$C$5:$C$304,$A14,店舗マスタ!$E$5:$E$304,"アルチビオ"))</f>
        <v>898194</v>
      </c>
      <c r="C14" s="24" t="n">
        <f aca="false">IF($A14="","",SUMIFS(店舗マスタ!$G$5:$G$304,店舗マスタ!$C$5:$C$304,$A14,店舗マスタ!$E$5:$E$304,"スタジオピッコーネ／ピッコーネクラブ"))</f>
        <v>0</v>
      </c>
      <c r="D14" s="24" t="n">
        <f aca="false">IF($A14="","",SUMIFS(店舗マスタ!$G$5:$G$304,店舗マスタ!$C$5:$C$304,$A14,店舗マスタ!$E$5:$E$304,"ピッコーネ"))</f>
        <v>0</v>
      </c>
      <c r="E14" s="24" t="n">
        <f aca="false">IF($A14="","",SUMIFS(店舗マスタ!$G$5:$G$304,店舗マスタ!$C$5:$C$304,$A14,店舗マスタ!$E$5:$E$304,"複合（アルチビオ＋ピッコーネ系）"))</f>
        <v>0</v>
      </c>
      <c r="F14" s="24" t="n">
        <f aca="false">IF($A14="","",SUM(B14:E14))</f>
        <v>898194</v>
      </c>
      <c r="G14" s="24" t="n">
        <f aca="false">IF($A14="","",SUMIFS(店舗マスタ!$H$5:$H$304,店舗マスタ!$C$5:$C$304,$A14))</f>
        <v>4782000</v>
      </c>
      <c r="H14" s="25" t="n">
        <f aca="false">IF($A14="","",IF(G14=0,"-",F14/G14))</f>
        <v>0.187828105395232</v>
      </c>
      <c r="I14" s="24" t="n">
        <f aca="false">IF($A14="","",SUMIFS(店舗マスタ!$I$5:$I$304,店舗マスタ!$C$5:$C$304,$A14))</f>
        <v>4451408</v>
      </c>
      <c r="J14" s="26" t="n">
        <f aca="false">IF($A14="","",IF(I14=0,"前年実績なし",F14/I14))</f>
        <v>0.201777505005158</v>
      </c>
    </row>
    <row r="15" customFormat="false" ht="15" hidden="false" customHeight="false" outlineLevel="0" collapsed="false">
      <c r="A15" s="24" t="str">
        <f aca="false">IFERROR(INDEX(店舗マスタ!$C$5:$C$304,MATCH(11,店舗マスタ!$O$5:$O$304,0)),"")</f>
        <v>あべのハルカス近鉄本店</v>
      </c>
      <c r="B15" s="24" t="n">
        <f aca="false">IF($A15="","",SUMIFS(店舗マスタ!$G$5:$G$304,店舗マスタ!$C$5:$C$304,$A15,店舗マスタ!$E$5:$E$304,"アルチビオ"))</f>
        <v>0</v>
      </c>
      <c r="C15" s="24" t="n">
        <f aca="false">IF($A15="","",SUMIFS(店舗マスタ!$G$5:$G$304,店舗マスタ!$C$5:$C$304,$A15,店舗マスタ!$E$5:$E$304,"スタジオピッコーネ／ピッコーネクラブ"))</f>
        <v>506300</v>
      </c>
      <c r="D15" s="24" t="n">
        <f aca="false">IF($A15="","",SUMIFS(店舗マスタ!$G$5:$G$304,店舗マスタ!$C$5:$C$304,$A15,店舗マスタ!$E$5:$E$304,"ピッコーネ"))</f>
        <v>0</v>
      </c>
      <c r="E15" s="24" t="n">
        <f aca="false">IF($A15="","",SUMIFS(店舗マスタ!$G$5:$G$304,店舗マスタ!$C$5:$C$304,$A15,店舗マスタ!$E$5:$E$304,"複合（アルチビオ＋ピッコーネ系）"))</f>
        <v>247325</v>
      </c>
      <c r="F15" s="24" t="n">
        <f aca="false">IF($A15="","",SUM(B15:E15))</f>
        <v>753625</v>
      </c>
      <c r="G15" s="24" t="n">
        <f aca="false">IF($A15="","",SUMIFS(店舗マスタ!$H$5:$H$304,店舗マスタ!$C$5:$C$304,$A15))</f>
        <v>7283000</v>
      </c>
      <c r="H15" s="25" t="n">
        <f aca="false">IF($A15="","",IF(G15=0,"-",F15/G15))</f>
        <v>0.103477275847865</v>
      </c>
      <c r="I15" s="24" t="n">
        <f aca="false">IF($A15="","",SUMIFS(店舗マスタ!$I$5:$I$304,店舗マスタ!$C$5:$C$304,$A15))</f>
        <v>6391565</v>
      </c>
      <c r="J15" s="26" t="n">
        <f aca="false">IF($A15="","",IF(I15=0,"前年実績なし",F15/I15))</f>
        <v>0.117909307032002</v>
      </c>
    </row>
    <row r="16" customFormat="false" ht="15" hidden="false" customHeight="false" outlineLevel="0" collapsed="false">
      <c r="A16" s="24" t="str">
        <f aca="false">IFERROR(INDEX(店舗マスタ!$C$5:$C$304,MATCH(12,店舗マスタ!$O$5:$O$304,0)),"")</f>
        <v>名古屋三越栄店</v>
      </c>
      <c r="B16" s="24" t="n">
        <f aca="false">IF($A16="","",SUMIFS(店舗マスタ!$G$5:$G$304,店舗マスタ!$C$5:$C$304,$A16,店舗マスタ!$E$5:$E$304,"アルチビオ"))</f>
        <v>0</v>
      </c>
      <c r="C16" s="24" t="n">
        <f aca="false">IF($A16="","",SUMIFS(店舗マスタ!$G$5:$G$304,店舗マスタ!$C$5:$C$304,$A16,店舗マスタ!$E$5:$E$304,"スタジオピッコーネ／ピッコーネクラブ"))</f>
        <v>721272</v>
      </c>
      <c r="D16" s="24" t="n">
        <f aca="false">IF($A16="","",SUMIFS(店舗マスタ!$G$5:$G$304,店舗マスタ!$C$5:$C$304,$A16,店舗マスタ!$E$5:$E$304,"ピッコーネ"))</f>
        <v>0</v>
      </c>
      <c r="E16" s="24" t="n">
        <f aca="false">IF($A16="","",SUMIFS(店舗マスタ!$G$5:$G$304,店舗マスタ!$C$5:$C$304,$A16,店舗マスタ!$E$5:$E$304,"複合（アルチビオ＋ピッコーネ系）"))</f>
        <v>0</v>
      </c>
      <c r="F16" s="24" t="n">
        <f aca="false">IF($A16="","",SUM(B16:E16))</f>
        <v>721272</v>
      </c>
      <c r="G16" s="24" t="n">
        <f aca="false">IF($A16="","",SUMIFS(店舗マスタ!$H$5:$H$304,店舗マスタ!$C$5:$C$304,$A16))</f>
        <v>4200000</v>
      </c>
      <c r="H16" s="25" t="n">
        <f aca="false">IF($A16="","",IF(G16=0,"-",F16/G16))</f>
        <v>0.171731428571429</v>
      </c>
      <c r="I16" s="24" t="n">
        <f aca="false">IF($A16="","",SUMIFS(店舗マスタ!$I$5:$I$304,店舗マスタ!$C$5:$C$304,$A16))</f>
        <v>4050580</v>
      </c>
      <c r="J16" s="26" t="n">
        <f aca="false">IF($A16="","",IF(I16=0,"前年実績なし",F16/I16))</f>
        <v>0.17806635099171</v>
      </c>
    </row>
    <row r="17" customFormat="false" ht="15" hidden="false" customHeight="false" outlineLevel="0" collapsed="false">
      <c r="A17" s="24" t="str">
        <f aca="false">IFERROR(INDEX(店舗マスタ!$C$5:$C$304,MATCH(13,店舗マスタ!$O$5:$O$304,0)),"")</f>
        <v>近鉄百貨店上本町店</v>
      </c>
      <c r="B17" s="24" t="n">
        <f aca="false">IF($A17="","",SUMIFS(店舗マスタ!$G$5:$G$304,店舗マスタ!$C$5:$C$304,$A17,店舗マスタ!$E$5:$E$304,"アルチビオ"))</f>
        <v>0</v>
      </c>
      <c r="C17" s="24" t="n">
        <f aca="false">IF($A17="","",SUMIFS(店舗マスタ!$G$5:$G$304,店舗マスタ!$C$5:$C$304,$A17,店舗マスタ!$E$5:$E$304,"スタジオピッコーネ／ピッコーネクラブ"))</f>
        <v>691454</v>
      </c>
      <c r="D17" s="24" t="n">
        <f aca="false">IF($A17="","",SUMIFS(店舗マスタ!$G$5:$G$304,店舗マスタ!$C$5:$C$304,$A17,店舗マスタ!$E$5:$E$304,"ピッコーネ"))</f>
        <v>0</v>
      </c>
      <c r="E17" s="24" t="n">
        <f aca="false">IF($A17="","",SUMIFS(店舗マスタ!$G$5:$G$304,店舗マスタ!$C$5:$C$304,$A17,店舗マスタ!$E$5:$E$304,"複合（アルチビオ＋ピッコーネ系）"))</f>
        <v>0</v>
      </c>
      <c r="F17" s="24" t="n">
        <f aca="false">IF($A17="","",SUM(B17:E17))</f>
        <v>691454</v>
      </c>
      <c r="G17" s="24" t="n">
        <f aca="false">IF($A17="","",SUMIFS(店舗マスタ!$H$5:$H$304,店舗マスタ!$C$5:$C$304,$A17))</f>
        <v>3940000</v>
      </c>
      <c r="H17" s="25" t="n">
        <f aca="false">IF($A17="","",IF(G17=0,"-",F17/G17))</f>
        <v>0.175495939086294</v>
      </c>
      <c r="I17" s="24" t="n">
        <f aca="false">IF($A17="","",SUMIFS(店舗マスタ!$I$5:$I$304,店舗マスタ!$C$5:$C$304,$A17))</f>
        <v>3597695</v>
      </c>
      <c r="J17" s="26" t="n">
        <f aca="false">IF($A17="","",IF(I17=0,"前年実績なし",F17/I17))</f>
        <v>0.192193612854897</v>
      </c>
    </row>
    <row r="18" customFormat="false" ht="15" hidden="false" customHeight="false" outlineLevel="0" collapsed="false">
      <c r="A18" s="24" t="str">
        <f aca="false">IFERROR(INDEX(店舗マスタ!$C$5:$C$304,MATCH(14,店舗マスタ!$O$5:$O$304,0)),"")</f>
        <v>東武百貨店池袋店</v>
      </c>
      <c r="B18" s="24" t="n">
        <f aca="false">IF($A18="","",SUMIFS(店舗マスタ!$G$5:$G$304,店舗マスタ!$C$5:$C$304,$A18,店舗マスタ!$E$5:$E$304,"アルチビオ"))</f>
        <v>0</v>
      </c>
      <c r="C18" s="24" t="n">
        <f aca="false">IF($A18="","",SUMIFS(店舗マスタ!$G$5:$G$304,店舗マスタ!$C$5:$C$304,$A18,店舗マスタ!$E$5:$E$304,"スタジオピッコーネ／ピッコーネクラブ"))</f>
        <v>644000</v>
      </c>
      <c r="D18" s="24" t="n">
        <f aca="false">IF($A18="","",SUMIFS(店舗マスタ!$G$5:$G$304,店舗マスタ!$C$5:$C$304,$A18,店舗マスタ!$E$5:$E$304,"ピッコーネ"))</f>
        <v>0</v>
      </c>
      <c r="E18" s="24" t="n">
        <f aca="false">IF($A18="","",SUMIFS(店舗マスタ!$G$5:$G$304,店舗マスタ!$C$5:$C$304,$A18,店舗マスタ!$E$5:$E$304,"複合（アルチビオ＋ピッコーネ系）"))</f>
        <v>0</v>
      </c>
      <c r="F18" s="24" t="n">
        <f aca="false">IF($A18="","",SUM(B18:E18))</f>
        <v>644000</v>
      </c>
      <c r="G18" s="24" t="n">
        <f aca="false">IF($A18="","",SUMIFS(店舗マスタ!$H$5:$H$304,店舗マスタ!$C$5:$C$304,$A18))</f>
        <v>6700000</v>
      </c>
      <c r="H18" s="25" t="n">
        <f aca="false">IF($A18="","",IF(G18=0,"-",F18/G18))</f>
        <v>0.0961194029850746</v>
      </c>
      <c r="I18" s="24" t="n">
        <f aca="false">IF($A18="","",SUMIFS(店舗マスタ!$I$5:$I$304,店舗マスタ!$C$5:$C$304,$A18))</f>
        <v>6535150</v>
      </c>
      <c r="J18" s="26" t="n">
        <f aca="false">IF($A18="","",IF(I18=0,"前年実績なし",F18/I18))</f>
        <v>0.0985440272985318</v>
      </c>
    </row>
    <row r="19" customFormat="false" ht="15" hidden="false" customHeight="false" outlineLevel="0" collapsed="false">
      <c r="A19" s="24" t="str">
        <f aca="false">IFERROR(INDEX(店舗マスタ!$C$5:$C$304,MATCH(15,店舗マスタ!$O$5:$O$304,0)),"")</f>
        <v>高島屋京都店</v>
      </c>
      <c r="B19" s="24" t="n">
        <f aca="false">IF($A19="","",SUMIFS(店舗マスタ!$G$5:$G$304,店舗マスタ!$C$5:$C$304,$A19,店舗マスタ!$E$5:$E$304,"アルチビオ"))</f>
        <v>0</v>
      </c>
      <c r="C19" s="24" t="n">
        <f aca="false">IF($A19="","",SUMIFS(店舗マスタ!$G$5:$G$304,店舗マスタ!$C$5:$C$304,$A19,店舗マスタ!$E$5:$E$304,"スタジオピッコーネ／ピッコーネクラブ"))</f>
        <v>0</v>
      </c>
      <c r="D19" s="24" t="n">
        <f aca="false">IF($A19="","",SUMIFS(店舗マスタ!$G$5:$G$304,店舗マスタ!$C$5:$C$304,$A19,店舗マスタ!$E$5:$E$304,"ピッコーネ"))</f>
        <v>0</v>
      </c>
      <c r="E19" s="24" t="n">
        <f aca="false">IF($A19="","",SUMIFS(店舗マスタ!$G$5:$G$304,店舗マスタ!$C$5:$C$304,$A19,店舗マスタ!$E$5:$E$304,"複合（アルチビオ＋ピッコーネ系）"))</f>
        <v>597712</v>
      </c>
      <c r="F19" s="24" t="n">
        <f aca="false">IF($A19="","",SUM(B19:E19))</f>
        <v>597712</v>
      </c>
      <c r="G19" s="24" t="n">
        <f aca="false">IF($A19="","",SUMIFS(店舗マスタ!$H$5:$H$304,店舗マスタ!$C$5:$C$304,$A19))</f>
        <v>4687000</v>
      </c>
      <c r="H19" s="25" t="n">
        <f aca="false">IF($A19="","",IF(G19=0,"-",F19/G19))</f>
        <v>0.127525496052912</v>
      </c>
      <c r="I19" s="24" t="n">
        <f aca="false">IF($A19="","",SUMIFS(店舗マスタ!$I$5:$I$304,店舗マスタ!$C$5:$C$304,$A19))</f>
        <v>3376895</v>
      </c>
      <c r="J19" s="26" t="n">
        <f aca="false">IF($A19="","",IF(I19=0,"前年実績なし",F19/I19))</f>
        <v>0.177000469366089</v>
      </c>
    </row>
    <row r="20" customFormat="false" ht="15" hidden="false" customHeight="false" outlineLevel="0" collapsed="false">
      <c r="A20" s="24" t="str">
        <f aca="false">IFERROR(INDEX(店舗マスタ!$C$5:$C$304,MATCH(16,店舗マスタ!$O$5:$O$304,0)),"")</f>
        <v>大丸福岡天神店</v>
      </c>
      <c r="B20" s="24" t="n">
        <f aca="false">IF($A20="","",SUMIFS(店舗マスタ!$G$5:$G$304,店舗マスタ!$C$5:$C$304,$A20,店舗マスタ!$E$5:$E$304,"アルチビオ"))</f>
        <v>0</v>
      </c>
      <c r="C20" s="24" t="n">
        <f aca="false">IF($A20="","",SUMIFS(店舗マスタ!$G$5:$G$304,店舗マスタ!$C$5:$C$304,$A20,店舗マスタ!$E$5:$E$304,"スタジオピッコーネ／ピッコーネクラブ"))</f>
        <v>521900</v>
      </c>
      <c r="D20" s="24" t="n">
        <f aca="false">IF($A20="","",SUMIFS(店舗マスタ!$G$5:$G$304,店舗マスタ!$C$5:$C$304,$A20,店舗マスタ!$E$5:$E$304,"ピッコーネ"))</f>
        <v>0</v>
      </c>
      <c r="E20" s="24" t="n">
        <f aca="false">IF($A20="","",SUMIFS(店舗マスタ!$G$5:$G$304,店舗マスタ!$C$5:$C$304,$A20,店舗マスタ!$E$5:$E$304,"複合（アルチビオ＋ピッコーネ系）"))</f>
        <v>0</v>
      </c>
      <c r="F20" s="24" t="n">
        <f aca="false">IF($A20="","",SUM(B20:E20))</f>
        <v>521900</v>
      </c>
      <c r="G20" s="24" t="n">
        <f aca="false">IF($A20="","",SUMIFS(店舗マスタ!$H$5:$H$304,店舗マスタ!$C$5:$C$304,$A20))</f>
        <v>2830000</v>
      </c>
      <c r="H20" s="25" t="n">
        <f aca="false">IF($A20="","",IF(G20=0,"-",F20/G20))</f>
        <v>0.184416961130742</v>
      </c>
      <c r="I20" s="24" t="n">
        <f aca="false">IF($A20="","",SUMIFS(店舗マスタ!$I$5:$I$304,店舗マスタ!$C$5:$C$304,$A20))</f>
        <v>2230000</v>
      </c>
      <c r="J20" s="26" t="n">
        <f aca="false">IF($A20="","",IF(I20=0,"前年実績なし",F20/I20))</f>
        <v>0.234035874439462</v>
      </c>
    </row>
    <row r="21" customFormat="false" ht="15" hidden="false" customHeight="false" outlineLevel="0" collapsed="false">
      <c r="A21" s="24" t="str">
        <f aca="false">IFERROR(INDEX(店舗マスタ!$C$5:$C$304,MATCH(17,店舗マスタ!$O$5:$O$304,0)),"")</f>
        <v>ながの東急百貨店</v>
      </c>
      <c r="B21" s="24" t="n">
        <f aca="false">IF($A21="","",SUMIFS(店舗マスタ!$G$5:$G$304,店舗マスタ!$C$5:$C$304,$A21,店舗マスタ!$E$5:$E$304,"アルチビオ"))</f>
        <v>0</v>
      </c>
      <c r="C21" s="24" t="n">
        <f aca="false">IF($A21="","",SUMIFS(店舗マスタ!$G$5:$G$304,店舗マスタ!$C$5:$C$304,$A21,店舗マスタ!$E$5:$E$304,"スタジオピッコーネ／ピッコーネクラブ"))</f>
        <v>512090</v>
      </c>
      <c r="D21" s="24" t="n">
        <f aca="false">IF($A21="","",SUMIFS(店舗マスタ!$G$5:$G$304,店舗マスタ!$C$5:$C$304,$A21,店舗マスタ!$E$5:$E$304,"ピッコーネ"))</f>
        <v>0</v>
      </c>
      <c r="E21" s="24" t="n">
        <f aca="false">IF($A21="","",SUMIFS(店舗マスタ!$G$5:$G$304,店舗マスタ!$C$5:$C$304,$A21,店舗マスタ!$E$5:$E$304,"複合（アルチビオ＋ピッコーネ系）"))</f>
        <v>0</v>
      </c>
      <c r="F21" s="24" t="n">
        <f aca="false">IF($A21="","",SUM(B21:E21))</f>
        <v>512090</v>
      </c>
      <c r="G21" s="24" t="n">
        <f aca="false">IF($A21="","",SUMIFS(店舗マスタ!$H$5:$H$304,店舗マスタ!$C$5:$C$304,$A21))</f>
        <v>4100000</v>
      </c>
      <c r="H21" s="25" t="n">
        <f aca="false">IF($A21="","",IF(G21=0,"-",F21/G21))</f>
        <v>0.1249</v>
      </c>
      <c r="I21" s="24" t="n">
        <f aca="false">IF($A21="","",SUMIFS(店舗マスタ!$I$5:$I$304,店舗マスタ!$C$5:$C$304,$A21))</f>
        <v>4075700</v>
      </c>
      <c r="J21" s="26" t="n">
        <f aca="false">IF($A21="","",IF(I21=0,"前年実績なし",F21/I21))</f>
        <v>0.125644674534436</v>
      </c>
    </row>
    <row r="22" customFormat="false" ht="15" hidden="false" customHeight="false" outlineLevel="0" collapsed="false">
      <c r="A22" s="24" t="str">
        <f aca="false">IFERROR(INDEX(店舗マスタ!$C$5:$C$304,MATCH(18,店舗マスタ!$O$5:$O$304,0)),"")</f>
        <v>広島三越店</v>
      </c>
      <c r="B22" s="24" t="n">
        <f aca="false">IF($A22="","",SUMIFS(店舗マスタ!$G$5:$G$304,店舗マスタ!$C$5:$C$304,$A22,店舗マスタ!$E$5:$E$304,"アルチビオ"))</f>
        <v>0</v>
      </c>
      <c r="C22" s="24" t="n">
        <f aca="false">IF($A22="","",SUMIFS(店舗マスタ!$G$5:$G$304,店舗マスタ!$C$5:$C$304,$A22,店舗マスタ!$E$5:$E$304,"スタジオピッコーネ／ピッコーネクラブ"))</f>
        <v>507400</v>
      </c>
      <c r="D22" s="24" t="n">
        <f aca="false">IF($A22="","",SUMIFS(店舗マスタ!$G$5:$G$304,店舗マスタ!$C$5:$C$304,$A22,店舗マスタ!$E$5:$E$304,"ピッコーネ"))</f>
        <v>0</v>
      </c>
      <c r="E22" s="24" t="n">
        <f aca="false">IF($A22="","",SUMIFS(店舗マスタ!$G$5:$G$304,店舗マスタ!$C$5:$C$304,$A22,店舗マスタ!$E$5:$E$304,"複合（アルチビオ＋ピッコーネ系）"))</f>
        <v>0</v>
      </c>
      <c r="F22" s="24" t="n">
        <f aca="false">IF($A22="","",SUM(B22:E22))</f>
        <v>507400</v>
      </c>
      <c r="G22" s="24" t="n">
        <f aca="false">IF($A22="","",SUMIFS(店舗マスタ!$H$5:$H$304,店舗マスタ!$C$5:$C$304,$A22))</f>
        <v>2600000</v>
      </c>
      <c r="H22" s="25" t="n">
        <f aca="false">IF($A22="","",IF(G22=0,"-",F22/G22))</f>
        <v>0.195153846153846</v>
      </c>
      <c r="I22" s="24" t="n">
        <f aca="false">IF($A22="","",SUMIFS(店舗マスタ!$I$5:$I$304,店舗マスタ!$C$5:$C$304,$A22))</f>
        <v>1796500</v>
      </c>
      <c r="J22" s="26" t="n">
        <f aca="false">IF($A22="","",IF(I22=0,"前年実績なし",F22/I22))</f>
        <v>0.282438074032842</v>
      </c>
    </row>
    <row r="23" customFormat="false" ht="15" hidden="false" customHeight="false" outlineLevel="0" collapsed="false">
      <c r="A23" s="24" t="str">
        <f aca="false">IFERROR(INDEX(店舗マスタ!$C$5:$C$304,MATCH(19,店舗マスタ!$O$5:$O$304,0)),"")</f>
        <v>松坂屋上野店</v>
      </c>
      <c r="B23" s="24" t="n">
        <f aca="false">IF($A23="","",SUMIFS(店舗マスタ!$G$5:$G$304,店舗マスタ!$C$5:$C$304,$A23,店舗マスタ!$E$5:$E$304,"アルチビオ"))</f>
        <v>0</v>
      </c>
      <c r="C23" s="24" t="n">
        <f aca="false">IF($A23="","",SUMIFS(店舗マスタ!$G$5:$G$304,店舗マスタ!$C$5:$C$304,$A23,店舗マスタ!$E$5:$E$304,"スタジオピッコーネ／ピッコーネクラブ"))</f>
        <v>492100</v>
      </c>
      <c r="D23" s="24" t="n">
        <f aca="false">IF($A23="","",SUMIFS(店舗マスタ!$G$5:$G$304,店舗マスタ!$C$5:$C$304,$A23,店舗マスタ!$E$5:$E$304,"ピッコーネ"))</f>
        <v>0</v>
      </c>
      <c r="E23" s="24" t="n">
        <f aca="false">IF($A23="","",SUMIFS(店舗マスタ!$G$5:$G$304,店舗マスタ!$C$5:$C$304,$A23,店舗マスタ!$E$5:$E$304,"複合（アルチビオ＋ピッコーネ系）"))</f>
        <v>0</v>
      </c>
      <c r="F23" s="24" t="n">
        <f aca="false">IF($A23="","",SUM(B23:E23))</f>
        <v>492100</v>
      </c>
      <c r="G23" s="24" t="n">
        <f aca="false">IF($A23="","",SUMIFS(店舗マスタ!$H$5:$H$304,店舗マスタ!$C$5:$C$304,$A23))</f>
        <v>2900000</v>
      </c>
      <c r="H23" s="25" t="n">
        <f aca="false">IF($A23="","",IF(G23=0,"-",F23/G23))</f>
        <v>0.169689655172414</v>
      </c>
      <c r="I23" s="24" t="n">
        <f aca="false">IF($A23="","",SUMIFS(店舗マスタ!$I$5:$I$304,店舗マスタ!$C$5:$C$304,$A23))</f>
        <v>2327950</v>
      </c>
      <c r="J23" s="26" t="n">
        <f aca="false">IF($A23="","",IF(I23=0,"前年実績なし",F23/I23))</f>
        <v>0.211387701625894</v>
      </c>
    </row>
    <row r="24" customFormat="false" ht="15" hidden="false" customHeight="false" outlineLevel="0" collapsed="false">
      <c r="A24" s="24" t="str">
        <f aca="false">IFERROR(INDEX(店舗マスタ!$C$5:$C$304,MATCH(20,店舗マスタ!$O$5:$O$304,0)),"")</f>
        <v>東武宇都宮百貨店</v>
      </c>
      <c r="B24" s="24" t="n">
        <f aca="false">IF($A24="","",SUMIFS(店舗マスタ!$G$5:$G$304,店舗マスタ!$C$5:$C$304,$A24,店舗マスタ!$E$5:$E$304,"アルチビオ"))</f>
        <v>0</v>
      </c>
      <c r="C24" s="24" t="n">
        <f aca="false">IF($A24="","",SUMIFS(店舗マスタ!$G$5:$G$304,店舗マスタ!$C$5:$C$304,$A24,店舗マスタ!$E$5:$E$304,"スタジオピッコーネ／ピッコーネクラブ"))</f>
        <v>419700</v>
      </c>
      <c r="D24" s="24" t="n">
        <f aca="false">IF($A24="","",SUMIFS(店舗マスタ!$G$5:$G$304,店舗マスタ!$C$5:$C$304,$A24,店舗マスタ!$E$5:$E$304,"ピッコーネ"))</f>
        <v>0</v>
      </c>
      <c r="E24" s="24" t="n">
        <f aca="false">IF($A24="","",SUMIFS(店舗マスタ!$G$5:$G$304,店舗マスタ!$C$5:$C$304,$A24,店舗マスタ!$E$5:$E$304,"複合（アルチビオ＋ピッコーネ系）"))</f>
        <v>0</v>
      </c>
      <c r="F24" s="24" t="n">
        <f aca="false">IF($A24="","",SUM(B24:E24))</f>
        <v>419700</v>
      </c>
      <c r="G24" s="24" t="n">
        <f aca="false">IF($A24="","",SUMIFS(店舗マスタ!$H$5:$H$304,店舗マスタ!$C$5:$C$304,$A24))</f>
        <v>2100000</v>
      </c>
      <c r="H24" s="25" t="n">
        <f aca="false">IF($A24="","",IF(G24=0,"-",F24/G24))</f>
        <v>0.199857142857143</v>
      </c>
      <c r="I24" s="24" t="n">
        <f aca="false">IF($A24="","",SUMIFS(店舗マスタ!$I$5:$I$304,店舗マスタ!$C$5:$C$304,$A24))</f>
        <v>1953490</v>
      </c>
      <c r="J24" s="26" t="n">
        <f aca="false">IF($A24="","",IF(I24=0,"前年実績なし",F24/I24))</f>
        <v>0.214846249532887</v>
      </c>
    </row>
    <row r="25" customFormat="false" ht="15" hidden="false" customHeight="false" outlineLevel="0" collapsed="false">
      <c r="A25" s="24" t="str">
        <f aca="false">IFERROR(INDEX(店舗マスタ!$C$5:$C$304,MATCH(21,店舗マスタ!$O$5:$O$304,0)),"")</f>
        <v>伊勢丹立川店</v>
      </c>
      <c r="B25" s="24" t="n">
        <f aca="false">IF($A25="","",SUMIFS(店舗マスタ!$G$5:$G$304,店舗マスタ!$C$5:$C$304,$A25,店舗マスタ!$E$5:$E$304,"アルチビオ"))</f>
        <v>0</v>
      </c>
      <c r="C25" s="24" t="n">
        <f aca="false">IF($A25="","",SUMIFS(店舗マスタ!$G$5:$G$304,店舗マスタ!$C$5:$C$304,$A25,店舗マスタ!$E$5:$E$304,"スタジオピッコーネ／ピッコーネクラブ"))</f>
        <v>414000</v>
      </c>
      <c r="D25" s="24" t="n">
        <f aca="false">IF($A25="","",SUMIFS(店舗マスタ!$G$5:$G$304,店舗マスタ!$C$5:$C$304,$A25,店舗マスタ!$E$5:$E$304,"ピッコーネ"))</f>
        <v>0</v>
      </c>
      <c r="E25" s="24" t="n">
        <f aca="false">IF($A25="","",SUMIFS(店舗マスタ!$G$5:$G$304,店舗マスタ!$C$5:$C$304,$A25,店舗マスタ!$E$5:$E$304,"複合（アルチビオ＋ピッコーネ系）"))</f>
        <v>0</v>
      </c>
      <c r="F25" s="24" t="n">
        <f aca="false">IF($A25="","",SUM(B25:E25))</f>
        <v>414000</v>
      </c>
      <c r="G25" s="24" t="n">
        <f aca="false">IF($A25="","",SUMIFS(店舗マスタ!$H$5:$H$304,店舗マスタ!$C$5:$C$304,$A25))</f>
        <v>2650000</v>
      </c>
      <c r="H25" s="25" t="n">
        <f aca="false">IF($A25="","",IF(G25=0,"-",F25/G25))</f>
        <v>0.15622641509434</v>
      </c>
      <c r="I25" s="24" t="n">
        <f aca="false">IF($A25="","",SUMIFS(店舗マスタ!$I$5:$I$304,店舗マスタ!$C$5:$C$304,$A25))</f>
        <v>2438700</v>
      </c>
      <c r="J25" s="26" t="n">
        <f aca="false">IF($A25="","",IF(I25=0,"前年実績なし",F25/I25))</f>
        <v>0.16976257842293</v>
      </c>
    </row>
    <row r="26" customFormat="false" ht="15" hidden="false" customHeight="false" outlineLevel="0" collapsed="false">
      <c r="A26" s="24" t="str">
        <f aca="false">IFERROR(INDEX(店舗マスタ!$C$5:$C$304,MATCH(22,店舗マスタ!$O$5:$O$304,0)),"")</f>
        <v>東急百貨店たまプラーザ店</v>
      </c>
      <c r="B26" s="24" t="n">
        <f aca="false">IF($A26="","",SUMIFS(店舗マスタ!$G$5:$G$304,店舗マスタ!$C$5:$C$304,$A26,店舗マスタ!$E$5:$E$304,"アルチビオ"))</f>
        <v>0</v>
      </c>
      <c r="C26" s="24" t="n">
        <f aca="false">IF($A26="","",SUMIFS(店舗マスタ!$G$5:$G$304,店舗マスタ!$C$5:$C$304,$A26,店舗マスタ!$E$5:$E$304,"スタジオピッコーネ／ピッコーネクラブ"))</f>
        <v>0</v>
      </c>
      <c r="D26" s="24" t="n">
        <f aca="false">IF($A26="","",SUMIFS(店舗マスタ!$G$5:$G$304,店舗マスタ!$C$5:$C$304,$A26,店舗マスタ!$E$5:$E$304,"ピッコーネ"))</f>
        <v>413000</v>
      </c>
      <c r="E26" s="24" t="n">
        <f aca="false">IF($A26="","",SUMIFS(店舗マスタ!$G$5:$G$304,店舗マスタ!$C$5:$C$304,$A26,店舗マスタ!$E$5:$E$304,"複合（アルチビオ＋ピッコーネ系）"))</f>
        <v>0</v>
      </c>
      <c r="F26" s="24" t="n">
        <f aca="false">IF($A26="","",SUM(B26:E26))</f>
        <v>413000</v>
      </c>
      <c r="G26" s="24" t="n">
        <f aca="false">IF($A26="","",SUMIFS(店舗マスタ!$H$5:$H$304,店舗マスタ!$C$5:$C$304,$A26))</f>
        <v>3650000</v>
      </c>
      <c r="H26" s="25" t="n">
        <f aca="false">IF($A26="","",IF(G26=0,"-",F26/G26))</f>
        <v>0.113150684931507</v>
      </c>
      <c r="I26" s="24" t="n">
        <f aca="false">IF($A26="","",SUMIFS(店舗マスタ!$I$5:$I$304,店舗マスタ!$C$5:$C$304,$A26))</f>
        <v>3418600</v>
      </c>
      <c r="J26" s="26" t="n">
        <f aca="false">IF($A26="","",IF(I26=0,"前年実績なし",F26/I26))</f>
        <v>0.120809688176447</v>
      </c>
    </row>
    <row r="27" customFormat="false" ht="15" hidden="false" customHeight="false" outlineLevel="0" collapsed="false">
      <c r="A27" s="24" t="str">
        <f aca="false">IFERROR(INDEX(店舗マスタ!$C$5:$C$304,MATCH(23,店舗マスタ!$O$5:$O$304,0)),"")</f>
        <v>西宮阪急店</v>
      </c>
      <c r="B27" s="24" t="n">
        <f aca="false">IF($A27="","",SUMIFS(店舗マスタ!$G$5:$G$304,店舗マスタ!$C$5:$C$304,$A27,店舗マスタ!$E$5:$E$304,"アルチビオ"))</f>
        <v>0</v>
      </c>
      <c r="C27" s="24" t="n">
        <f aca="false">IF($A27="","",SUMIFS(店舗マスタ!$G$5:$G$304,店舗マスタ!$C$5:$C$304,$A27,店舗マスタ!$E$5:$E$304,"スタジオピッコーネ／ピッコーネクラブ"))</f>
        <v>0</v>
      </c>
      <c r="D27" s="24" t="n">
        <f aca="false">IF($A27="","",SUMIFS(店舗マスタ!$G$5:$G$304,店舗マスタ!$C$5:$C$304,$A27,店舗マスタ!$E$5:$E$304,"ピッコーネ"))</f>
        <v>0</v>
      </c>
      <c r="E27" s="24" t="n">
        <f aca="false">IF($A27="","",SUMIFS(店舗マスタ!$G$5:$G$304,店舗マスタ!$C$5:$C$304,$A27,店舗マスタ!$E$5:$E$304,"複合（アルチビオ＋ピッコーネ系）"))</f>
        <v>320226</v>
      </c>
      <c r="F27" s="24" t="n">
        <f aca="false">IF($A27="","",SUM(B27:E27))</f>
        <v>320226</v>
      </c>
      <c r="G27" s="24" t="n">
        <f aca="false">IF($A27="","",SUMIFS(店舗マスタ!$H$5:$H$304,店舗マスタ!$C$5:$C$304,$A27))</f>
        <v>4172000</v>
      </c>
      <c r="H27" s="25" t="n">
        <f aca="false">IF($A27="","",IF(G27=0,"-",F27/G27))</f>
        <v>0.0767559923298178</v>
      </c>
      <c r="I27" s="24" t="n">
        <f aca="false">IF($A27="","",SUMIFS(店舗マスタ!$I$5:$I$304,店舗マスタ!$C$5:$C$304,$A27))</f>
        <v>2813375</v>
      </c>
      <c r="J27" s="26" t="n">
        <f aca="false">IF($A27="","",IF(I27=0,"前年実績なし",F27/I27))</f>
        <v>0.113822721819878</v>
      </c>
    </row>
    <row r="28" customFormat="false" ht="15" hidden="false" customHeight="false" outlineLevel="0" collapsed="false">
      <c r="A28" s="24" t="str">
        <f aca="false">IFERROR(INDEX(店舗マスタ!$C$5:$C$304,MATCH(24,店舗マスタ!$O$5:$O$304,0)),"")</f>
        <v>近鉄百貨店和歌山店</v>
      </c>
      <c r="B28" s="24" t="n">
        <f aca="false">IF($A28="","",SUMIFS(店舗マスタ!$G$5:$G$304,店舗マスタ!$C$5:$C$304,$A28,店舗マスタ!$E$5:$E$304,"アルチビオ"))</f>
        <v>0</v>
      </c>
      <c r="C28" s="24" t="n">
        <f aca="false">IF($A28="","",SUMIFS(店舗マスタ!$G$5:$G$304,店舗マスタ!$C$5:$C$304,$A28,店舗マスタ!$E$5:$E$304,"スタジオピッコーネ／ピッコーネクラブ"))</f>
        <v>315700</v>
      </c>
      <c r="D28" s="24" t="n">
        <f aca="false">IF($A28="","",SUMIFS(店舗マスタ!$G$5:$G$304,店舗マスタ!$C$5:$C$304,$A28,店舗マスタ!$E$5:$E$304,"ピッコーネ"))</f>
        <v>0</v>
      </c>
      <c r="E28" s="24" t="n">
        <f aca="false">IF($A28="","",SUMIFS(店舗マスタ!$G$5:$G$304,店舗マスタ!$C$5:$C$304,$A28,店舗マスタ!$E$5:$E$304,"複合（アルチビオ＋ピッコーネ系）"))</f>
        <v>0</v>
      </c>
      <c r="F28" s="24" t="n">
        <f aca="false">IF($A28="","",SUM(B28:E28))</f>
        <v>315700</v>
      </c>
      <c r="G28" s="24" t="n">
        <f aca="false">IF($A28="","",SUMIFS(店舗マスタ!$H$5:$H$304,店舗マスタ!$C$5:$C$304,$A28))</f>
        <v>2280000</v>
      </c>
      <c r="H28" s="25" t="n">
        <f aca="false">IF($A28="","",IF(G28=0,"-",F28/G28))</f>
        <v>0.138464912280702</v>
      </c>
      <c r="I28" s="24" t="n">
        <f aca="false">IF($A28="","",SUMIFS(店舗マスタ!$I$5:$I$304,店舗マスタ!$C$5:$C$304,$A28))</f>
        <v>2014530</v>
      </c>
      <c r="J28" s="26" t="n">
        <f aca="false">IF($A28="","",IF(I28=0,"前年実績なし",F28/I28))</f>
        <v>0.156711491017756</v>
      </c>
    </row>
    <row r="29" customFormat="false" ht="15" hidden="false" customHeight="false" outlineLevel="0" collapsed="false">
      <c r="A29" s="24" t="str">
        <f aca="false">IFERROR(INDEX(店舗マスタ!$C$5:$C$304,MATCH(25,店舗マスタ!$O$5:$O$304,0)),"")</f>
        <v>近鉄百貨店橿原店</v>
      </c>
      <c r="B29" s="24" t="n">
        <f aca="false">IF($A29="","",SUMIFS(店舗マスタ!$G$5:$G$304,店舗マスタ!$C$5:$C$304,$A29,店舗マスタ!$E$5:$E$304,"アルチビオ"))</f>
        <v>0</v>
      </c>
      <c r="C29" s="24" t="n">
        <f aca="false">IF($A29="","",SUMIFS(店舗マスタ!$G$5:$G$304,店舗マスタ!$C$5:$C$304,$A29,店舗マスタ!$E$5:$E$304,"スタジオピッコーネ／ピッコーネクラブ"))</f>
        <v>313800</v>
      </c>
      <c r="D29" s="24" t="n">
        <f aca="false">IF($A29="","",SUMIFS(店舗マスタ!$G$5:$G$304,店舗マスタ!$C$5:$C$304,$A29,店舗マスタ!$E$5:$E$304,"ピッコーネ"))</f>
        <v>0</v>
      </c>
      <c r="E29" s="24" t="n">
        <f aca="false">IF($A29="","",SUMIFS(店舗マスタ!$G$5:$G$304,店舗マスタ!$C$5:$C$304,$A29,店舗マスタ!$E$5:$E$304,"複合（アルチビオ＋ピッコーネ系）"))</f>
        <v>0</v>
      </c>
      <c r="F29" s="24" t="n">
        <f aca="false">IF($A29="","",SUM(B29:E29))</f>
        <v>313800</v>
      </c>
      <c r="G29" s="24" t="n">
        <f aca="false">IF($A29="","",SUMIFS(店舗マスタ!$H$5:$H$304,店舗マスタ!$C$5:$C$304,$A29))</f>
        <v>2600000</v>
      </c>
      <c r="H29" s="25" t="n">
        <f aca="false">IF($A29="","",IF(G29=0,"-",F29/G29))</f>
        <v>0.120692307692308</v>
      </c>
      <c r="I29" s="24" t="n">
        <f aca="false">IF($A29="","",SUMIFS(店舗マスタ!$I$5:$I$304,店舗マスタ!$C$5:$C$304,$A29))</f>
        <v>2629520</v>
      </c>
      <c r="J29" s="26" t="n">
        <f aca="false">IF($A29="","",IF(I29=0,"前年実績なし",F29/I29))</f>
        <v>0.119337369557942</v>
      </c>
    </row>
    <row r="30" customFormat="false" ht="15" hidden="false" customHeight="false" outlineLevel="0" collapsed="false">
      <c r="A30" s="24" t="str">
        <f aca="false">IFERROR(INDEX(店舗マスタ!$C$5:$C$304,MATCH(26,店舗マスタ!$O$5:$O$304,0)),"")</f>
        <v>近鉄百貨店奈良店</v>
      </c>
      <c r="B30" s="24" t="n">
        <f aca="false">IF($A30="","",SUMIFS(店舗マスタ!$G$5:$G$304,店舗マスタ!$C$5:$C$304,$A30,店舗マスタ!$E$5:$E$304,"アルチビオ"))</f>
        <v>0</v>
      </c>
      <c r="C30" s="24" t="n">
        <f aca="false">IF($A30="","",SUMIFS(店舗マスタ!$G$5:$G$304,店舗マスタ!$C$5:$C$304,$A30,店舗マスタ!$E$5:$E$304,"スタジオピッコーネ／ピッコーネクラブ"))</f>
        <v>304800</v>
      </c>
      <c r="D30" s="24" t="n">
        <f aca="false">IF($A30="","",SUMIFS(店舗マスタ!$G$5:$G$304,店舗マスタ!$C$5:$C$304,$A30,店舗マスタ!$E$5:$E$304,"ピッコーネ"))</f>
        <v>0</v>
      </c>
      <c r="E30" s="24" t="n">
        <f aca="false">IF($A30="","",SUMIFS(店舗マスタ!$G$5:$G$304,店舗マスタ!$C$5:$C$304,$A30,店舗マスタ!$E$5:$E$304,"複合（アルチビオ＋ピッコーネ系）"))</f>
        <v>0</v>
      </c>
      <c r="F30" s="24" t="n">
        <f aca="false">IF($A30="","",SUM(B30:E30))</f>
        <v>304800</v>
      </c>
      <c r="G30" s="24" t="n">
        <f aca="false">IF($A30="","",SUMIFS(店舗マスタ!$H$5:$H$304,店舗マスタ!$C$5:$C$304,$A30))</f>
        <v>3050000</v>
      </c>
      <c r="H30" s="25" t="n">
        <f aca="false">IF($A30="","",IF(G30=0,"-",F30/G30))</f>
        <v>0.0999344262295082</v>
      </c>
      <c r="I30" s="24" t="n">
        <f aca="false">IF($A30="","",SUMIFS(店舗マスタ!$I$5:$I$304,店舗マスタ!$C$5:$C$304,$A30))</f>
        <v>3027600</v>
      </c>
      <c r="J30" s="26" t="n">
        <f aca="false">IF($A30="","",IF(I30=0,"前年実績なし",F30/I30))</f>
        <v>0.100673801030519</v>
      </c>
    </row>
    <row r="31" customFormat="false" ht="15" hidden="false" customHeight="false" outlineLevel="0" collapsed="false">
      <c r="A31" s="24" t="str">
        <f aca="false">IFERROR(INDEX(店舗マスタ!$C$5:$C$304,MATCH(27,店舗マスタ!$O$5:$O$304,0)),"")</f>
        <v>ラポルテ芦屋店</v>
      </c>
      <c r="B31" s="24" t="n">
        <f aca="false">IF($A31="","",SUMIFS(店舗マスタ!$G$5:$G$304,店舗マスタ!$C$5:$C$304,$A31,店舗マスタ!$E$5:$E$304,"アルチビオ"))</f>
        <v>0</v>
      </c>
      <c r="C31" s="24" t="n">
        <f aca="false">IF($A31="","",SUMIFS(店舗マスタ!$G$5:$G$304,店舗マスタ!$C$5:$C$304,$A31,店舗マスタ!$E$5:$E$304,"スタジオピッコーネ／ピッコーネクラブ"))</f>
        <v>0</v>
      </c>
      <c r="D31" s="24" t="n">
        <f aca="false">IF($A31="","",SUMIFS(店舗マスタ!$G$5:$G$304,店舗マスタ!$C$5:$C$304,$A31,店舗マスタ!$E$5:$E$304,"ピッコーネ"))</f>
        <v>263871</v>
      </c>
      <c r="E31" s="24" t="n">
        <f aca="false">IF($A31="","",SUMIFS(店舗マスタ!$G$5:$G$304,店舗マスタ!$C$5:$C$304,$A31,店舗マスタ!$E$5:$E$304,"複合（アルチビオ＋ピッコーネ系）"))</f>
        <v>0</v>
      </c>
      <c r="F31" s="24" t="n">
        <f aca="false">IF($A31="","",SUM(B31:E31))</f>
        <v>263871</v>
      </c>
      <c r="G31" s="24" t="n">
        <f aca="false">IF($A31="","",SUMIFS(店舗マスタ!$H$5:$H$304,店舗マスタ!$C$5:$C$304,$A31))</f>
        <v>3130000</v>
      </c>
      <c r="H31" s="25" t="n">
        <f aca="false">IF($A31="","",IF(G31=0,"-",F31/G31))</f>
        <v>0.0843038338658147</v>
      </c>
      <c r="I31" s="24" t="n">
        <f aca="false">IF($A31="","",SUMIFS(店舗マスタ!$I$5:$I$304,店舗マスタ!$C$5:$C$304,$A31))</f>
        <v>2850123</v>
      </c>
      <c r="J31" s="26" t="n">
        <f aca="false">IF($A31="","",IF(I31=0,"前年実績なし",F31/I31))</f>
        <v>0.092582320131447</v>
      </c>
    </row>
    <row r="32" customFormat="false" ht="15" hidden="false" customHeight="false" outlineLevel="0" collapsed="false">
      <c r="A32" s="24" t="str">
        <f aca="false">IFERROR(INDEX(店舗マスタ!$C$5:$C$304,MATCH(28,店舗マスタ!$O$5:$O$304,0)),"")</f>
        <v>仙台三越</v>
      </c>
      <c r="B32" s="24" t="n">
        <f aca="false">IF($A32="","",SUMIFS(店舗マスタ!$G$5:$G$304,店舗マスタ!$C$5:$C$304,$A32,店舗マスタ!$E$5:$E$304,"アルチビオ"))</f>
        <v>0</v>
      </c>
      <c r="C32" s="24" t="n">
        <f aca="false">IF($A32="","",SUMIFS(店舗マスタ!$G$5:$G$304,店舗マスタ!$C$5:$C$304,$A32,店舗マスタ!$E$5:$E$304,"スタジオピッコーネ／ピッコーネクラブ"))</f>
        <v>255700</v>
      </c>
      <c r="D32" s="24" t="n">
        <f aca="false">IF($A32="","",SUMIFS(店舗マスタ!$G$5:$G$304,店舗マスタ!$C$5:$C$304,$A32,店舗マスタ!$E$5:$E$304,"ピッコーネ"))</f>
        <v>0</v>
      </c>
      <c r="E32" s="24" t="n">
        <f aca="false">IF($A32="","",SUMIFS(店舗マスタ!$G$5:$G$304,店舗マスタ!$C$5:$C$304,$A32,店舗マスタ!$E$5:$E$304,"複合（アルチビオ＋ピッコーネ系）"))</f>
        <v>0</v>
      </c>
      <c r="F32" s="24" t="n">
        <f aca="false">IF($A32="","",SUM(B32:E32))</f>
        <v>255700</v>
      </c>
      <c r="G32" s="24" t="n">
        <f aca="false">IF($A32="","",SUMIFS(店舗マスタ!$H$5:$H$304,店舗マスタ!$C$5:$C$304,$A32))</f>
        <v>1900000</v>
      </c>
      <c r="H32" s="25" t="n">
        <f aca="false">IF($A32="","",IF(G32=0,"-",F32/G32))</f>
        <v>0.134578947368421</v>
      </c>
      <c r="I32" s="24" t="n">
        <f aca="false">IF($A32="","",SUMIFS(店舗マスタ!$I$5:$I$304,店舗マスタ!$C$5:$C$304,$A32))</f>
        <v>1610700</v>
      </c>
      <c r="J32" s="26" t="n">
        <f aca="false">IF($A32="","",IF(I32=0,"前年実績なし",F32/I32))</f>
        <v>0.158750853666108</v>
      </c>
    </row>
    <row r="33" customFormat="false" ht="15" hidden="false" customHeight="false" outlineLevel="0" collapsed="false">
      <c r="A33" s="24" t="str">
        <f aca="false">IFERROR(INDEX(店舗マスタ!$C$5:$C$304,MATCH(29,店舗マスタ!$O$5:$O$304,0)),"")</f>
        <v>静岡伊勢丹</v>
      </c>
      <c r="B33" s="24" t="n">
        <f aca="false">IF($A33="","",SUMIFS(店舗マスタ!$G$5:$G$304,店舗マスタ!$C$5:$C$304,$A33,店舗マスタ!$E$5:$E$304,"アルチビオ"))</f>
        <v>0</v>
      </c>
      <c r="C33" s="24" t="n">
        <f aca="false">IF($A33="","",SUMIFS(店舗マスタ!$G$5:$G$304,店舗マスタ!$C$5:$C$304,$A33,店舗マスタ!$E$5:$E$304,"スタジオピッコーネ／ピッコーネクラブ"))</f>
        <v>241380</v>
      </c>
      <c r="D33" s="24" t="n">
        <f aca="false">IF($A33="","",SUMIFS(店舗マスタ!$G$5:$G$304,店舗マスタ!$C$5:$C$304,$A33,店舗マスタ!$E$5:$E$304,"ピッコーネ"))</f>
        <v>0</v>
      </c>
      <c r="E33" s="24" t="n">
        <f aca="false">IF($A33="","",SUMIFS(店舗マスタ!$G$5:$G$304,店舗マスタ!$C$5:$C$304,$A33,店舗マスタ!$E$5:$E$304,"複合（アルチビオ＋ピッコーネ系）"))</f>
        <v>0</v>
      </c>
      <c r="F33" s="24" t="n">
        <f aca="false">IF($A33="","",SUM(B33:E33))</f>
        <v>241380</v>
      </c>
      <c r="G33" s="24" t="n">
        <f aca="false">IF($A33="","",SUMIFS(店舗マスタ!$H$5:$H$304,店舗マスタ!$C$5:$C$304,$A33))</f>
        <v>1250000</v>
      </c>
      <c r="H33" s="25" t="n">
        <f aca="false">IF($A33="","",IF(G33=0,"-",F33/G33))</f>
        <v>0.193104</v>
      </c>
      <c r="I33" s="24" t="n">
        <f aca="false">IF($A33="","",SUMIFS(店舗マスタ!$I$5:$I$304,店舗マスタ!$C$5:$C$304,$A33))</f>
        <v>997950</v>
      </c>
      <c r="J33" s="26" t="n">
        <f aca="false">IF($A33="","",IF(I33=0,"前年実績なし",F33/I33))</f>
        <v>0.241875845483241</v>
      </c>
    </row>
    <row r="34" customFormat="false" ht="15" hidden="false" customHeight="false" outlineLevel="0" collapsed="false">
      <c r="A34" s="24" t="str">
        <f aca="false">IFERROR(INDEX(店舗マスタ!$C$5:$C$304,MATCH(30,店舗マスタ!$O$5:$O$304,0)),"")</f>
        <v>伊勢丹浦和店</v>
      </c>
      <c r="B34" s="24" t="n">
        <f aca="false">IF($A34="","",SUMIFS(店舗マスタ!$G$5:$G$304,店舗マスタ!$C$5:$C$304,$A34,店舗マスタ!$E$5:$E$304,"アルチビオ"))</f>
        <v>212253</v>
      </c>
      <c r="C34" s="24" t="n">
        <f aca="false">IF($A34="","",SUMIFS(店舗マスタ!$G$5:$G$304,店舗マスタ!$C$5:$C$304,$A34,店舗マスタ!$E$5:$E$304,"スタジオピッコーネ／ピッコーネクラブ"))</f>
        <v>0</v>
      </c>
      <c r="D34" s="24" t="n">
        <f aca="false">IF($A34="","",SUMIFS(店舗マスタ!$G$5:$G$304,店舗マスタ!$C$5:$C$304,$A34,店舗マスタ!$E$5:$E$304,"ピッコーネ"))</f>
        <v>0</v>
      </c>
      <c r="E34" s="24" t="n">
        <f aca="false">IF($A34="","",SUMIFS(店舗マスタ!$G$5:$G$304,店舗マスタ!$C$5:$C$304,$A34,店舗マスタ!$E$5:$E$304,"複合（アルチビオ＋ピッコーネ系）"))</f>
        <v>0</v>
      </c>
      <c r="F34" s="24" t="n">
        <f aca="false">IF($A34="","",SUM(B34:E34))</f>
        <v>212253</v>
      </c>
      <c r="G34" s="24" t="n">
        <f aca="false">IF($A34="","",SUMIFS(店舗マスタ!$H$5:$H$304,店舗マスタ!$C$5:$C$304,$A34))</f>
        <v>1470000</v>
      </c>
      <c r="H34" s="25" t="n">
        <f aca="false">IF($A34="","",IF(G34=0,"-",F34/G34))</f>
        <v>0.144389795918367</v>
      </c>
      <c r="I34" s="24" t="n">
        <f aca="false">IF($A34="","",SUMIFS(店舗マスタ!$I$5:$I$304,店舗マスタ!$C$5:$C$304,$A34))</f>
        <v>1293200</v>
      </c>
      <c r="J34" s="26" t="n">
        <f aca="false">IF($A34="","",IF(I34=0,"前年実績なし",F34/I34))</f>
        <v>0.16413006495515</v>
      </c>
    </row>
    <row r="35" customFormat="false" ht="15" hidden="false" customHeight="false" outlineLevel="0" collapsed="false">
      <c r="A35" s="24" t="str">
        <f aca="false">IFERROR(INDEX(店舗マスタ!$C$5:$C$304,MATCH(31,店舗マスタ!$O$5:$O$304,0)),"")</f>
        <v>東急百貨店吉祥寺店</v>
      </c>
      <c r="B35" s="24" t="n">
        <f aca="false">IF($A35="","",SUMIFS(店舗マスタ!$G$5:$G$304,店舗マスタ!$C$5:$C$304,$A35,店舗マスタ!$E$5:$E$304,"アルチビオ"))</f>
        <v>0</v>
      </c>
      <c r="C35" s="24" t="n">
        <f aca="false">IF($A35="","",SUMIFS(店舗マスタ!$G$5:$G$304,店舗マスタ!$C$5:$C$304,$A35,店舗マスタ!$E$5:$E$304,"スタジオピッコーネ／ピッコーネクラブ"))</f>
        <v>0</v>
      </c>
      <c r="D35" s="24" t="n">
        <f aca="false">IF($A35="","",SUMIFS(店舗マスタ!$G$5:$G$304,店舗マスタ!$C$5:$C$304,$A35,店舗マスタ!$E$5:$E$304,"ピッコーネ"))</f>
        <v>202545</v>
      </c>
      <c r="E35" s="24" t="n">
        <f aca="false">IF($A35="","",SUMIFS(店舗マスタ!$G$5:$G$304,店舗マスタ!$C$5:$C$304,$A35,店舗マスタ!$E$5:$E$304,"複合（アルチビオ＋ピッコーネ系）"))</f>
        <v>0</v>
      </c>
      <c r="F35" s="24" t="n">
        <f aca="false">IF($A35="","",SUM(B35:E35))</f>
        <v>202545</v>
      </c>
      <c r="G35" s="24" t="n">
        <f aca="false">IF($A35="","",SUMIFS(店舗マスタ!$H$5:$H$304,店舗マスタ!$C$5:$C$304,$A35))</f>
        <v>3400000</v>
      </c>
      <c r="H35" s="25" t="n">
        <f aca="false">IF($A35="","",IF(G35=0,"-",F35/G35))</f>
        <v>0.0595720588235294</v>
      </c>
      <c r="I35" s="24" t="n">
        <f aca="false">IF($A35="","",SUMIFS(店舗マスタ!$I$5:$I$304,店舗マスタ!$C$5:$C$304,$A35))</f>
        <v>4550720</v>
      </c>
      <c r="J35" s="26" t="n">
        <f aca="false">IF($A35="","",IF(I35=0,"前年実績なし",F35/I35))</f>
        <v>0.0445083415371634</v>
      </c>
    </row>
    <row r="36" customFormat="false" ht="15" hidden="false" customHeight="false" outlineLevel="0" collapsed="false">
      <c r="A36" s="24" t="str">
        <f aca="false">IFERROR(INDEX(店舗マスタ!$C$5:$C$304,MATCH(32,店舗マスタ!$O$5:$O$304,0)),"")</f>
        <v>ジェイアール名古屋タカシマヤ店</v>
      </c>
      <c r="B36" s="24" t="n">
        <f aca="false">IF($A36="","",SUMIFS(店舗マスタ!$G$5:$G$304,店舗マスタ!$C$5:$C$304,$A36,店舗マスタ!$E$5:$E$304,"アルチビオ"))</f>
        <v>182800</v>
      </c>
      <c r="C36" s="24" t="n">
        <f aca="false">IF($A36="","",SUMIFS(店舗マスタ!$G$5:$G$304,店舗マスタ!$C$5:$C$304,$A36,店舗マスタ!$E$5:$E$304,"スタジオピッコーネ／ピッコーネクラブ"))</f>
        <v>0</v>
      </c>
      <c r="D36" s="24" t="n">
        <f aca="false">IF($A36="","",SUMIFS(店舗マスタ!$G$5:$G$304,店舗マスタ!$C$5:$C$304,$A36,店舗マスタ!$E$5:$E$304,"ピッコーネ"))</f>
        <v>0</v>
      </c>
      <c r="E36" s="24" t="n">
        <f aca="false">IF($A36="","",SUMIFS(店舗マスタ!$G$5:$G$304,店舗マスタ!$C$5:$C$304,$A36,店舗マスタ!$E$5:$E$304,"複合（アルチビオ＋ピッコーネ系）"))</f>
        <v>0</v>
      </c>
      <c r="F36" s="24" t="n">
        <f aca="false">IF($A36="","",SUM(B36:E36))</f>
        <v>182800</v>
      </c>
      <c r="G36" s="24" t="n">
        <f aca="false">IF($A36="","",SUMIFS(店舗マスタ!$H$5:$H$304,店舗マスタ!$C$5:$C$304,$A36))</f>
        <v>8400000</v>
      </c>
      <c r="H36" s="25" t="n">
        <f aca="false">IF($A36="","",IF(G36=0,"-",F36/G36))</f>
        <v>0.0217619047619048</v>
      </c>
      <c r="I36" s="24" t="n">
        <f aca="false">IF($A36="","",SUMIFS(店舗マスタ!$I$5:$I$304,店舗マスタ!$C$5:$C$304,$A36))</f>
        <v>8129765</v>
      </c>
      <c r="J36" s="26" t="n">
        <f aca="false">IF($A36="","",IF(I36=0,"前年実績なし",F36/I36))</f>
        <v>0.0224852747896157</v>
      </c>
    </row>
    <row r="37" customFormat="false" ht="15" hidden="false" customHeight="false" outlineLevel="0" collapsed="false">
      <c r="A37" s="24" t="str">
        <f aca="false">IFERROR(INDEX(店舗マスタ!$C$5:$C$304,MATCH(33,店舗マスタ!$O$5:$O$304,0)),"")</f>
        <v>東武百貨店船橋店</v>
      </c>
      <c r="B37" s="24" t="n">
        <f aca="false">IF($A37="","",SUMIFS(店舗マスタ!$G$5:$G$304,店舗マスタ!$C$5:$C$304,$A37,店舗マスタ!$E$5:$E$304,"アルチビオ"))</f>
        <v>0</v>
      </c>
      <c r="C37" s="24" t="n">
        <f aca="false">IF($A37="","",SUMIFS(店舗マスタ!$G$5:$G$304,店舗マスタ!$C$5:$C$304,$A37,店舗マスタ!$E$5:$E$304,"スタジオピッコーネ／ピッコーネクラブ"))</f>
        <v>151000</v>
      </c>
      <c r="D37" s="24" t="n">
        <f aca="false">IF($A37="","",SUMIFS(店舗マスタ!$G$5:$G$304,店舗マスタ!$C$5:$C$304,$A37,店舗マスタ!$E$5:$E$304,"ピッコーネ"))</f>
        <v>0</v>
      </c>
      <c r="E37" s="24" t="n">
        <f aca="false">IF($A37="","",SUMIFS(店舗マスタ!$G$5:$G$304,店舗マスタ!$C$5:$C$304,$A37,店舗マスタ!$E$5:$E$304,"複合（アルチビオ＋ピッコーネ系）"))</f>
        <v>0</v>
      </c>
      <c r="F37" s="24" t="n">
        <f aca="false">IF($A37="","",SUM(B37:E37))</f>
        <v>151000</v>
      </c>
      <c r="G37" s="24" t="n">
        <f aca="false">IF($A37="","",SUMIFS(店舗マスタ!$H$5:$H$304,店舗マスタ!$C$5:$C$304,$A37))</f>
        <v>2168000</v>
      </c>
      <c r="H37" s="25" t="n">
        <f aca="false">IF($A37="","",IF(G37=0,"-",F37/G37))</f>
        <v>0.0696494464944649</v>
      </c>
      <c r="I37" s="24" t="n">
        <f aca="false">IF($A37="","",SUMIFS(店舗マスタ!$I$5:$I$304,店舗マスタ!$C$5:$C$304,$A37))</f>
        <v>2059800</v>
      </c>
      <c r="J37" s="26" t="n">
        <f aca="false">IF($A37="","",IF(I37=0,"前年実績なし",F37/I37))</f>
        <v>0.0733080881638994</v>
      </c>
    </row>
    <row r="38" customFormat="false" ht="15" hidden="false" customHeight="false" outlineLevel="0" collapsed="false">
      <c r="A38" s="24" t="str">
        <f aca="false">IFERROR(INDEX(店舗マスタ!$C$5:$C$304,MATCH(34,店舗マスタ!$O$5:$O$304,0)),"")</f>
        <v>ホテルニューオータニ大阪店</v>
      </c>
      <c r="B38" s="24" t="n">
        <f aca="false">IF($A38="","",SUMIFS(店舗マスタ!$G$5:$G$304,店舗マスタ!$C$5:$C$304,$A38,店舗マスタ!$E$5:$E$304,"アルチビオ"))</f>
        <v>0</v>
      </c>
      <c r="C38" s="24" t="n">
        <f aca="false">IF($A38="","",SUMIFS(店舗マスタ!$G$5:$G$304,店舗マスタ!$C$5:$C$304,$A38,店舗マスタ!$E$5:$E$304,"スタジオピッコーネ／ピッコーネクラブ"))</f>
        <v>0</v>
      </c>
      <c r="D38" s="24" t="n">
        <f aca="false">IF($A38="","",SUMIFS(店舗マスタ!$G$5:$G$304,店舗マスタ!$C$5:$C$304,$A38,店舗マスタ!$E$5:$E$304,"ピッコーネ"))</f>
        <v>147316</v>
      </c>
      <c r="E38" s="24" t="n">
        <f aca="false">IF($A38="","",SUMIFS(店舗マスタ!$G$5:$G$304,店舗マスタ!$C$5:$C$304,$A38,店舗マスタ!$E$5:$E$304,"複合（アルチビオ＋ピッコーネ系）"))</f>
        <v>0</v>
      </c>
      <c r="F38" s="24" t="n">
        <f aca="false">IF($A38="","",SUM(B38:E38))</f>
        <v>147316</v>
      </c>
      <c r="G38" s="24" t="n">
        <f aca="false">IF($A38="","",SUMIFS(店舗マスタ!$H$5:$H$304,店舗マスタ!$C$5:$C$304,$A38))</f>
        <v>1520000</v>
      </c>
      <c r="H38" s="25" t="n">
        <f aca="false">IF($A38="","",IF(G38=0,"-",F38/G38))</f>
        <v>0.0969184210526316</v>
      </c>
      <c r="I38" s="24" t="n">
        <f aca="false">IF($A38="","",SUMIFS(店舗マスタ!$I$5:$I$304,店舗マスタ!$C$5:$C$304,$A38))</f>
        <v>1451810</v>
      </c>
      <c r="J38" s="26" t="n">
        <f aca="false">IF($A38="","",IF(I38=0,"前年実績なし",F38/I38))</f>
        <v>0.101470578105951</v>
      </c>
    </row>
    <row r="39" customFormat="false" ht="15" hidden="false" customHeight="false" outlineLevel="0" collapsed="false">
      <c r="A39" s="24" t="str">
        <f aca="false">IFERROR(INDEX(店舗マスタ!$C$5:$C$304,MATCH(35,店舗マスタ!$O$5:$O$304,0)),"")</f>
        <v>那須ガーデンアウトレット店</v>
      </c>
      <c r="B39" s="24" t="n">
        <f aca="false">IF($A39="","",SUMIFS(店舗マスタ!$G$5:$G$304,店舗マスタ!$C$5:$C$304,$A39,店舗マスタ!$E$5:$E$304,"アルチビオ"))</f>
        <v>132320</v>
      </c>
      <c r="C39" s="24" t="n">
        <f aca="false">IF($A39="","",SUMIFS(店舗マスタ!$G$5:$G$304,店舗マスタ!$C$5:$C$304,$A39,店舗マスタ!$E$5:$E$304,"スタジオピッコーネ／ピッコーネクラブ"))</f>
        <v>0</v>
      </c>
      <c r="D39" s="24" t="n">
        <f aca="false">IF($A39="","",SUMIFS(店舗マスタ!$G$5:$G$304,店舗マスタ!$C$5:$C$304,$A39,店舗マスタ!$E$5:$E$304,"ピッコーネ"))</f>
        <v>0</v>
      </c>
      <c r="E39" s="24" t="n">
        <f aca="false">IF($A39="","",SUMIFS(店舗マスタ!$G$5:$G$304,店舗マスタ!$C$5:$C$304,$A39,店舗マスタ!$E$5:$E$304,"複合（アルチビオ＋ピッコーネ系）"))</f>
        <v>0</v>
      </c>
      <c r="F39" s="24" t="n">
        <f aca="false">IF($A39="","",SUM(B39:E39))</f>
        <v>132320</v>
      </c>
      <c r="G39" s="24" t="n">
        <f aca="false">IF($A39="","",SUMIFS(店舗マスタ!$H$5:$H$304,店舗マスタ!$C$5:$C$304,$A39))</f>
        <v>3050000</v>
      </c>
      <c r="H39" s="25" t="n">
        <f aca="false">IF($A39="","",IF(G39=0,"-",F39/G39))</f>
        <v>0.0433836065573771</v>
      </c>
      <c r="I39" s="24" t="n">
        <f aca="false">IF($A39="","",SUMIFS(店舗マスタ!$I$5:$I$304,店舗マスタ!$C$5:$C$304,$A39))</f>
        <v>2677580</v>
      </c>
      <c r="J39" s="26" t="n">
        <f aca="false">IF($A39="","",IF(I39=0,"前年実績なし",F39/I39))</f>
        <v>0.0494177578260967</v>
      </c>
    </row>
    <row r="40" customFormat="false" ht="15" hidden="false" customHeight="false" outlineLevel="0" collapsed="false">
      <c r="A40" s="24" t="str">
        <f aca="false">IFERROR(INDEX(店舗マスタ!$C$5:$C$304,MATCH(36,店舗マスタ!$O$5:$O$304,0)),"")</f>
        <v>高島屋大宮店</v>
      </c>
      <c r="B40" s="24" t="n">
        <f aca="false">IF($A40="","",SUMIFS(店舗マスタ!$G$5:$G$304,店舗マスタ!$C$5:$C$304,$A40,店舗マスタ!$E$5:$E$304,"アルチビオ"))</f>
        <v>0</v>
      </c>
      <c r="C40" s="24" t="n">
        <f aca="false">IF($A40="","",SUMIFS(店舗マスタ!$G$5:$G$304,店舗マスタ!$C$5:$C$304,$A40,店舗マスタ!$E$5:$E$304,"スタジオピッコーネ／ピッコーネクラブ"))</f>
        <v>119200</v>
      </c>
      <c r="D40" s="24" t="n">
        <f aca="false">IF($A40="","",SUMIFS(店舗マスタ!$G$5:$G$304,店舗マスタ!$C$5:$C$304,$A40,店舗マスタ!$E$5:$E$304,"ピッコーネ"))</f>
        <v>0</v>
      </c>
      <c r="E40" s="24" t="n">
        <f aca="false">IF($A40="","",SUMIFS(店舗マスタ!$G$5:$G$304,店舗マスタ!$C$5:$C$304,$A40,店舗マスタ!$E$5:$E$304,"複合（アルチビオ＋ピッコーネ系）"))</f>
        <v>0</v>
      </c>
      <c r="F40" s="24" t="n">
        <f aca="false">IF($A40="","",SUM(B40:E40))</f>
        <v>119200</v>
      </c>
      <c r="G40" s="24" t="n">
        <f aca="false">IF($A40="","",SUMIFS(店舗マスタ!$H$5:$H$304,店舗マスタ!$C$5:$C$304,$A40))</f>
        <v>1700000</v>
      </c>
      <c r="H40" s="25" t="n">
        <f aca="false">IF($A40="","",IF(G40=0,"-",F40/G40))</f>
        <v>0.0701176470588235</v>
      </c>
      <c r="I40" s="24" t="n">
        <f aca="false">IF($A40="","",SUMIFS(店舗マスタ!$I$5:$I$304,店舗マスタ!$C$5:$C$304,$A40))</f>
        <v>0</v>
      </c>
      <c r="J40" s="26" t="str">
        <f aca="false">IF($A40="","",IF(I40=0,"前年実績なし",F40/I40))</f>
        <v>前年実績なし</v>
      </c>
    </row>
    <row r="41" customFormat="false" ht="15" hidden="false" customHeight="false" outlineLevel="0" collapsed="false">
      <c r="A41" s="24" t="str">
        <f aca="false">IFERROR(INDEX(店舗マスタ!$C$5:$C$304,MATCH(37,店舗マスタ!$O$5:$O$304,0)),"")</f>
        <v/>
      </c>
      <c r="B41" s="24" t="str">
        <f aca="false">IF($A41="","",SUMIFS(店舗マスタ!$G$5:$G$304,店舗マスタ!$C$5:$C$304,$A41,店舗マスタ!$E$5:$E$304,"アルチビオ"))</f>
        <v/>
      </c>
      <c r="C41" s="24" t="str">
        <f aca="false">IF($A41="","",SUMIFS(店舗マスタ!$G$5:$G$304,店舗マスタ!$C$5:$C$304,$A41,店舗マスタ!$E$5:$E$304,"スタジオピッコーネ／ピッコーネクラブ"))</f>
        <v/>
      </c>
      <c r="D41" s="24" t="str">
        <f aca="false">IF($A41="","",SUMIFS(店舗マスタ!$G$5:$G$304,店舗マスタ!$C$5:$C$304,$A41,店舗マスタ!$E$5:$E$304,"ピッコーネ"))</f>
        <v/>
      </c>
      <c r="E41" s="24" t="str">
        <f aca="false">IF($A41="","",SUMIFS(店舗マスタ!$G$5:$G$304,店舗マスタ!$C$5:$C$304,$A41,店舗マスタ!$E$5:$E$304,"複合（アルチビオ＋ピッコーネ系）"))</f>
        <v/>
      </c>
      <c r="F41" s="24" t="str">
        <f aca="false">IF($A41="","",SUM(B41:E41))</f>
        <v/>
      </c>
      <c r="G41" s="24" t="str">
        <f aca="false">IF($A41="","",SUMIFS(店舗マスタ!$H$5:$H$304,店舗マスタ!$C$5:$C$304,$A41))</f>
        <v/>
      </c>
      <c r="H41" s="25" t="str">
        <f aca="false">IF($A41="","",IF(G41=0,"-",F41/G41))</f>
        <v/>
      </c>
      <c r="I41" s="24" t="str">
        <f aca="false">IF($A41="","",SUMIFS(店舗マスタ!$I$5:$I$304,店舗マスタ!$C$5:$C$304,$A41))</f>
        <v/>
      </c>
      <c r="J41" s="26" t="str">
        <f aca="false">IF($A41="","",IF(I41=0,"前年実績なし",F41/I41))</f>
        <v/>
      </c>
    </row>
    <row r="42" customFormat="false" ht="15" hidden="false" customHeight="false" outlineLevel="0" collapsed="false">
      <c r="A42" s="24" t="str">
        <f aca="false">IFERROR(INDEX(店舗マスタ!$C$5:$C$304,MATCH(38,店舗マスタ!$O$5:$O$304,0)),"")</f>
        <v/>
      </c>
      <c r="B42" s="24" t="str">
        <f aca="false">IF($A42="","",SUMIFS(店舗マスタ!$G$5:$G$304,店舗マスタ!$C$5:$C$304,$A42,店舗マスタ!$E$5:$E$304,"アルチビオ"))</f>
        <v/>
      </c>
      <c r="C42" s="24" t="str">
        <f aca="false">IF($A42="","",SUMIFS(店舗マスタ!$G$5:$G$304,店舗マスタ!$C$5:$C$304,$A42,店舗マスタ!$E$5:$E$304,"スタジオピッコーネ／ピッコーネクラブ"))</f>
        <v/>
      </c>
      <c r="D42" s="24" t="str">
        <f aca="false">IF($A42="","",SUMIFS(店舗マスタ!$G$5:$G$304,店舗マスタ!$C$5:$C$304,$A42,店舗マスタ!$E$5:$E$304,"ピッコーネ"))</f>
        <v/>
      </c>
      <c r="E42" s="24" t="str">
        <f aca="false">IF($A42="","",SUMIFS(店舗マスタ!$G$5:$G$304,店舗マスタ!$C$5:$C$304,$A42,店舗マスタ!$E$5:$E$304,"複合（アルチビオ＋ピッコーネ系）"))</f>
        <v/>
      </c>
      <c r="F42" s="24" t="str">
        <f aca="false">IF($A42="","",SUM(B42:E42))</f>
        <v/>
      </c>
      <c r="G42" s="24" t="str">
        <f aca="false">IF($A42="","",SUMIFS(店舗マスタ!$H$5:$H$304,店舗マスタ!$C$5:$C$304,$A42))</f>
        <v/>
      </c>
      <c r="H42" s="25" t="str">
        <f aca="false">IF($A42="","",IF(G42=0,"-",F42/G42))</f>
        <v/>
      </c>
      <c r="I42" s="24" t="str">
        <f aca="false">IF($A42="","",SUMIFS(店舗マスタ!$I$5:$I$304,店舗マスタ!$C$5:$C$304,$A42))</f>
        <v/>
      </c>
      <c r="J42" s="26" t="str">
        <f aca="false">IF($A42="","",IF(I42=0,"前年実績なし",F42/I42))</f>
        <v/>
      </c>
    </row>
    <row r="43" customFormat="false" ht="15" hidden="false" customHeight="false" outlineLevel="0" collapsed="false">
      <c r="A43" s="24" t="str">
        <f aca="false">IFERROR(INDEX(店舗マスタ!$C$5:$C$304,MATCH(39,店舗マスタ!$O$5:$O$304,0)),"")</f>
        <v/>
      </c>
      <c r="B43" s="24" t="str">
        <f aca="false">IF($A43="","",SUMIFS(店舗マスタ!$G$5:$G$304,店舗マスタ!$C$5:$C$304,$A43,店舗マスタ!$E$5:$E$304,"アルチビオ"))</f>
        <v/>
      </c>
      <c r="C43" s="24" t="str">
        <f aca="false">IF($A43="","",SUMIFS(店舗マスタ!$G$5:$G$304,店舗マスタ!$C$5:$C$304,$A43,店舗マスタ!$E$5:$E$304,"スタジオピッコーネ／ピッコーネクラブ"))</f>
        <v/>
      </c>
      <c r="D43" s="24" t="str">
        <f aca="false">IF($A43="","",SUMIFS(店舗マスタ!$G$5:$G$304,店舗マスタ!$C$5:$C$304,$A43,店舗マスタ!$E$5:$E$304,"ピッコーネ"))</f>
        <v/>
      </c>
      <c r="E43" s="24" t="str">
        <f aca="false">IF($A43="","",SUMIFS(店舗マスタ!$G$5:$G$304,店舗マスタ!$C$5:$C$304,$A43,店舗マスタ!$E$5:$E$304,"複合（アルチビオ＋ピッコーネ系）"))</f>
        <v/>
      </c>
      <c r="F43" s="24" t="str">
        <f aca="false">IF($A43="","",SUM(B43:E43))</f>
        <v/>
      </c>
      <c r="G43" s="24" t="str">
        <f aca="false">IF($A43="","",SUMIFS(店舗マスタ!$H$5:$H$304,店舗マスタ!$C$5:$C$304,$A43))</f>
        <v/>
      </c>
      <c r="H43" s="25" t="str">
        <f aca="false">IF($A43="","",IF(G43=0,"-",F43/G43))</f>
        <v/>
      </c>
      <c r="I43" s="24" t="str">
        <f aca="false">IF($A43="","",SUMIFS(店舗マスタ!$I$5:$I$304,店舗マスタ!$C$5:$C$304,$A43))</f>
        <v/>
      </c>
      <c r="J43" s="26" t="str">
        <f aca="false">IF($A43="","",IF(I43=0,"前年実績なし",F43/I43))</f>
        <v/>
      </c>
    </row>
    <row r="44" customFormat="false" ht="15" hidden="false" customHeight="false" outlineLevel="0" collapsed="false">
      <c r="A44" s="24" t="str">
        <f aca="false">IFERROR(INDEX(店舗マスタ!$C$5:$C$304,MATCH(40,店舗マスタ!$O$5:$O$304,0)),"")</f>
        <v/>
      </c>
      <c r="B44" s="24" t="str">
        <f aca="false">IF($A44="","",SUMIFS(店舗マスタ!$G$5:$G$304,店舗マスタ!$C$5:$C$304,$A44,店舗マスタ!$E$5:$E$304,"アルチビオ"))</f>
        <v/>
      </c>
      <c r="C44" s="24" t="str">
        <f aca="false">IF($A44="","",SUMIFS(店舗マスタ!$G$5:$G$304,店舗マスタ!$C$5:$C$304,$A44,店舗マスタ!$E$5:$E$304,"スタジオピッコーネ／ピッコーネクラブ"))</f>
        <v/>
      </c>
      <c r="D44" s="24" t="str">
        <f aca="false">IF($A44="","",SUMIFS(店舗マスタ!$G$5:$G$304,店舗マスタ!$C$5:$C$304,$A44,店舗マスタ!$E$5:$E$304,"ピッコーネ"))</f>
        <v/>
      </c>
      <c r="E44" s="24" t="str">
        <f aca="false">IF($A44="","",SUMIFS(店舗マスタ!$G$5:$G$304,店舗マスタ!$C$5:$C$304,$A44,店舗マスタ!$E$5:$E$304,"複合（アルチビオ＋ピッコーネ系）"))</f>
        <v/>
      </c>
      <c r="F44" s="24" t="str">
        <f aca="false">IF($A44="","",SUM(B44:E44))</f>
        <v/>
      </c>
      <c r="G44" s="24" t="str">
        <f aca="false">IF($A44="","",SUMIFS(店舗マスタ!$H$5:$H$304,店舗マスタ!$C$5:$C$304,$A44))</f>
        <v/>
      </c>
      <c r="H44" s="25" t="str">
        <f aca="false">IF($A44="","",IF(G44=0,"-",F44/G44))</f>
        <v/>
      </c>
      <c r="I44" s="24" t="str">
        <f aca="false">IF($A44="","",SUMIFS(店舗マスタ!$I$5:$I$304,店舗マスタ!$C$5:$C$304,$A44))</f>
        <v/>
      </c>
      <c r="J44" s="26" t="str">
        <f aca="false">IF($A44="","",IF(I44=0,"前年実績なし",F44/I44))</f>
        <v/>
      </c>
    </row>
    <row r="45" customFormat="false" ht="15" hidden="false" customHeight="false" outlineLevel="0" collapsed="false">
      <c r="A45" s="24" t="str">
        <f aca="false">IFERROR(INDEX(店舗マスタ!$C$5:$C$304,MATCH(41,店舗マスタ!$O$5:$O$304,0)),"")</f>
        <v/>
      </c>
      <c r="B45" s="24" t="str">
        <f aca="false">IF($A45="","",SUMIFS(店舗マスタ!$G$5:$G$304,店舗マスタ!$C$5:$C$304,$A45,店舗マスタ!$E$5:$E$304,"アルチビオ"))</f>
        <v/>
      </c>
      <c r="C45" s="24" t="str">
        <f aca="false">IF($A45="","",SUMIFS(店舗マスタ!$G$5:$G$304,店舗マスタ!$C$5:$C$304,$A45,店舗マスタ!$E$5:$E$304,"スタジオピッコーネ／ピッコーネクラブ"))</f>
        <v/>
      </c>
      <c r="D45" s="24" t="str">
        <f aca="false">IF($A45="","",SUMIFS(店舗マスタ!$G$5:$G$304,店舗マスタ!$C$5:$C$304,$A45,店舗マスタ!$E$5:$E$304,"ピッコーネ"))</f>
        <v/>
      </c>
      <c r="E45" s="24" t="str">
        <f aca="false">IF($A45="","",SUMIFS(店舗マスタ!$G$5:$G$304,店舗マスタ!$C$5:$C$304,$A45,店舗マスタ!$E$5:$E$304,"複合（アルチビオ＋ピッコーネ系）"))</f>
        <v/>
      </c>
      <c r="F45" s="24" t="str">
        <f aca="false">IF($A45="","",SUM(B45:E45))</f>
        <v/>
      </c>
      <c r="G45" s="24" t="str">
        <f aca="false">IF($A45="","",SUMIFS(店舗マスタ!$H$5:$H$304,店舗マスタ!$C$5:$C$304,$A45))</f>
        <v/>
      </c>
      <c r="H45" s="25" t="str">
        <f aca="false">IF($A45="","",IF(G45=0,"-",F45/G45))</f>
        <v/>
      </c>
      <c r="I45" s="24" t="str">
        <f aca="false">IF($A45="","",SUMIFS(店舗マスタ!$I$5:$I$304,店舗マスタ!$C$5:$C$304,$A45))</f>
        <v/>
      </c>
      <c r="J45" s="26" t="str">
        <f aca="false">IF($A45="","",IF(I45=0,"前年実績なし",F45/I45))</f>
        <v/>
      </c>
    </row>
    <row r="46" customFormat="false" ht="15" hidden="false" customHeight="false" outlineLevel="0" collapsed="false">
      <c r="A46" s="24" t="str">
        <f aca="false">IFERROR(INDEX(店舗マスタ!$C$5:$C$304,MATCH(42,店舗マスタ!$O$5:$O$304,0)),"")</f>
        <v/>
      </c>
      <c r="B46" s="24" t="str">
        <f aca="false">IF($A46="","",SUMIFS(店舗マスタ!$G$5:$G$304,店舗マスタ!$C$5:$C$304,$A46,店舗マスタ!$E$5:$E$304,"アルチビオ"))</f>
        <v/>
      </c>
      <c r="C46" s="24" t="str">
        <f aca="false">IF($A46="","",SUMIFS(店舗マスタ!$G$5:$G$304,店舗マスタ!$C$5:$C$304,$A46,店舗マスタ!$E$5:$E$304,"スタジオピッコーネ／ピッコーネクラブ"))</f>
        <v/>
      </c>
      <c r="D46" s="24" t="str">
        <f aca="false">IF($A46="","",SUMIFS(店舗マスタ!$G$5:$G$304,店舗マスタ!$C$5:$C$304,$A46,店舗マスタ!$E$5:$E$304,"ピッコーネ"))</f>
        <v/>
      </c>
      <c r="E46" s="24" t="str">
        <f aca="false">IF($A46="","",SUMIFS(店舗マスタ!$G$5:$G$304,店舗マスタ!$C$5:$C$304,$A46,店舗マスタ!$E$5:$E$304,"複合（アルチビオ＋ピッコーネ系）"))</f>
        <v/>
      </c>
      <c r="F46" s="24" t="str">
        <f aca="false">IF($A46="","",SUM(B46:E46))</f>
        <v/>
      </c>
      <c r="G46" s="24" t="str">
        <f aca="false">IF($A46="","",SUMIFS(店舗マスタ!$H$5:$H$304,店舗マスタ!$C$5:$C$304,$A46))</f>
        <v/>
      </c>
      <c r="H46" s="25" t="str">
        <f aca="false">IF($A46="","",IF(G46=0,"-",F46/G46))</f>
        <v/>
      </c>
      <c r="I46" s="24" t="str">
        <f aca="false">IF($A46="","",SUMIFS(店舗マスタ!$I$5:$I$304,店舗マスタ!$C$5:$C$304,$A46))</f>
        <v/>
      </c>
      <c r="J46" s="26" t="str">
        <f aca="false">IF($A46="","",IF(I46=0,"前年実績なし",F46/I46))</f>
        <v/>
      </c>
    </row>
    <row r="47" customFormat="false" ht="15" hidden="false" customHeight="false" outlineLevel="0" collapsed="false">
      <c r="A47" s="34" t="str">
        <f aca="false">"合計（"&amp;COUNTIF(A5:A46,"?*")&amp;"施設）"</f>
        <v>合計（36施設）</v>
      </c>
      <c r="B47" s="34" t="n">
        <f aca="false">SUM(B5:B46)</f>
        <v>8874005</v>
      </c>
      <c r="C47" s="34" t="n">
        <f aca="false">SUM(C5:C46)</f>
        <v>11150262</v>
      </c>
      <c r="D47" s="34" t="n">
        <f aca="false">SUM(D5:D46)</f>
        <v>1026732</v>
      </c>
      <c r="E47" s="34" t="n">
        <f aca="false">SUM(E5:E46)</f>
        <v>3670501</v>
      </c>
      <c r="F47" s="34" t="n">
        <f aca="false">SUM(F5:F46)</f>
        <v>24721500</v>
      </c>
      <c r="G47" s="34" t="n">
        <f aca="false">SUM(G5:G46)</f>
        <v>164709000</v>
      </c>
      <c r="H47" s="35" t="n">
        <f aca="false">IF(G47=0,"-",F47/G47)</f>
        <v>0.1500919804018</v>
      </c>
      <c r="I47" s="34" t="n">
        <f aca="false">SUM(I5:I46)</f>
        <v>150139548</v>
      </c>
      <c r="J47" s="35" t="n">
        <f aca="false">IF(I47=0,"-",F47/I47)</f>
        <v>0.164656816470501</v>
      </c>
    </row>
    <row r="49" customFormat="false" ht="15" hidden="false" customHeight="false" outlineLevel="0" collapsed="false">
      <c r="A49" s="2" t="s">
        <v>40</v>
      </c>
    </row>
  </sheetData>
  <conditionalFormatting sqref="A5:J46">
    <cfRule type="expression" priority="2" aboveAverage="0" equalAverage="0" bottom="0" percent="0" rank="0" text="" dxfId="6">
      <formula>$A5&lt;&gt;""</formula>
    </cfRule>
  </conditionalFormatting>
  <conditionalFormatting sqref="A5:A46">
    <cfRule type="expression" priority="3" aboveAverage="0" equalAverage="0" bottom="0" percent="0" rank="0" text="" dxfId="7">
      <formula>COUNTIFS(店舗マスタ!$C$5:$C$304,$A5,店舗マスタ!$F$5:$F$304,1)&gt;1</formula>
    </cfRule>
  </conditionalFormatting>
  <conditionalFormatting sqref="H5:H46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{B230B382-2560-49FD-99F9-196BF04E8648}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0B382-2560-49FD-99F9-196BF04E864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H5:H46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.16"/>
  </cols>
  <sheetData>
    <row r="1" customFormat="false" ht="13.4" hidden="false" customHeight="false" outlineLevel="0" collapsed="false">
      <c r="A1" s="36" t="s">
        <v>41</v>
      </c>
      <c r="B1" s="37" t="s">
        <v>42</v>
      </c>
      <c r="C1" s="37"/>
      <c r="D1" s="37"/>
      <c r="E1" s="37"/>
      <c r="F1" s="37"/>
      <c r="G1" s="37"/>
      <c r="H1" s="37"/>
      <c r="I1" s="36" t="s">
        <v>43</v>
      </c>
    </row>
    <row r="2" customFormat="false" ht="15" hidden="false" customHeight="false" outlineLevel="0" collapsed="false">
      <c r="A2" s="36"/>
      <c r="B2" s="36" t="s">
        <v>3</v>
      </c>
      <c r="C2" s="36" t="s">
        <v>44</v>
      </c>
      <c r="D2" s="36"/>
      <c r="E2" s="36"/>
      <c r="F2" s="36" t="s">
        <v>45</v>
      </c>
      <c r="G2" s="36"/>
      <c r="H2" s="36"/>
      <c r="I2" s="36"/>
    </row>
    <row r="3" customFormat="false" ht="15" hidden="false" customHeight="false" outlineLevel="0" collapsed="false">
      <c r="A3" s="36"/>
      <c r="B3" s="36"/>
      <c r="C3" s="36" t="s">
        <v>5</v>
      </c>
      <c r="D3" s="36" t="s">
        <v>46</v>
      </c>
      <c r="E3" s="36" t="s">
        <v>47</v>
      </c>
      <c r="F3" s="36" t="s">
        <v>8</v>
      </c>
      <c r="G3" s="36" t="s">
        <v>9</v>
      </c>
      <c r="H3" s="36" t="s">
        <v>10</v>
      </c>
      <c r="I3" s="36"/>
    </row>
    <row r="4" customFormat="false" ht="15" hidden="false" customHeight="false" outlineLevel="0" collapsed="false">
      <c r="A4" s="38" t="s">
        <v>48</v>
      </c>
      <c r="B4" s="39" t="n">
        <v>897774</v>
      </c>
      <c r="C4" s="39" t="n">
        <v>1200000</v>
      </c>
      <c r="D4" s="40" t="n">
        <v>74.8</v>
      </c>
      <c r="E4" s="39" t="n">
        <v>-302226</v>
      </c>
      <c r="F4" s="39" t="n">
        <v>1184930</v>
      </c>
      <c r="G4" s="40" t="n">
        <v>75.8</v>
      </c>
      <c r="H4" s="39" t="n">
        <v>-287156</v>
      </c>
      <c r="I4" s="41"/>
    </row>
    <row r="5" customFormat="false" ht="15" hidden="false" customHeight="false" outlineLevel="0" collapsed="false">
      <c r="A5" s="42" t="s">
        <v>49</v>
      </c>
      <c r="B5" s="43" t="n">
        <v>1942301</v>
      </c>
      <c r="C5" s="43" t="n">
        <v>3812000</v>
      </c>
      <c r="D5" s="44" t="n">
        <v>51</v>
      </c>
      <c r="E5" s="43" t="n">
        <v>-1869699</v>
      </c>
      <c r="F5" s="43" t="n">
        <v>3514950</v>
      </c>
      <c r="G5" s="44" t="n">
        <v>55.3</v>
      </c>
      <c r="H5" s="43" t="n">
        <v>-1572649</v>
      </c>
      <c r="I5" s="45"/>
    </row>
    <row r="6" customFormat="false" ht="15" hidden="false" customHeight="false" outlineLevel="0" collapsed="false">
      <c r="A6" s="38" t="s">
        <v>50</v>
      </c>
      <c r="B6" s="39" t="n">
        <v>1202200</v>
      </c>
      <c r="C6" s="39" t="n">
        <v>3958000</v>
      </c>
      <c r="D6" s="40" t="n">
        <v>30.4</v>
      </c>
      <c r="E6" s="39" t="n">
        <v>-2755800</v>
      </c>
      <c r="F6" s="39" t="n">
        <v>3803490</v>
      </c>
      <c r="G6" s="40" t="n">
        <v>31.6</v>
      </c>
      <c r="H6" s="39" t="n">
        <v>-2601290</v>
      </c>
      <c r="I6" s="41"/>
    </row>
    <row r="7" customFormat="false" ht="15" hidden="false" customHeight="false" outlineLevel="0" collapsed="false">
      <c r="A7" s="42" t="s">
        <v>51</v>
      </c>
      <c r="B7" s="43" t="n">
        <v>922530</v>
      </c>
      <c r="C7" s="43" t="n">
        <v>3079000</v>
      </c>
      <c r="D7" s="44" t="n">
        <v>30</v>
      </c>
      <c r="E7" s="43" t="n">
        <v>-2156470</v>
      </c>
      <c r="F7" s="43" t="n">
        <v>2912300</v>
      </c>
      <c r="G7" s="44" t="n">
        <v>31.7</v>
      </c>
      <c r="H7" s="43" t="n">
        <v>-1989770</v>
      </c>
      <c r="I7" s="45"/>
    </row>
    <row r="8" customFormat="false" ht="15" hidden="false" customHeight="false" outlineLevel="0" collapsed="false">
      <c r="A8" s="38" t="s">
        <v>52</v>
      </c>
      <c r="B8" s="39" t="n">
        <v>856826</v>
      </c>
      <c r="C8" s="39" t="n">
        <v>2900000</v>
      </c>
      <c r="D8" s="40" t="n">
        <v>29.5</v>
      </c>
      <c r="E8" s="39" t="n">
        <v>-2043174</v>
      </c>
      <c r="F8" s="39" t="n">
        <v>2769045</v>
      </c>
      <c r="G8" s="40" t="n">
        <v>30.9</v>
      </c>
      <c r="H8" s="39" t="n">
        <v>-1912219</v>
      </c>
      <c r="I8" s="41"/>
    </row>
    <row r="9" customFormat="false" ht="15" hidden="false" customHeight="false" outlineLevel="0" collapsed="false">
      <c r="A9" s="42" t="s">
        <v>53</v>
      </c>
      <c r="B9" s="43" t="n">
        <v>1650946</v>
      </c>
      <c r="C9" s="43" t="n">
        <v>6591000</v>
      </c>
      <c r="D9" s="44" t="n">
        <v>25</v>
      </c>
      <c r="E9" s="43" t="n">
        <v>-4940054</v>
      </c>
      <c r="F9" s="43" t="n">
        <v>4992300</v>
      </c>
      <c r="G9" s="44" t="n">
        <v>33.1</v>
      </c>
      <c r="H9" s="43" t="n">
        <v>-3341354</v>
      </c>
      <c r="I9" s="45"/>
    </row>
    <row r="10" customFormat="false" ht="15" hidden="false" customHeight="false" outlineLevel="0" collapsed="false">
      <c r="A10" s="38" t="s">
        <v>54</v>
      </c>
      <c r="B10" s="39" t="n">
        <v>1262854</v>
      </c>
      <c r="C10" s="39" t="n">
        <v>5370000</v>
      </c>
      <c r="D10" s="40" t="n">
        <v>23.5</v>
      </c>
      <c r="E10" s="39" t="n">
        <v>-4107146</v>
      </c>
      <c r="F10" s="39" t="n">
        <v>4965460</v>
      </c>
      <c r="G10" s="40" t="n">
        <v>25.4</v>
      </c>
      <c r="H10" s="39" t="n">
        <v>-3702606</v>
      </c>
      <c r="I10" s="41"/>
    </row>
    <row r="11" customFormat="false" ht="15" hidden="false" customHeight="false" outlineLevel="0" collapsed="false">
      <c r="A11" s="42" t="s">
        <v>55</v>
      </c>
      <c r="B11" s="43" t="n">
        <v>419700</v>
      </c>
      <c r="C11" s="43" t="n">
        <v>2100000</v>
      </c>
      <c r="D11" s="44" t="n">
        <v>20</v>
      </c>
      <c r="E11" s="43" t="n">
        <v>-1680300</v>
      </c>
      <c r="F11" s="43" t="n">
        <v>1953490</v>
      </c>
      <c r="G11" s="44" t="n">
        <v>21.5</v>
      </c>
      <c r="H11" s="43" t="n">
        <v>-1533790</v>
      </c>
      <c r="I11" s="45"/>
    </row>
    <row r="12" customFormat="false" ht="15" hidden="false" customHeight="false" outlineLevel="0" collapsed="false">
      <c r="A12" s="38" t="s">
        <v>56</v>
      </c>
      <c r="B12" s="39" t="n">
        <v>507400</v>
      </c>
      <c r="C12" s="39" t="n">
        <v>2600000</v>
      </c>
      <c r="D12" s="40" t="n">
        <v>19.5</v>
      </c>
      <c r="E12" s="39" t="n">
        <v>-2092600</v>
      </c>
      <c r="F12" s="39" t="n">
        <v>1796500</v>
      </c>
      <c r="G12" s="40" t="n">
        <v>28.2</v>
      </c>
      <c r="H12" s="39" t="n">
        <v>-1289100</v>
      </c>
      <c r="I12" s="41"/>
    </row>
    <row r="13" customFormat="false" ht="15" hidden="false" customHeight="false" outlineLevel="0" collapsed="false">
      <c r="A13" s="42" t="s">
        <v>57</v>
      </c>
      <c r="B13" s="43" t="n">
        <v>241380</v>
      </c>
      <c r="C13" s="43" t="n">
        <v>1250000</v>
      </c>
      <c r="D13" s="44" t="n">
        <v>19.3</v>
      </c>
      <c r="E13" s="43" t="n">
        <v>-1008620</v>
      </c>
      <c r="F13" s="43" t="n">
        <v>997950</v>
      </c>
      <c r="G13" s="44" t="n">
        <v>24.2</v>
      </c>
      <c r="H13" s="43" t="n">
        <v>-756570</v>
      </c>
      <c r="I13" s="45"/>
    </row>
    <row r="14" customFormat="false" ht="15" hidden="false" customHeight="false" outlineLevel="0" collapsed="false">
      <c r="A14" s="38" t="s">
        <v>58</v>
      </c>
      <c r="B14" s="39" t="n">
        <v>776168</v>
      </c>
      <c r="C14" s="39" t="n">
        <v>4050000</v>
      </c>
      <c r="D14" s="40" t="n">
        <v>19.2</v>
      </c>
      <c r="E14" s="39" t="n">
        <v>-3273832</v>
      </c>
      <c r="F14" s="39" t="n">
        <v>3884330</v>
      </c>
      <c r="G14" s="40" t="n">
        <v>20</v>
      </c>
      <c r="H14" s="39" t="n">
        <v>-3108162</v>
      </c>
      <c r="I14" s="41"/>
    </row>
    <row r="15" customFormat="false" ht="15" hidden="false" customHeight="false" outlineLevel="0" collapsed="false">
      <c r="A15" s="42" t="s">
        <v>59</v>
      </c>
      <c r="B15" s="43" t="n">
        <v>898194</v>
      </c>
      <c r="C15" s="43" t="n">
        <v>4782000</v>
      </c>
      <c r="D15" s="44" t="n">
        <v>18.8</v>
      </c>
      <c r="E15" s="43" t="n">
        <v>-3883806</v>
      </c>
      <c r="F15" s="43" t="n">
        <v>4451408</v>
      </c>
      <c r="G15" s="44" t="n">
        <v>20.2</v>
      </c>
      <c r="H15" s="43" t="n">
        <v>-3553214</v>
      </c>
      <c r="I15" s="45"/>
    </row>
    <row r="16" customFormat="false" ht="15" hidden="false" customHeight="false" outlineLevel="0" collapsed="false">
      <c r="A16" s="38" t="s">
        <v>60</v>
      </c>
      <c r="B16" s="39" t="n">
        <v>521900</v>
      </c>
      <c r="C16" s="39" t="n">
        <v>2830000</v>
      </c>
      <c r="D16" s="40" t="n">
        <v>18.4</v>
      </c>
      <c r="E16" s="39" t="n">
        <v>-2308100</v>
      </c>
      <c r="F16" s="39" t="n">
        <v>2230000</v>
      </c>
      <c r="G16" s="40" t="n">
        <v>23.4</v>
      </c>
      <c r="H16" s="39" t="n">
        <v>-1708100</v>
      </c>
      <c r="I16" s="41"/>
    </row>
    <row r="17" customFormat="false" ht="15" hidden="false" customHeight="false" outlineLevel="0" collapsed="false">
      <c r="A17" s="42" t="s">
        <v>61</v>
      </c>
      <c r="B17" s="43" t="n">
        <v>920100</v>
      </c>
      <c r="C17" s="43" t="n">
        <v>5100000</v>
      </c>
      <c r="D17" s="44" t="n">
        <v>18</v>
      </c>
      <c r="E17" s="43" t="n">
        <v>-4179900</v>
      </c>
      <c r="F17" s="43" t="n">
        <v>4342490</v>
      </c>
      <c r="G17" s="44" t="n">
        <v>21.2</v>
      </c>
      <c r="H17" s="43" t="n">
        <v>-3422390</v>
      </c>
      <c r="I17" s="45"/>
    </row>
    <row r="18" customFormat="false" ht="15" hidden="false" customHeight="false" outlineLevel="0" collapsed="false">
      <c r="A18" s="38" t="s">
        <v>62</v>
      </c>
      <c r="B18" s="39" t="n">
        <v>691454</v>
      </c>
      <c r="C18" s="39" t="n">
        <v>3940000</v>
      </c>
      <c r="D18" s="40" t="n">
        <v>17.5</v>
      </c>
      <c r="E18" s="39" t="n">
        <v>-3248546</v>
      </c>
      <c r="F18" s="39" t="n">
        <v>3597695</v>
      </c>
      <c r="G18" s="40" t="n">
        <v>19.2</v>
      </c>
      <c r="H18" s="39" t="n">
        <v>-2906241</v>
      </c>
      <c r="I18" s="41"/>
    </row>
    <row r="19" customFormat="false" ht="15" hidden="false" customHeight="false" outlineLevel="0" collapsed="false">
      <c r="A19" s="42" t="s">
        <v>63</v>
      </c>
      <c r="B19" s="43" t="n">
        <v>721272</v>
      </c>
      <c r="C19" s="43" t="n">
        <v>4200000</v>
      </c>
      <c r="D19" s="44" t="n">
        <v>17.2</v>
      </c>
      <c r="E19" s="43" t="n">
        <v>-3478728</v>
      </c>
      <c r="F19" s="43" t="n">
        <v>4050580</v>
      </c>
      <c r="G19" s="44" t="n">
        <v>17.8</v>
      </c>
      <c r="H19" s="43" t="n">
        <v>-3329308</v>
      </c>
      <c r="I19" s="45"/>
    </row>
    <row r="20" customFormat="false" ht="15" hidden="false" customHeight="false" outlineLevel="0" collapsed="false">
      <c r="A20" s="38" t="s">
        <v>64</v>
      </c>
      <c r="B20" s="39" t="n">
        <v>492100</v>
      </c>
      <c r="C20" s="39" t="n">
        <v>2900000</v>
      </c>
      <c r="D20" s="40" t="n">
        <v>17</v>
      </c>
      <c r="E20" s="39" t="n">
        <v>-2407900</v>
      </c>
      <c r="F20" s="39" t="n">
        <v>2327950</v>
      </c>
      <c r="G20" s="40" t="n">
        <v>21.1</v>
      </c>
      <c r="H20" s="39" t="n">
        <v>-1835850</v>
      </c>
      <c r="I20" s="41"/>
    </row>
    <row r="21" customFormat="false" ht="15" hidden="false" customHeight="false" outlineLevel="0" collapsed="false">
      <c r="A21" s="42" t="s">
        <v>65</v>
      </c>
      <c r="B21" s="43" t="n">
        <v>371528</v>
      </c>
      <c r="C21" s="43" t="n">
        <v>2180000</v>
      </c>
      <c r="D21" s="44" t="n">
        <v>17</v>
      </c>
      <c r="E21" s="43" t="n">
        <v>-1808472</v>
      </c>
      <c r="F21" s="43" t="n">
        <v>1807900</v>
      </c>
      <c r="G21" s="44" t="n">
        <v>20.6</v>
      </c>
      <c r="H21" s="43" t="n">
        <v>-1436372</v>
      </c>
      <c r="I21" s="45"/>
    </row>
    <row r="22" customFormat="false" ht="15" hidden="false" customHeight="false" outlineLevel="0" collapsed="false">
      <c r="A22" s="38" t="s">
        <v>66</v>
      </c>
      <c r="B22" s="39" t="n">
        <v>1582708</v>
      </c>
      <c r="C22" s="39" t="n">
        <v>9500000</v>
      </c>
      <c r="D22" s="40" t="n">
        <v>16.7</v>
      </c>
      <c r="E22" s="39" t="n">
        <v>-7917292</v>
      </c>
      <c r="F22" s="39" t="n">
        <v>9277415</v>
      </c>
      <c r="G22" s="40" t="n">
        <v>17.1</v>
      </c>
      <c r="H22" s="39" t="n">
        <v>-7694707</v>
      </c>
      <c r="I22" s="41"/>
    </row>
    <row r="23" customFormat="false" ht="15" hidden="false" customHeight="false" outlineLevel="0" collapsed="false">
      <c r="A23" s="42" t="s">
        <v>67</v>
      </c>
      <c r="B23" s="43" t="n">
        <v>414000</v>
      </c>
      <c r="C23" s="43" t="n">
        <v>2650000</v>
      </c>
      <c r="D23" s="44" t="n">
        <v>15.6</v>
      </c>
      <c r="E23" s="43" t="n">
        <v>-2236000</v>
      </c>
      <c r="F23" s="43" t="n">
        <v>2438700</v>
      </c>
      <c r="G23" s="44" t="n">
        <v>17</v>
      </c>
      <c r="H23" s="43" t="n">
        <v>-2024700</v>
      </c>
      <c r="I23" s="45"/>
    </row>
    <row r="24" customFormat="false" ht="15" hidden="false" customHeight="false" outlineLevel="0" collapsed="false">
      <c r="A24" s="38" t="s">
        <v>68</v>
      </c>
      <c r="B24" s="39" t="n">
        <v>212253</v>
      </c>
      <c r="C24" s="39" t="n">
        <v>1470000</v>
      </c>
      <c r="D24" s="40" t="n">
        <v>14.4</v>
      </c>
      <c r="E24" s="39" t="n">
        <v>-1257747</v>
      </c>
      <c r="F24" s="39" t="n">
        <v>1293200</v>
      </c>
      <c r="G24" s="40" t="n">
        <v>16.4</v>
      </c>
      <c r="H24" s="39" t="n">
        <v>-1080947</v>
      </c>
      <c r="I24" s="41"/>
    </row>
    <row r="25" customFormat="false" ht="15" hidden="false" customHeight="false" outlineLevel="0" collapsed="false">
      <c r="A25" s="42" t="s">
        <v>69</v>
      </c>
      <c r="B25" s="43" t="n">
        <v>315700</v>
      </c>
      <c r="C25" s="43" t="n">
        <v>2280000</v>
      </c>
      <c r="D25" s="44" t="n">
        <v>13.8</v>
      </c>
      <c r="E25" s="43" t="n">
        <v>-1964300</v>
      </c>
      <c r="F25" s="43" t="n">
        <v>2014530</v>
      </c>
      <c r="G25" s="44" t="n">
        <v>15.7</v>
      </c>
      <c r="H25" s="43" t="n">
        <v>-1698830</v>
      </c>
      <c r="I25" s="45"/>
    </row>
    <row r="26" customFormat="false" ht="15" hidden="false" customHeight="false" outlineLevel="0" collapsed="false">
      <c r="A26" s="38" t="s">
        <v>70</v>
      </c>
      <c r="B26" s="39" t="n">
        <v>255700</v>
      </c>
      <c r="C26" s="39" t="n">
        <v>1900000</v>
      </c>
      <c r="D26" s="40" t="n">
        <v>13.5</v>
      </c>
      <c r="E26" s="39" t="n">
        <v>-1644300</v>
      </c>
      <c r="F26" s="39" t="n">
        <v>1610700</v>
      </c>
      <c r="G26" s="40" t="n">
        <v>15.9</v>
      </c>
      <c r="H26" s="39" t="n">
        <v>-1355000</v>
      </c>
      <c r="I26" s="41"/>
    </row>
    <row r="27" customFormat="false" ht="15" hidden="false" customHeight="false" outlineLevel="0" collapsed="false">
      <c r="A27" s="42" t="s">
        <v>71</v>
      </c>
      <c r="B27" s="43" t="n">
        <v>597712</v>
      </c>
      <c r="C27" s="43" t="n">
        <v>4687000</v>
      </c>
      <c r="D27" s="44" t="n">
        <v>12.8</v>
      </c>
      <c r="E27" s="43" t="n">
        <v>-4089288</v>
      </c>
      <c r="F27" s="43" t="n">
        <v>3376895</v>
      </c>
      <c r="G27" s="44" t="n">
        <v>17.7</v>
      </c>
      <c r="H27" s="43" t="n">
        <v>-2779183</v>
      </c>
      <c r="I27" s="45"/>
    </row>
    <row r="28" customFormat="false" ht="15" hidden="false" customHeight="false" outlineLevel="0" collapsed="false">
      <c r="A28" s="38" t="s">
        <v>72</v>
      </c>
      <c r="B28" s="39" t="n">
        <v>512090</v>
      </c>
      <c r="C28" s="39" t="n">
        <v>4100000</v>
      </c>
      <c r="D28" s="40" t="n">
        <v>12.5</v>
      </c>
      <c r="E28" s="39" t="n">
        <v>-3587910</v>
      </c>
      <c r="F28" s="39" t="n">
        <v>4075700</v>
      </c>
      <c r="G28" s="40" t="n">
        <v>12.6</v>
      </c>
      <c r="H28" s="39" t="n">
        <v>-3563610</v>
      </c>
      <c r="I28" s="41"/>
    </row>
    <row r="29" customFormat="false" ht="15" hidden="false" customHeight="false" outlineLevel="0" collapsed="false">
      <c r="A29" s="42" t="s">
        <v>73</v>
      </c>
      <c r="B29" s="43" t="n">
        <v>313800</v>
      </c>
      <c r="C29" s="43" t="n">
        <v>2600000</v>
      </c>
      <c r="D29" s="44" t="n">
        <v>12.1</v>
      </c>
      <c r="E29" s="43" t="n">
        <v>-2286200</v>
      </c>
      <c r="F29" s="43" t="n">
        <v>2629520</v>
      </c>
      <c r="G29" s="44" t="n">
        <v>11.9</v>
      </c>
      <c r="H29" s="43" t="n">
        <v>-2315720</v>
      </c>
      <c r="I29" s="45"/>
    </row>
    <row r="30" customFormat="false" ht="15" hidden="false" customHeight="false" outlineLevel="0" collapsed="false">
      <c r="A30" s="38" t="s">
        <v>74</v>
      </c>
      <c r="B30" s="39" t="n">
        <v>526863</v>
      </c>
      <c r="C30" s="39" t="n">
        <v>4457000</v>
      </c>
      <c r="D30" s="40" t="n">
        <v>11.8</v>
      </c>
      <c r="E30" s="39" t="n">
        <v>-3930137</v>
      </c>
      <c r="F30" s="39" t="n">
        <v>4363100</v>
      </c>
      <c r="G30" s="40" t="n">
        <v>12.1</v>
      </c>
      <c r="H30" s="39" t="n">
        <v>-3836237</v>
      </c>
      <c r="I30" s="41"/>
    </row>
    <row r="31" customFormat="false" ht="15" hidden="false" customHeight="false" outlineLevel="0" collapsed="false">
      <c r="A31" s="42" t="s">
        <v>75</v>
      </c>
      <c r="B31" s="43" t="n">
        <v>506300</v>
      </c>
      <c r="C31" s="43" t="n">
        <v>4400000</v>
      </c>
      <c r="D31" s="44" t="n">
        <v>11.5</v>
      </c>
      <c r="E31" s="43" t="n">
        <v>-3893700</v>
      </c>
      <c r="F31" s="43" t="n">
        <v>4159145</v>
      </c>
      <c r="G31" s="44" t="n">
        <v>12.2</v>
      </c>
      <c r="H31" s="43" t="n">
        <v>-3652845</v>
      </c>
      <c r="I31" s="45"/>
    </row>
    <row r="32" customFormat="false" ht="15" hidden="false" customHeight="false" outlineLevel="0" collapsed="false">
      <c r="A32" s="38" t="s">
        <v>76</v>
      </c>
      <c r="B32" s="39" t="n">
        <v>413000</v>
      </c>
      <c r="C32" s="39" t="n">
        <v>3650000</v>
      </c>
      <c r="D32" s="40" t="n">
        <v>11.3</v>
      </c>
      <c r="E32" s="39" t="n">
        <v>-3237000</v>
      </c>
      <c r="F32" s="39" t="n">
        <v>3418600</v>
      </c>
      <c r="G32" s="40" t="n">
        <v>12.1</v>
      </c>
      <c r="H32" s="39" t="n">
        <v>-3005600</v>
      </c>
      <c r="I32" s="41"/>
    </row>
    <row r="33" customFormat="false" ht="15" hidden="false" customHeight="false" outlineLevel="0" collapsed="false">
      <c r="A33" s="42" t="s">
        <v>77</v>
      </c>
      <c r="B33" s="43" t="n">
        <v>312500</v>
      </c>
      <c r="C33" s="43" t="n">
        <v>3100000</v>
      </c>
      <c r="D33" s="44" t="n">
        <v>10.1</v>
      </c>
      <c r="E33" s="43" t="n">
        <v>-2787500</v>
      </c>
      <c r="F33" s="43" t="n">
        <v>2923612</v>
      </c>
      <c r="G33" s="44" t="n">
        <v>10.7</v>
      </c>
      <c r="H33" s="43" t="n">
        <v>-2611112</v>
      </c>
      <c r="I33" s="45"/>
    </row>
    <row r="34" customFormat="false" ht="15" hidden="false" customHeight="false" outlineLevel="0" collapsed="false">
      <c r="A34" s="38" t="s">
        <v>78</v>
      </c>
      <c r="B34" s="39" t="n">
        <v>304800</v>
      </c>
      <c r="C34" s="39" t="n">
        <v>3050000</v>
      </c>
      <c r="D34" s="40" t="n">
        <v>10</v>
      </c>
      <c r="E34" s="39" t="n">
        <v>-2745200</v>
      </c>
      <c r="F34" s="39" t="n">
        <v>3027600</v>
      </c>
      <c r="G34" s="40" t="n">
        <v>10.1</v>
      </c>
      <c r="H34" s="39" t="n">
        <v>-2722800</v>
      </c>
      <c r="I34" s="41"/>
    </row>
    <row r="35" customFormat="false" ht="15" hidden="false" customHeight="false" outlineLevel="0" collapsed="false">
      <c r="A35" s="42" t="s">
        <v>79</v>
      </c>
      <c r="B35" s="43" t="n">
        <v>147316</v>
      </c>
      <c r="C35" s="43" t="n">
        <v>1520000</v>
      </c>
      <c r="D35" s="44" t="n">
        <v>9.7</v>
      </c>
      <c r="E35" s="43" t="n">
        <v>-1372684</v>
      </c>
      <c r="F35" s="43" t="n">
        <v>1451810</v>
      </c>
      <c r="G35" s="44" t="n">
        <v>10.1</v>
      </c>
      <c r="H35" s="43" t="n">
        <v>-1304494</v>
      </c>
      <c r="I35" s="45"/>
    </row>
    <row r="36" customFormat="false" ht="15" hidden="false" customHeight="false" outlineLevel="0" collapsed="false">
      <c r="A36" s="38" t="s">
        <v>80</v>
      </c>
      <c r="B36" s="39" t="n">
        <v>644000</v>
      </c>
      <c r="C36" s="39" t="n">
        <v>6700000</v>
      </c>
      <c r="D36" s="40" t="n">
        <v>9.6</v>
      </c>
      <c r="E36" s="39" t="n">
        <v>-6056000</v>
      </c>
      <c r="F36" s="39" t="n">
        <v>6535150</v>
      </c>
      <c r="G36" s="40" t="n">
        <v>9.9</v>
      </c>
      <c r="H36" s="39" t="n">
        <v>-5891150</v>
      </c>
      <c r="I36" s="41"/>
    </row>
    <row r="37" customFormat="false" ht="15" hidden="false" customHeight="false" outlineLevel="0" collapsed="false">
      <c r="A37" s="42" t="s">
        <v>81</v>
      </c>
      <c r="B37" s="43" t="n">
        <v>247325</v>
      </c>
      <c r="C37" s="43" t="n">
        <v>2883000</v>
      </c>
      <c r="D37" s="44" t="n">
        <v>8.6</v>
      </c>
      <c r="E37" s="43" t="n">
        <v>-2635675</v>
      </c>
      <c r="F37" s="43" t="n">
        <v>2232420</v>
      </c>
      <c r="G37" s="44" t="n">
        <v>11.1</v>
      </c>
      <c r="H37" s="43" t="n">
        <v>-1985095</v>
      </c>
      <c r="I37" s="45"/>
    </row>
    <row r="38" customFormat="false" ht="15" hidden="false" customHeight="false" outlineLevel="0" collapsed="false">
      <c r="A38" s="38" t="s">
        <v>82</v>
      </c>
      <c r="B38" s="39" t="n">
        <v>263871</v>
      </c>
      <c r="C38" s="39" t="n">
        <v>3130000</v>
      </c>
      <c r="D38" s="40" t="n">
        <v>8.4</v>
      </c>
      <c r="E38" s="39" t="n">
        <v>-2866129</v>
      </c>
      <c r="F38" s="39" t="n">
        <v>2850123</v>
      </c>
      <c r="G38" s="40" t="n">
        <v>9.3</v>
      </c>
      <c r="H38" s="39" t="n">
        <v>-2586252</v>
      </c>
      <c r="I38" s="41"/>
    </row>
    <row r="39" customFormat="false" ht="15" hidden="false" customHeight="false" outlineLevel="0" collapsed="false">
      <c r="A39" s="42" t="s">
        <v>83</v>
      </c>
      <c r="B39" s="43" t="n">
        <v>320226</v>
      </c>
      <c r="C39" s="43" t="n">
        <v>4172000</v>
      </c>
      <c r="D39" s="44" t="n">
        <v>7.7</v>
      </c>
      <c r="E39" s="43" t="n">
        <v>-3851774</v>
      </c>
      <c r="F39" s="43" t="n">
        <v>2813375</v>
      </c>
      <c r="G39" s="44" t="n">
        <v>11.4</v>
      </c>
      <c r="H39" s="43" t="n">
        <v>-2493149</v>
      </c>
      <c r="I39" s="45"/>
    </row>
    <row r="40" customFormat="false" ht="15" hidden="false" customHeight="false" outlineLevel="0" collapsed="false">
      <c r="A40" s="38" t="s">
        <v>84</v>
      </c>
      <c r="B40" s="39" t="n">
        <v>151000</v>
      </c>
      <c r="C40" s="39" t="n">
        <v>2168000</v>
      </c>
      <c r="D40" s="40" t="n">
        <v>7</v>
      </c>
      <c r="E40" s="39" t="n">
        <v>-2017000</v>
      </c>
      <c r="F40" s="39" t="n">
        <v>2059800</v>
      </c>
      <c r="G40" s="40" t="n">
        <v>7.3</v>
      </c>
      <c r="H40" s="39" t="n">
        <v>-1908800</v>
      </c>
      <c r="I40" s="41"/>
    </row>
    <row r="41" customFormat="false" ht="15" hidden="false" customHeight="false" outlineLevel="0" collapsed="false">
      <c r="A41" s="42" t="s">
        <v>85</v>
      </c>
      <c r="B41" s="43" t="n">
        <v>119200</v>
      </c>
      <c r="C41" s="43" t="n">
        <v>1700000</v>
      </c>
      <c r="D41" s="44" t="n">
        <v>7</v>
      </c>
      <c r="E41" s="43" t="n">
        <v>-1580800</v>
      </c>
      <c r="F41" s="44" t="n">
        <v>0</v>
      </c>
      <c r="G41" s="44" t="n">
        <v>0</v>
      </c>
      <c r="H41" s="43" t="n">
        <v>119200</v>
      </c>
      <c r="I41" s="45"/>
    </row>
    <row r="42" customFormat="false" ht="15" hidden="false" customHeight="false" outlineLevel="0" collapsed="false">
      <c r="A42" s="38" t="s">
        <v>86</v>
      </c>
      <c r="B42" s="39" t="n">
        <v>202545</v>
      </c>
      <c r="C42" s="39" t="n">
        <v>3400000</v>
      </c>
      <c r="D42" s="40" t="n">
        <v>6</v>
      </c>
      <c r="E42" s="39" t="n">
        <v>-3197455</v>
      </c>
      <c r="F42" s="39" t="n">
        <v>4550720</v>
      </c>
      <c r="G42" s="40" t="n">
        <v>4.5</v>
      </c>
      <c r="H42" s="39" t="n">
        <v>-4348175</v>
      </c>
      <c r="I42" s="41"/>
    </row>
    <row r="43" customFormat="false" ht="15" hidden="false" customHeight="false" outlineLevel="0" collapsed="false">
      <c r="A43" s="42" t="s">
        <v>87</v>
      </c>
      <c r="B43" s="43" t="n">
        <v>619544</v>
      </c>
      <c r="C43" s="43" t="n">
        <v>12000000</v>
      </c>
      <c r="D43" s="44" t="n">
        <v>5.2</v>
      </c>
      <c r="E43" s="43" t="n">
        <v>-11380456</v>
      </c>
      <c r="F43" s="43" t="n">
        <v>11765100</v>
      </c>
      <c r="G43" s="44" t="n">
        <v>5.3</v>
      </c>
      <c r="H43" s="43" t="n">
        <v>-11145556</v>
      </c>
      <c r="I43" s="45"/>
    </row>
    <row r="44" customFormat="false" ht="15" hidden="false" customHeight="false" outlineLevel="0" collapsed="false">
      <c r="A44" s="38" t="s">
        <v>88</v>
      </c>
      <c r="B44" s="39" t="n">
        <v>132320</v>
      </c>
      <c r="C44" s="39" t="n">
        <v>3050000</v>
      </c>
      <c r="D44" s="40" t="n">
        <v>4.3</v>
      </c>
      <c r="E44" s="39" t="n">
        <v>-2917680</v>
      </c>
      <c r="F44" s="39" t="n">
        <v>2677580</v>
      </c>
      <c r="G44" s="40" t="n">
        <v>4.9</v>
      </c>
      <c r="H44" s="39" t="n">
        <v>-2545260</v>
      </c>
      <c r="I44" s="41"/>
    </row>
    <row r="45" customFormat="false" ht="15" hidden="false" customHeight="false" outlineLevel="0" collapsed="false">
      <c r="A45" s="42" t="s">
        <v>89</v>
      </c>
      <c r="B45" s="43" t="n">
        <v>127300</v>
      </c>
      <c r="C45" s="43" t="n">
        <v>4900000</v>
      </c>
      <c r="D45" s="44" t="n">
        <v>2.6</v>
      </c>
      <c r="E45" s="43" t="n">
        <v>-4772700</v>
      </c>
      <c r="F45" s="43" t="n">
        <v>4882220</v>
      </c>
      <c r="G45" s="44" t="n">
        <v>2.6</v>
      </c>
      <c r="H45" s="43" t="n">
        <v>-4754920</v>
      </c>
      <c r="I45" s="45"/>
    </row>
    <row r="46" customFormat="false" ht="15" hidden="false" customHeight="false" outlineLevel="0" collapsed="false">
      <c r="A46" s="38" t="s">
        <v>90</v>
      </c>
      <c r="B46" s="39" t="n">
        <v>182800</v>
      </c>
      <c r="C46" s="39" t="n">
        <v>8400000</v>
      </c>
      <c r="D46" s="40" t="n">
        <v>2.2</v>
      </c>
      <c r="E46" s="39" t="n">
        <v>-8217200</v>
      </c>
      <c r="F46" s="39" t="n">
        <v>8129765</v>
      </c>
      <c r="G46" s="40" t="n">
        <v>2.2</v>
      </c>
      <c r="H46" s="39" t="n">
        <v>-7946965</v>
      </c>
      <c r="I46" s="41"/>
    </row>
    <row r="47" customFormat="false" ht="15" hidden="false" customHeight="false" outlineLevel="0" collapsed="false">
      <c r="A47" s="46" t="s">
        <v>15</v>
      </c>
      <c r="B47" s="47" t="n">
        <v>24721500</v>
      </c>
      <c r="C47" s="47" t="n">
        <v>164709000</v>
      </c>
      <c r="D47" s="48" t="n">
        <v>15</v>
      </c>
      <c r="E47" s="47" t="n">
        <v>-139987500</v>
      </c>
      <c r="F47" s="47" t="n">
        <v>150139548</v>
      </c>
      <c r="G47" s="48" t="n">
        <v>16.5</v>
      </c>
      <c r="H47" s="47" t="n">
        <v>-125418048</v>
      </c>
      <c r="I47" s="49"/>
    </row>
  </sheetData>
  <mergeCells count="6">
    <mergeCell ref="A1:A3"/>
    <mergeCell ref="B1:H1"/>
    <mergeCell ref="I1:I3"/>
    <mergeCell ref="B2:B3"/>
    <mergeCell ref="C2:E2"/>
    <mergeCell ref="F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40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7" min="17" style="0" width="60"/>
  </cols>
  <sheetData>
    <row r="1" customFormat="false" ht="17.35" hidden="false" customHeight="false" outlineLevel="0" collapsed="false">
      <c r="A1" s="50" t="s">
        <v>91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51" t="s">
        <v>93</v>
      </c>
      <c r="B4" s="52" t="s">
        <v>32</v>
      </c>
      <c r="C4" s="52" t="s">
        <v>33</v>
      </c>
      <c r="D4" s="52" t="s">
        <v>34</v>
      </c>
      <c r="E4" s="52" t="s">
        <v>1</v>
      </c>
      <c r="F4" s="53" t="s">
        <v>94</v>
      </c>
      <c r="G4" s="53" t="s">
        <v>3</v>
      </c>
      <c r="H4" s="53" t="s">
        <v>5</v>
      </c>
      <c r="I4" s="53" t="s">
        <v>8</v>
      </c>
      <c r="J4" s="53" t="s">
        <v>95</v>
      </c>
      <c r="K4" s="53" t="s">
        <v>96</v>
      </c>
      <c r="L4" s="53" t="s">
        <v>97</v>
      </c>
      <c r="M4" s="53" t="s">
        <v>98</v>
      </c>
      <c r="N4" s="53" t="s">
        <v>99</v>
      </c>
      <c r="O4" s="53" t="s">
        <v>100</v>
      </c>
      <c r="Q4" s="54" t="s">
        <v>101</v>
      </c>
    </row>
    <row r="5" customFormat="false" ht="15" hidden="false" customHeight="false" outlineLevel="0" collapsed="false">
      <c r="A5" s="55" t="n">
        <f aca="false">IF(B5="","",ROW()-4)</f>
        <v>1</v>
      </c>
      <c r="B5" s="56" t="n">
        <v>32570100</v>
      </c>
      <c r="C5" s="57" t="s">
        <v>102</v>
      </c>
      <c r="D5" s="57" t="s">
        <v>11</v>
      </c>
      <c r="E5" s="57" t="s">
        <v>11</v>
      </c>
      <c r="F5" s="58" t="n">
        <f aca="false">IF(B5="","",IF(COUNTIF(取込チェック!$C$6:$C$505,B5)&gt;0,1,0))</f>
        <v>1</v>
      </c>
      <c r="G5" s="59" t="n">
        <f aca="false">IF(B5="","",SUMIF(取込チェック!$C$6:$C$505,B5,取込チェック!$D$6:$D$505))</f>
        <v>1650946</v>
      </c>
      <c r="H5" s="59" t="n">
        <f aca="false">IF(B5="","",SUMIF(取込チェック!$C$6:$C$505,B5,取込チェック!$E$6:$E$505))</f>
        <v>6591000</v>
      </c>
      <c r="I5" s="59" t="n">
        <f aca="false">IF(B5="","",SUMIF(取込チェック!$C$6:$C$505,B5,取込チェック!$F$6:$F$505))</f>
        <v>4992300</v>
      </c>
      <c r="J5" s="60" t="n">
        <f aca="false">IF(F5&lt;&gt;1,"",IF(H5=0,-1,G5/H5))</f>
        <v>0.250484903656501</v>
      </c>
      <c r="K5" s="58" t="n">
        <f aca="false">IF(F5&lt;&gt;1,"",COUNTIFS($E$5:$E$304,E5,$F$5:$F$304,1,$J$5:$J$304,"&gt;"&amp;J5)+COUNTIFS($E$5:$E$304,E5,$F$5:$F$304,1,$J$5:$J$304,J5,$A$5:$A$304,"&lt;"&amp;A5)+1)</f>
        <v>5</v>
      </c>
      <c r="L5" s="58" t="str">
        <f aca="false">IF(K5="","",E5&amp;"|"&amp;K5)</f>
        <v>アルチビオ|5</v>
      </c>
      <c r="M5" s="58" t="n">
        <f aca="false">IF(F5&lt;&gt;1,"",IF(COUNTIFS($C$5:C5,C5,$F$5:F5,1)=1,1,0))</f>
        <v>1</v>
      </c>
      <c r="N5" s="59" t="n">
        <f aca="false">IF(M5&lt;&gt;1,"",SUMIF($C$5:$C$304,C5,$G$5:$G$304))</f>
        <v>2913800</v>
      </c>
      <c r="O5" s="58" t="n">
        <f aca="false">IF(M5&lt;&gt;1,"",COUNTIFS($M$5:$M$304,1,$N$5:$N$304,"&gt;"&amp;N5)+COUNTIFS($M$5:$M$304,1,$N$5:$N$304,N5,$A$5:$A$304,"&lt;"&amp;A5)+1)</f>
        <v>1</v>
      </c>
      <c r="Q5" s="2" t="s">
        <v>103</v>
      </c>
    </row>
    <row r="6" customFormat="false" ht="15" hidden="false" customHeight="false" outlineLevel="0" collapsed="false">
      <c r="A6" s="55" t="n">
        <f aca="false">IF(B6="","",ROW()-4)</f>
        <v>2</v>
      </c>
      <c r="B6" s="57" t="n">
        <v>32571600</v>
      </c>
      <c r="C6" s="57" t="s">
        <v>104</v>
      </c>
      <c r="D6" s="57" t="s">
        <v>11</v>
      </c>
      <c r="E6" s="57" t="s">
        <v>11</v>
      </c>
      <c r="F6" s="58" t="n">
        <f aca="false">IF(B6="","",IF(COUNTIF(取込チェック!$C$6:$C$505,B6)&gt;0,1,0))</f>
        <v>1</v>
      </c>
      <c r="G6" s="59" t="n">
        <f aca="false">IF(B6="","",SUMIF(取込チェック!$C$6:$C$505,B6,取込チェック!$D$6:$D$505))</f>
        <v>182800</v>
      </c>
      <c r="H6" s="59" t="n">
        <f aca="false">IF(B6="","",SUMIF(取込チェック!$C$6:$C$505,B6,取込チェック!$E$6:$E$505))</f>
        <v>8400000</v>
      </c>
      <c r="I6" s="59" t="n">
        <f aca="false">IF(B6="","",SUMIF(取込チェック!$C$6:$C$505,B6,取込チェック!$F$6:$F$505))</f>
        <v>8129765</v>
      </c>
      <c r="J6" s="60" t="n">
        <f aca="false">IF(F6&lt;&gt;1,"",IF(H6=0,-1,G6/H6))</f>
        <v>0.0217619047619048</v>
      </c>
      <c r="K6" s="58" t="n">
        <f aca="false">IF(F6&lt;&gt;1,"",COUNTIFS($E$5:$E$304,E6,$F$5:$F$304,1,$J$5:$J$304,"&gt;"&amp;J6)+COUNTIFS($E$5:$E$304,E6,$F$5:$F$304,1,$J$5:$J$304,J6,$A$5:$A$304,"&lt;"&amp;A6)+1)</f>
        <v>11</v>
      </c>
      <c r="L6" s="58" t="str">
        <f aca="false">IF(K6="","",E6&amp;"|"&amp;K6)</f>
        <v>アルチビオ|11</v>
      </c>
      <c r="M6" s="58" t="n">
        <f aca="false">IF(F6&lt;&gt;1,"",IF(COUNTIFS($C$5:C6,C6,$F$5:F6,1)=1,1,0))</f>
        <v>1</v>
      </c>
      <c r="N6" s="59" t="n">
        <f aca="false">IF(M6&lt;&gt;1,"",SUMIF($C$5:$C$304,C6,$G$5:$G$304))</f>
        <v>182800</v>
      </c>
      <c r="O6" s="58" t="n">
        <f aca="false">IF(M6&lt;&gt;1,"",COUNTIFS($M$5:$M$304,1,$N$5:$N$304,"&gt;"&amp;N6)+COUNTIFS($M$5:$M$304,1,$N$5:$N$304,N6,$A$5:$A$304,"&lt;"&amp;A6)+1)</f>
        <v>32</v>
      </c>
      <c r="Q6" s="2" t="s">
        <v>105</v>
      </c>
    </row>
    <row r="7" customFormat="false" ht="15" hidden="false" customHeight="false" outlineLevel="0" collapsed="false">
      <c r="A7" s="55" t="n">
        <f aca="false">IF(B7="","",ROW()-4)</f>
        <v>3</v>
      </c>
      <c r="B7" s="57" t="n">
        <v>32580400</v>
      </c>
      <c r="C7" s="57" t="s">
        <v>106</v>
      </c>
      <c r="D7" s="57" t="s">
        <v>11</v>
      </c>
      <c r="E7" s="57" t="s">
        <v>11</v>
      </c>
      <c r="F7" s="58" t="n">
        <f aca="false">IF(B7="","",IF(COUNTIF(取込チェック!$C$6:$C$505,B7)&gt;0,1,0))</f>
        <v>1</v>
      </c>
      <c r="G7" s="59" t="n">
        <f aca="false">IF(B7="","",SUMIF(取込チェック!$C$6:$C$505,B7,取込チェック!$D$6:$D$505))</f>
        <v>1942301</v>
      </c>
      <c r="H7" s="59" t="n">
        <f aca="false">IF(B7="","",SUMIF(取込チェック!$C$6:$C$505,B7,取込チェック!$E$6:$E$505))</f>
        <v>3812000</v>
      </c>
      <c r="I7" s="59" t="n">
        <f aca="false">IF(B7="","",SUMIF(取込チェック!$C$6:$C$505,B7,取込チェック!$F$6:$F$505))</f>
        <v>3514950</v>
      </c>
      <c r="J7" s="60" t="n">
        <f aca="false">IF(F7&lt;&gt;1,"",IF(H7=0,-1,G7/H7))</f>
        <v>0.509522822665268</v>
      </c>
      <c r="K7" s="58" t="n">
        <f aca="false">IF(F7&lt;&gt;1,"",COUNTIFS($E$5:$E$304,E7,$F$5:$F$304,1,$J$5:$J$304,"&gt;"&amp;J7)+COUNTIFS($E$5:$E$304,E7,$F$5:$F$304,1,$J$5:$J$304,J7,$A$5:$A$304,"&lt;"&amp;A7)+1)</f>
        <v>2</v>
      </c>
      <c r="L7" s="58" t="str">
        <f aca="false">IF(K7="","",E7&amp;"|"&amp;K7)</f>
        <v>アルチビオ|2</v>
      </c>
      <c r="M7" s="58" t="n">
        <f aca="false">IF(F7&lt;&gt;1,"",IF(COUNTIFS($C$5:C7,C7,$F$5:F7,1)=1,1,0))</f>
        <v>1</v>
      </c>
      <c r="N7" s="59" t="n">
        <f aca="false">IF(M7&lt;&gt;1,"",SUMIF($C$5:$C$304,C7,$G$5:$G$304))</f>
        <v>1942301</v>
      </c>
      <c r="O7" s="58" t="n">
        <f aca="false">IF(M7&lt;&gt;1,"",COUNTIFS($M$5:$M$304,1,$N$5:$N$304,"&gt;"&amp;N7)+COUNTIFS($M$5:$M$304,1,$N$5:$N$304,N7,$A$5:$A$304,"&lt;"&amp;A7)+1)</f>
        <v>2</v>
      </c>
      <c r="Q7" s="2" t="s">
        <v>107</v>
      </c>
    </row>
    <row r="8" customFormat="false" ht="15" hidden="false" customHeight="false" outlineLevel="0" collapsed="false">
      <c r="A8" s="55" t="n">
        <f aca="false">IF(B8="","",ROW()-4)</f>
        <v>4</v>
      </c>
      <c r="B8" s="57" t="n">
        <v>32581000</v>
      </c>
      <c r="C8" s="57" t="s">
        <v>108</v>
      </c>
      <c r="D8" s="57" t="s">
        <v>11</v>
      </c>
      <c r="E8" s="57" t="s">
        <v>11</v>
      </c>
      <c r="F8" s="58" t="n">
        <f aca="false">IF(B8="","",IF(COUNTIF(取込チェック!$C$6:$C$505,B8)&gt;0,1,0))</f>
        <v>1</v>
      </c>
      <c r="G8" s="59" t="n">
        <f aca="false">IF(B8="","",SUMIF(取込チェック!$C$6:$C$505,B8,取込チェック!$D$6:$D$505))</f>
        <v>898194</v>
      </c>
      <c r="H8" s="59" t="n">
        <f aca="false">IF(B8="","",SUMIF(取込チェック!$C$6:$C$505,B8,取込チェック!$E$6:$E$505))</f>
        <v>4782000</v>
      </c>
      <c r="I8" s="59" t="n">
        <f aca="false">IF(B8="","",SUMIF(取込チェック!$C$6:$C$505,B8,取込チェック!$F$6:$F$505))</f>
        <v>4451408</v>
      </c>
      <c r="J8" s="60" t="n">
        <f aca="false">IF(F8&lt;&gt;1,"",IF(H8=0,-1,G8/H8))</f>
        <v>0.187828105395232</v>
      </c>
      <c r="K8" s="58" t="n">
        <f aca="false">IF(F8&lt;&gt;1,"",COUNTIFS($E$5:$E$304,E8,$F$5:$F$304,1,$J$5:$J$304,"&gt;"&amp;J8)+COUNTIFS($E$5:$E$304,E8,$F$5:$F$304,1,$J$5:$J$304,J8,$A$5:$A$304,"&lt;"&amp;A8)+1)</f>
        <v>6</v>
      </c>
      <c r="L8" s="58" t="str">
        <f aca="false">IF(K8="","",E8&amp;"|"&amp;K8)</f>
        <v>アルチビオ|6</v>
      </c>
      <c r="M8" s="58" t="n">
        <f aca="false">IF(F8&lt;&gt;1,"",IF(COUNTIFS($C$5:C8,C8,$F$5:F8,1)=1,1,0))</f>
        <v>1</v>
      </c>
      <c r="N8" s="59" t="n">
        <f aca="false">IF(M8&lt;&gt;1,"",SUMIF($C$5:$C$304,C8,$G$5:$G$304))</f>
        <v>898194</v>
      </c>
      <c r="O8" s="58" t="n">
        <f aca="false">IF(M8&lt;&gt;1,"",COUNTIFS($M$5:$M$304,1,$N$5:$N$304,"&gt;"&amp;N8)+COUNTIFS($M$5:$M$304,1,$N$5:$N$304,N8,$A$5:$A$304,"&lt;"&amp;A8)+1)</f>
        <v>10</v>
      </c>
      <c r="Q8" s="2" t="s">
        <v>109</v>
      </c>
    </row>
    <row r="9" customFormat="false" ht="15" hidden="false" customHeight="false" outlineLevel="0" collapsed="false">
      <c r="A9" s="55" t="n">
        <f aca="false">IF(B9="","",ROW()-4)</f>
        <v>5</v>
      </c>
      <c r="B9" s="57" t="n">
        <v>32670600</v>
      </c>
      <c r="C9" s="57" t="s">
        <v>110</v>
      </c>
      <c r="D9" s="57" t="s">
        <v>11</v>
      </c>
      <c r="E9" s="57" t="s">
        <v>11</v>
      </c>
      <c r="F9" s="58" t="n">
        <f aca="false">IF(B9="","",IF(COUNTIF(取込チェック!$C$6:$C$505,B9)&gt;0,1,0))</f>
        <v>1</v>
      </c>
      <c r="G9" s="59" t="n">
        <f aca="false">IF(B9="","",SUMIF(取込チェック!$C$6:$C$505,B9,取込チェック!$D$6:$D$505))</f>
        <v>1202200</v>
      </c>
      <c r="H9" s="59" t="n">
        <f aca="false">IF(B9="","",SUMIF(取込チェック!$C$6:$C$505,B9,取込チェック!$E$6:$E$505))</f>
        <v>3958000</v>
      </c>
      <c r="I9" s="59" t="n">
        <f aca="false">IF(B9="","",SUMIF(取込チェック!$C$6:$C$505,B9,取込チェック!$F$6:$F$505))</f>
        <v>3803490</v>
      </c>
      <c r="J9" s="60" t="n">
        <f aca="false">IF(F9&lt;&gt;1,"",IF(H9=0,-1,G9/H9))</f>
        <v>0.303739262253664</v>
      </c>
      <c r="K9" s="58" t="n">
        <f aca="false">IF(F9&lt;&gt;1,"",COUNTIFS($E$5:$E$304,E9,$F$5:$F$304,1,$J$5:$J$304,"&gt;"&amp;J9)+COUNTIFS($E$5:$E$304,E9,$F$5:$F$304,1,$J$5:$J$304,J9,$A$5:$A$304,"&lt;"&amp;A9)+1)</f>
        <v>3</v>
      </c>
      <c r="L9" s="58" t="str">
        <f aca="false">IF(K9="","",E9&amp;"|"&amp;K9)</f>
        <v>アルチビオ|3</v>
      </c>
      <c r="M9" s="58" t="n">
        <f aca="false">IF(F9&lt;&gt;1,"",IF(COUNTIFS($C$5:C9,C9,$F$5:F9,1)=1,1,0))</f>
        <v>1</v>
      </c>
      <c r="N9" s="59" t="n">
        <f aca="false">IF(M9&lt;&gt;1,"",SUMIF($C$5:$C$304,C9,$G$5:$G$304))</f>
        <v>1329500</v>
      </c>
      <c r="O9" s="58" t="n">
        <f aca="false">IF(M9&lt;&gt;1,"",COUNTIFS($M$5:$M$304,1,$N$5:$N$304,"&gt;"&amp;N9)+COUNTIFS($M$5:$M$304,1,$N$5:$N$304,N9,$A$5:$A$304,"&lt;"&amp;A9)+1)</f>
        <v>5</v>
      </c>
    </row>
    <row r="10" customFormat="false" ht="15" hidden="false" customHeight="false" outlineLevel="0" collapsed="false">
      <c r="A10" s="55" t="n">
        <f aca="false">IF(B10="","",ROW()-4)</f>
        <v>6</v>
      </c>
      <c r="B10" s="57" t="n">
        <v>32673500</v>
      </c>
      <c r="C10" s="57" t="s">
        <v>111</v>
      </c>
      <c r="D10" s="57" t="s">
        <v>11</v>
      </c>
      <c r="E10" s="57" t="s">
        <v>11</v>
      </c>
      <c r="F10" s="58" t="n">
        <f aca="false">IF(B10="","",IF(COUNTIF(取込チェック!$C$6:$C$505,B10)&gt;0,1,0))</f>
        <v>1</v>
      </c>
      <c r="G10" s="59" t="n">
        <f aca="false">IF(B10="","",SUMIF(取込チェック!$C$6:$C$505,B10,取込チェック!$D$6:$D$505))</f>
        <v>526863</v>
      </c>
      <c r="H10" s="59" t="n">
        <f aca="false">IF(B10="","",SUMIF(取込チェック!$C$6:$C$505,B10,取込チェック!$E$6:$E$505))</f>
        <v>4457000</v>
      </c>
      <c r="I10" s="59" t="n">
        <f aca="false">IF(B10="","",SUMIF(取込チェック!$C$6:$C$505,B10,取込チェック!$F$6:$F$505))</f>
        <v>4363100</v>
      </c>
      <c r="J10" s="60" t="n">
        <f aca="false">IF(F10&lt;&gt;1,"",IF(H10=0,-1,G10/H10))</f>
        <v>0.118210231097151</v>
      </c>
      <c r="K10" s="58" t="n">
        <f aca="false">IF(F10&lt;&gt;1,"",COUNTIFS($E$5:$E$304,E10,$F$5:$F$304,1,$J$5:$J$304,"&gt;"&amp;J10)+COUNTIFS($E$5:$E$304,E10,$F$5:$F$304,1,$J$5:$J$304,J10,$A$5:$A$304,"&lt;"&amp;A10)+1)</f>
        <v>9</v>
      </c>
      <c r="L10" s="58" t="str">
        <f aca="false">IF(K10="","",E10&amp;"|"&amp;K10)</f>
        <v>アルチビオ|9</v>
      </c>
      <c r="M10" s="58" t="n">
        <f aca="false">IF(F10&lt;&gt;1,"",IF(COUNTIFS($C$5:C10,C10,$F$5:F10,1)=1,1,0))</f>
        <v>1</v>
      </c>
      <c r="N10" s="59" t="n">
        <f aca="false">IF(M10&lt;&gt;1,"",SUMIF($C$5:$C$304,C10,$G$5:$G$304))</f>
        <v>1146407</v>
      </c>
      <c r="O10" s="58" t="n">
        <f aca="false">IF(M10&lt;&gt;1,"",COUNTIFS($M$5:$M$304,1,$N$5:$N$304,"&gt;"&amp;N10)+COUNTIFS($M$5:$M$304,1,$N$5:$N$304,N10,$A$5:$A$304,"&lt;"&amp;A10)+1)</f>
        <v>8</v>
      </c>
    </row>
    <row r="11" customFormat="false" ht="15" hidden="false" customHeight="false" outlineLevel="0" collapsed="false">
      <c r="A11" s="55" t="n">
        <f aca="false">IF(B11="","",ROW()-4)</f>
        <v>7</v>
      </c>
      <c r="B11" s="57" t="n">
        <v>32673800</v>
      </c>
      <c r="C11" s="57" t="s">
        <v>112</v>
      </c>
      <c r="D11" s="57" t="s">
        <v>11</v>
      </c>
      <c r="E11" s="57" t="s">
        <v>11</v>
      </c>
      <c r="F11" s="58" t="n">
        <f aca="false">IF(B11="","",IF(COUNTIF(取込チェック!$C$6:$C$505,B11)&gt;0,1,0))</f>
        <v>1</v>
      </c>
      <c r="G11" s="59" t="n">
        <f aca="false">IF(B11="","",SUMIF(取込チェック!$C$6:$C$505,B11,取込チェック!$D$6:$D$505))</f>
        <v>371528</v>
      </c>
      <c r="H11" s="59" t="n">
        <f aca="false">IF(B11="","",SUMIF(取込チェック!$C$6:$C$505,B11,取込チェック!$E$6:$E$505))</f>
        <v>2180000</v>
      </c>
      <c r="I11" s="59" t="n">
        <f aca="false">IF(B11="","",SUMIF(取込チェック!$C$6:$C$505,B11,取込チェック!$F$6:$F$505))</f>
        <v>1807900</v>
      </c>
      <c r="J11" s="60" t="n">
        <f aca="false">IF(F11&lt;&gt;1,"",IF(H11=0,-1,G11/H11))</f>
        <v>0.170425688073395</v>
      </c>
      <c r="K11" s="58" t="n">
        <f aca="false">IF(F11&lt;&gt;1,"",COUNTIFS($E$5:$E$304,E11,$F$5:$F$304,1,$J$5:$J$304,"&gt;"&amp;J11)+COUNTIFS($E$5:$E$304,E11,$F$5:$F$304,1,$J$5:$J$304,J11,$A$5:$A$304,"&lt;"&amp;A11)+1)</f>
        <v>7</v>
      </c>
      <c r="L11" s="58" t="str">
        <f aca="false">IF(K11="","",E11&amp;"|"&amp;K11)</f>
        <v>アルチビオ|7</v>
      </c>
      <c r="M11" s="58" t="n">
        <f aca="false">IF(F11&lt;&gt;1,"",IF(COUNTIFS($C$5:C11,C11,$F$5:F11,1)=1,1,0))</f>
        <v>1</v>
      </c>
      <c r="N11" s="59" t="n">
        <f aca="false">IF(M11&lt;&gt;1,"",SUMIF($C$5:$C$304,C11,$G$5:$G$304))</f>
        <v>1291628</v>
      </c>
      <c r="O11" s="58" t="n">
        <f aca="false">IF(M11&lt;&gt;1,"",COUNTIFS($M$5:$M$304,1,$N$5:$N$304,"&gt;"&amp;N11)+COUNTIFS($M$5:$M$304,1,$N$5:$N$304,N11,$A$5:$A$304,"&lt;"&amp;A11)+1)</f>
        <v>6</v>
      </c>
    </row>
    <row r="12" customFormat="false" ht="15" hidden="false" customHeight="false" outlineLevel="0" collapsed="false">
      <c r="A12" s="55" t="n">
        <f aca="false">IF(B12="","",ROW()-4)</f>
        <v>8</v>
      </c>
      <c r="B12" s="57" t="n">
        <v>32673900</v>
      </c>
      <c r="C12" s="57" t="s">
        <v>113</v>
      </c>
      <c r="D12" s="57" t="s">
        <v>11</v>
      </c>
      <c r="E12" s="57" t="s">
        <v>11</v>
      </c>
      <c r="F12" s="58" t="n">
        <f aca="false">IF(B12="","",IF(COUNTIF(取込チェック!$C$6:$C$505,B12)&gt;0,1,0))</f>
        <v>1</v>
      </c>
      <c r="G12" s="59" t="n">
        <f aca="false">IF(B12="","",SUMIF(取込チェック!$C$6:$C$505,B12,取込チェック!$D$6:$D$505))</f>
        <v>897774</v>
      </c>
      <c r="H12" s="59" t="n">
        <f aca="false">IF(B12="","",SUMIF(取込チェック!$C$6:$C$505,B12,取込チェック!$E$6:$E$505))</f>
        <v>1200000</v>
      </c>
      <c r="I12" s="59" t="n">
        <f aca="false">IF(B12="","",SUMIF(取込チェック!$C$6:$C$505,B12,取込チェック!$F$6:$F$505))</f>
        <v>1184930</v>
      </c>
      <c r="J12" s="60" t="n">
        <f aca="false">IF(F12&lt;&gt;1,"",IF(H12=0,-1,G12/H12))</f>
        <v>0.748145</v>
      </c>
      <c r="K12" s="58" t="n">
        <f aca="false">IF(F12&lt;&gt;1,"",COUNTIFS($E$5:$E$304,E12,$F$5:$F$304,1,$J$5:$J$304,"&gt;"&amp;J12)+COUNTIFS($E$5:$E$304,E12,$F$5:$F$304,1,$J$5:$J$304,J12,$A$5:$A$304,"&lt;"&amp;A12)+1)</f>
        <v>1</v>
      </c>
      <c r="L12" s="58" t="str">
        <f aca="false">IF(K12="","",E12&amp;"|"&amp;K12)</f>
        <v>アルチビオ|1</v>
      </c>
      <c r="M12" s="58" t="n">
        <f aca="false">IF(F12&lt;&gt;1,"",IF(COUNTIFS($C$5:C12,C12,$F$5:F12,1)=1,1,0))</f>
        <v>1</v>
      </c>
      <c r="N12" s="59" t="n">
        <f aca="false">IF(M12&lt;&gt;1,"",SUMIF($C$5:$C$304,C12,$G$5:$G$304))</f>
        <v>1673942</v>
      </c>
      <c r="O12" s="58" t="n">
        <f aca="false">IF(M12&lt;&gt;1,"",COUNTIFS($M$5:$M$304,1,$N$5:$N$304,"&gt;"&amp;N12)+COUNTIFS($M$5:$M$304,1,$N$5:$N$304,N12,$A$5:$A$304,"&lt;"&amp;A12)+1)</f>
        <v>3</v>
      </c>
    </row>
    <row r="13" customFormat="false" ht="15" hidden="false" customHeight="false" outlineLevel="0" collapsed="false">
      <c r="A13" s="55" t="n">
        <f aca="false">IF(B13="","",ROW()-4)</f>
        <v>9</v>
      </c>
      <c r="B13" s="57" t="n">
        <v>32674400</v>
      </c>
      <c r="C13" s="57" t="s">
        <v>114</v>
      </c>
      <c r="D13" s="57" t="s">
        <v>11</v>
      </c>
      <c r="E13" s="57" t="s">
        <v>11</v>
      </c>
      <c r="F13" s="58" t="n">
        <f aca="false">IF(B13="","",IF(COUNTIF(取込チェック!$C$6:$C$505,B13)&gt;0,1,0))</f>
        <v>1</v>
      </c>
      <c r="G13" s="59" t="n">
        <f aca="false">IF(B13="","",SUMIF(取込チェック!$C$6:$C$505,B13,取込チェック!$D$6:$D$505))</f>
        <v>212253</v>
      </c>
      <c r="H13" s="59" t="n">
        <f aca="false">IF(B13="","",SUMIF(取込チェック!$C$6:$C$505,B13,取込チェック!$E$6:$E$505))</f>
        <v>1470000</v>
      </c>
      <c r="I13" s="59" t="n">
        <f aca="false">IF(B13="","",SUMIF(取込チェック!$C$6:$C$505,B13,取込チェック!$F$6:$F$505))</f>
        <v>1293200</v>
      </c>
      <c r="J13" s="60" t="n">
        <f aca="false">IF(F13&lt;&gt;1,"",IF(H13=0,-1,G13/H13))</f>
        <v>0.144389795918367</v>
      </c>
      <c r="K13" s="58" t="n">
        <f aca="false">IF(F13&lt;&gt;1,"",COUNTIFS($E$5:$E$304,E13,$F$5:$F$304,1,$J$5:$J$304,"&gt;"&amp;J13)+COUNTIFS($E$5:$E$304,E13,$F$5:$F$304,1,$J$5:$J$304,J13,$A$5:$A$304,"&lt;"&amp;A13)+1)</f>
        <v>8</v>
      </c>
      <c r="L13" s="58" t="str">
        <f aca="false">IF(K13="","",E13&amp;"|"&amp;K13)</f>
        <v>アルチビオ|8</v>
      </c>
      <c r="M13" s="58" t="n">
        <f aca="false">IF(F13&lt;&gt;1,"",IF(COUNTIFS($C$5:C13,C13,$F$5:F13,1)=1,1,0))</f>
        <v>1</v>
      </c>
      <c r="N13" s="59" t="n">
        <f aca="false">IF(M13&lt;&gt;1,"",SUMIF($C$5:$C$304,C13,$G$5:$G$304))</f>
        <v>212253</v>
      </c>
      <c r="O13" s="58" t="n">
        <f aca="false">IF(M13&lt;&gt;1,"",COUNTIFS($M$5:$M$304,1,$N$5:$N$304,"&gt;"&amp;N13)+COUNTIFS($M$5:$M$304,1,$N$5:$N$304,N13,$A$5:$A$304,"&lt;"&amp;A13)+1)</f>
        <v>30</v>
      </c>
    </row>
    <row r="14" customFormat="false" ht="15" hidden="false" customHeight="false" outlineLevel="0" collapsed="false">
      <c r="A14" s="55" t="n">
        <f aca="false">IF(B14="","",ROW()-4)</f>
        <v>10</v>
      </c>
      <c r="B14" s="57" t="n">
        <v>32674900</v>
      </c>
      <c r="C14" s="57" t="s">
        <v>115</v>
      </c>
      <c r="D14" s="57" t="s">
        <v>11</v>
      </c>
      <c r="E14" s="57" t="s">
        <v>11</v>
      </c>
      <c r="F14" s="58" t="n">
        <f aca="false">IF(B14="","",IF(COUNTIF(取込チェック!$C$6:$C$505,B14)&gt;0,1,0))</f>
        <v>1</v>
      </c>
      <c r="G14" s="59" t="n">
        <f aca="false">IF(B14="","",SUMIF(取込チェック!$C$6:$C$505,B14,取込チェック!$D$6:$D$505))</f>
        <v>856826</v>
      </c>
      <c r="H14" s="59" t="n">
        <f aca="false">IF(B14="","",SUMIF(取込チェック!$C$6:$C$505,B14,取込チェック!$E$6:$E$505))</f>
        <v>2900000</v>
      </c>
      <c r="I14" s="59" t="n">
        <f aca="false">IF(B14="","",SUMIF(取込チェック!$C$6:$C$505,B14,取込チェック!$F$6:$F$505))</f>
        <v>2769045</v>
      </c>
      <c r="J14" s="60" t="n">
        <f aca="false">IF(F14&lt;&gt;1,"",IF(H14=0,-1,G14/H14))</f>
        <v>0.29545724137931</v>
      </c>
      <c r="K14" s="58" t="n">
        <f aca="false">IF(F14&lt;&gt;1,"",COUNTIFS($E$5:$E$304,E14,$F$5:$F$304,1,$J$5:$J$304,"&gt;"&amp;J14)+COUNTIFS($E$5:$E$304,E14,$F$5:$F$304,1,$J$5:$J$304,J14,$A$5:$A$304,"&lt;"&amp;A14)+1)</f>
        <v>4</v>
      </c>
      <c r="L14" s="58" t="str">
        <f aca="false">IF(K14="","",E14&amp;"|"&amp;K14)</f>
        <v>アルチビオ|4</v>
      </c>
      <c r="M14" s="58" t="n">
        <f aca="false">IF(F14&lt;&gt;1,"",IF(COUNTIFS($C$5:C14,C14,$F$5:F14,1)=1,1,0))</f>
        <v>1</v>
      </c>
      <c r="N14" s="59" t="n">
        <f aca="false">IF(M14&lt;&gt;1,"",SUMIF($C$5:$C$304,C14,$G$5:$G$304))</f>
        <v>1169326</v>
      </c>
      <c r="O14" s="58" t="n">
        <f aca="false">IF(M14&lt;&gt;1,"",COUNTIFS($M$5:$M$304,1,$N$5:$N$304,"&gt;"&amp;N14)+COUNTIFS($M$5:$M$304,1,$N$5:$N$304,N14,$A$5:$A$304,"&lt;"&amp;A14)+1)</f>
        <v>7</v>
      </c>
    </row>
    <row r="15" customFormat="false" ht="15" hidden="false" customHeight="false" outlineLevel="0" collapsed="false">
      <c r="A15" s="55" t="n">
        <f aca="false">IF(B15="","",ROW()-4)</f>
        <v>11</v>
      </c>
      <c r="B15" s="57" t="n">
        <v>32680600</v>
      </c>
      <c r="C15" s="57" t="s">
        <v>116</v>
      </c>
      <c r="D15" s="57" t="s">
        <v>11</v>
      </c>
      <c r="E15" s="57" t="s">
        <v>11</v>
      </c>
      <c r="F15" s="58" t="n">
        <f aca="false">IF(B15="","",IF(COUNTIF(取込チェック!$C$6:$C$505,B15)&gt;0,1,0))</f>
        <v>1</v>
      </c>
      <c r="G15" s="59" t="n">
        <f aca="false">IF(B15="","",SUMIF(取込チェック!$C$6:$C$505,B15,取込チェック!$D$6:$D$505))</f>
        <v>132320</v>
      </c>
      <c r="H15" s="59" t="n">
        <f aca="false">IF(B15="","",SUMIF(取込チェック!$C$6:$C$505,B15,取込チェック!$E$6:$E$505))</f>
        <v>3050000</v>
      </c>
      <c r="I15" s="59" t="n">
        <f aca="false">IF(B15="","",SUMIF(取込チェック!$C$6:$C$505,B15,取込チェック!$F$6:$F$505))</f>
        <v>2677580</v>
      </c>
      <c r="J15" s="60" t="n">
        <f aca="false">IF(F15&lt;&gt;1,"",IF(H15=0,-1,G15/H15))</f>
        <v>0.0433836065573771</v>
      </c>
      <c r="K15" s="58" t="n">
        <f aca="false">IF(F15&lt;&gt;1,"",COUNTIFS($E$5:$E$304,E15,$F$5:$F$304,1,$J$5:$J$304,"&gt;"&amp;J15)+COUNTIFS($E$5:$E$304,E15,$F$5:$F$304,1,$J$5:$J$304,J15,$A$5:$A$304,"&lt;"&amp;A15)+1)</f>
        <v>10</v>
      </c>
      <c r="L15" s="58" t="str">
        <f aca="false">IF(K15="","",E15&amp;"|"&amp;K15)</f>
        <v>アルチビオ|10</v>
      </c>
      <c r="M15" s="58" t="n">
        <f aca="false">IF(F15&lt;&gt;1,"",IF(COUNTIFS($C$5:C15,C15,$F$5:F15,1)=1,1,0))</f>
        <v>1</v>
      </c>
      <c r="N15" s="59" t="n">
        <f aca="false">IF(M15&lt;&gt;1,"",SUMIF($C$5:$C$304,C15,$G$5:$G$304))</f>
        <v>132320</v>
      </c>
      <c r="O15" s="58" t="n">
        <f aca="false">IF(M15&lt;&gt;1,"",COUNTIFS($M$5:$M$304,1,$N$5:$N$304,"&gt;"&amp;N15)+COUNTIFS($M$5:$M$304,1,$N$5:$N$304,N15,$A$5:$A$304,"&lt;"&amp;A15)+1)</f>
        <v>35</v>
      </c>
    </row>
    <row r="16" customFormat="false" ht="15" hidden="false" customHeight="false" outlineLevel="0" collapsed="false">
      <c r="A16" s="55" t="n">
        <f aca="false">IF(B16="","",ROW()-4)</f>
        <v>12</v>
      </c>
      <c r="B16" s="57" t="n">
        <v>32570200</v>
      </c>
      <c r="C16" s="57" t="s">
        <v>102</v>
      </c>
      <c r="D16" s="57" t="s">
        <v>117</v>
      </c>
      <c r="E16" s="57" t="s">
        <v>12</v>
      </c>
      <c r="F16" s="58" t="n">
        <f aca="false">IF(B16="","",IF(COUNTIF(取込チェック!$C$6:$C$505,B16)&gt;0,1,0))</f>
        <v>1</v>
      </c>
      <c r="G16" s="59" t="n">
        <f aca="false">IF(B16="","",SUMIF(取込チェック!$C$6:$C$505,B16,取込チェック!$D$6:$D$505))</f>
        <v>1262854</v>
      </c>
      <c r="H16" s="59" t="n">
        <f aca="false">IF(B16="","",SUMIF(取込チェック!$C$6:$C$505,B16,取込チェック!$E$6:$E$505))</f>
        <v>5370000</v>
      </c>
      <c r="I16" s="59" t="n">
        <f aca="false">IF(B16="","",SUMIF(取込チェック!$C$6:$C$505,B16,取込チェック!$F$6:$F$505))</f>
        <v>4965460</v>
      </c>
      <c r="J16" s="60" t="n">
        <f aca="false">IF(F16&lt;&gt;1,"",IF(H16=0,-1,G16/H16))</f>
        <v>0.23516834264432</v>
      </c>
      <c r="K16" s="58" t="n">
        <f aca="false">IF(F16&lt;&gt;1,"",COUNTIFS($E$5:$E$304,E16,$F$5:$F$304,1,$J$5:$J$304,"&gt;"&amp;J16)+COUNTIFS($E$5:$E$304,E16,$F$5:$F$304,1,$J$5:$J$304,J16,$A$5:$A$304,"&lt;"&amp;A16)+1)</f>
        <v>1</v>
      </c>
      <c r="L16" s="58" t="str">
        <f aca="false">IF(K16="","",E16&amp;"|"&amp;K16)</f>
        <v>スタジオピッコーネ／ピッコーネクラブ|1</v>
      </c>
      <c r="M16" s="58" t="n">
        <f aca="false">IF(F16&lt;&gt;1,"",IF(COUNTIFS($C$5:C16,C16,$F$5:F16,1)=1,1,0))</f>
        <v>0</v>
      </c>
      <c r="N16" s="59" t="str">
        <f aca="false">IF(M16&lt;&gt;1,"",SUMIF($C$5:$C$304,C16,$G$5:$G$304))</f>
        <v/>
      </c>
      <c r="O16" s="58" t="str">
        <f aca="false">IF(M16&lt;&gt;1,"",COUNTIFS($M$5:$M$304,1,$N$5:$N$304,"&gt;"&amp;N16)+COUNTIFS($M$5:$M$304,1,$N$5:$N$304,N16,$A$5:$A$304,"&lt;"&amp;A16)+1)</f>
        <v/>
      </c>
    </row>
    <row r="17" customFormat="false" ht="15" hidden="false" customHeight="false" outlineLevel="0" collapsed="false">
      <c r="A17" s="55" t="n">
        <f aca="false">IF(B17="","",ROW()-4)</f>
        <v>13</v>
      </c>
      <c r="B17" s="57" t="n">
        <v>32572600</v>
      </c>
      <c r="C17" s="57" t="s">
        <v>118</v>
      </c>
      <c r="D17" s="57" t="s">
        <v>117</v>
      </c>
      <c r="E17" s="57" t="s">
        <v>12</v>
      </c>
      <c r="F17" s="58" t="n">
        <f aca="false">IF(B17="","",IF(COUNTIF(取込チェック!$C$6:$C$505,B17)&gt;0,1,0))</f>
        <v>1</v>
      </c>
      <c r="G17" s="59" t="n">
        <f aca="false">IF(B17="","",SUMIF(取込チェック!$C$6:$C$505,B17,取込チェック!$D$6:$D$505))</f>
        <v>521900</v>
      </c>
      <c r="H17" s="59" t="n">
        <f aca="false">IF(B17="","",SUMIF(取込チェック!$C$6:$C$505,B17,取込チェック!$E$6:$E$505))</f>
        <v>2830000</v>
      </c>
      <c r="I17" s="59" t="n">
        <f aca="false">IF(B17="","",SUMIF(取込チェック!$C$6:$C$505,B17,取込チェック!$F$6:$F$505))</f>
        <v>2230000</v>
      </c>
      <c r="J17" s="60" t="n">
        <f aca="false">IF(F17&lt;&gt;1,"",IF(H17=0,-1,G17/H17))</f>
        <v>0.184416961130742</v>
      </c>
      <c r="K17" s="58" t="n">
        <f aca="false">IF(F17&lt;&gt;1,"",COUNTIFS($E$5:$E$304,E17,$F$5:$F$304,1,$J$5:$J$304,"&gt;"&amp;J17)+COUNTIFS($E$5:$E$304,E17,$F$5:$F$304,1,$J$5:$J$304,J17,$A$5:$A$304,"&lt;"&amp;A17)+1)</f>
        <v>6</v>
      </c>
      <c r="L17" s="58" t="str">
        <f aca="false">IF(K17="","",E17&amp;"|"&amp;K17)</f>
        <v>スタジオピッコーネ／ピッコーネクラブ|6</v>
      </c>
      <c r="M17" s="58" t="n">
        <f aca="false">IF(F17&lt;&gt;1,"",IF(COUNTIFS($C$5:C17,C17,$F$5:F17,1)=1,1,0))</f>
        <v>1</v>
      </c>
      <c r="N17" s="59" t="n">
        <f aca="false">IF(M17&lt;&gt;1,"",SUMIF($C$5:$C$304,C17,$G$5:$G$304))</f>
        <v>521900</v>
      </c>
      <c r="O17" s="58" t="n">
        <f aca="false">IF(M17&lt;&gt;1,"",COUNTIFS($M$5:$M$304,1,$N$5:$N$304,"&gt;"&amp;N17)+COUNTIFS($M$5:$M$304,1,$N$5:$N$304,N17,$A$5:$A$304,"&lt;"&amp;A17)+1)</f>
        <v>16</v>
      </c>
    </row>
    <row r="18" customFormat="false" ht="15" hidden="false" customHeight="false" outlineLevel="0" collapsed="false">
      <c r="A18" s="55" t="n">
        <f aca="false">IF(B18="","",ROW()-4)</f>
        <v>14</v>
      </c>
      <c r="B18" s="57" t="n">
        <v>32573200</v>
      </c>
      <c r="C18" s="57" t="s">
        <v>119</v>
      </c>
      <c r="D18" s="57" t="s">
        <v>120</v>
      </c>
      <c r="E18" s="57" t="s">
        <v>12</v>
      </c>
      <c r="F18" s="58" t="n">
        <f aca="false">IF(B18="","",IF(COUNTIF(取込チェック!$C$6:$C$505,B18)&gt;0,1,0))</f>
        <v>1</v>
      </c>
      <c r="G18" s="59" t="n">
        <f aca="false">IF(B18="","",SUMIF(取込チェック!$C$6:$C$505,B18,取込チェック!$D$6:$D$505))</f>
        <v>506300</v>
      </c>
      <c r="H18" s="59" t="n">
        <f aca="false">IF(B18="","",SUMIF(取込チェック!$C$6:$C$505,B18,取込チェック!$E$6:$E$505))</f>
        <v>4400000</v>
      </c>
      <c r="I18" s="59" t="n">
        <f aca="false">IF(B18="","",SUMIF(取込チェック!$C$6:$C$505,B18,取込チェック!$F$6:$F$505))</f>
        <v>4159145</v>
      </c>
      <c r="J18" s="60" t="n">
        <f aca="false">IF(F18&lt;&gt;1,"",IF(H18=0,-1,G18/H18))</f>
        <v>0.115068181818182</v>
      </c>
      <c r="K18" s="58" t="n">
        <f aca="false">IF(F18&lt;&gt;1,"",COUNTIFS($E$5:$E$304,E18,$F$5:$F$304,1,$J$5:$J$304,"&gt;"&amp;J18)+COUNTIFS($E$5:$E$304,E18,$F$5:$F$304,1,$J$5:$J$304,J18,$A$5:$A$304,"&lt;"&amp;A18)+1)</f>
        <v>16</v>
      </c>
      <c r="L18" s="58" t="str">
        <f aca="false">IF(K18="","",E18&amp;"|"&amp;K18)</f>
        <v>スタジオピッコーネ／ピッコーネクラブ|16</v>
      </c>
      <c r="M18" s="58" t="n">
        <f aca="false">IF(F18&lt;&gt;1,"",IF(COUNTIFS($C$5:C18,C18,$F$5:F18,1)=1,1,0))</f>
        <v>1</v>
      </c>
      <c r="N18" s="59" t="n">
        <f aca="false">IF(M18&lt;&gt;1,"",SUMIF($C$5:$C$304,C18,$G$5:$G$304))</f>
        <v>753625</v>
      </c>
      <c r="O18" s="58" t="n">
        <f aca="false">IF(M18&lt;&gt;1,"",COUNTIFS($M$5:$M$304,1,$N$5:$N$304,"&gt;"&amp;N18)+COUNTIFS($M$5:$M$304,1,$N$5:$N$304,N18,$A$5:$A$304,"&lt;"&amp;A18)+1)</f>
        <v>11</v>
      </c>
    </row>
    <row r="19" customFormat="false" ht="15" hidden="false" customHeight="false" outlineLevel="0" collapsed="false">
      <c r="A19" s="55" t="n">
        <f aca="false">IF(B19="","",ROW()-4)</f>
        <v>15</v>
      </c>
      <c r="B19" s="57" t="n">
        <v>32573400</v>
      </c>
      <c r="C19" s="57" t="s">
        <v>121</v>
      </c>
      <c r="D19" s="57" t="s">
        <v>117</v>
      </c>
      <c r="E19" s="57" t="s">
        <v>12</v>
      </c>
      <c r="F19" s="58" t="n">
        <f aca="false">IF(B19="","",IF(COUNTIF(取込チェック!$C$6:$C$505,B19)&gt;0,1,0))</f>
        <v>1</v>
      </c>
      <c r="G19" s="59" t="n">
        <f aca="false">IF(B19="","",SUMIF(取込チェック!$C$6:$C$505,B19,取込チェック!$D$6:$D$505))</f>
        <v>315700</v>
      </c>
      <c r="H19" s="59" t="n">
        <f aca="false">IF(B19="","",SUMIF(取込チェック!$C$6:$C$505,B19,取込チェック!$E$6:$E$505))</f>
        <v>2280000</v>
      </c>
      <c r="I19" s="59" t="n">
        <f aca="false">IF(B19="","",SUMIF(取込チェック!$C$6:$C$505,B19,取込チェック!$F$6:$F$505))</f>
        <v>2014530</v>
      </c>
      <c r="J19" s="60" t="n">
        <f aca="false">IF(F19&lt;&gt;1,"",IF(H19=0,-1,G19/H19))</f>
        <v>0.138464912280702</v>
      </c>
      <c r="K19" s="58" t="n">
        <f aca="false">IF(F19&lt;&gt;1,"",COUNTIFS($E$5:$E$304,E19,$F$5:$F$304,1,$J$5:$J$304,"&gt;"&amp;J19)+COUNTIFS($E$5:$E$304,E19,$F$5:$F$304,1,$J$5:$J$304,J19,$A$5:$A$304,"&lt;"&amp;A19)+1)</f>
        <v>12</v>
      </c>
      <c r="L19" s="58" t="str">
        <f aca="false">IF(K19="","",E19&amp;"|"&amp;K19)</f>
        <v>スタジオピッコーネ／ピッコーネクラブ|12</v>
      </c>
      <c r="M19" s="58" t="n">
        <f aca="false">IF(F19&lt;&gt;1,"",IF(COUNTIFS($C$5:C19,C19,$F$5:F19,1)=1,1,0))</f>
        <v>1</v>
      </c>
      <c r="N19" s="59" t="n">
        <f aca="false">IF(M19&lt;&gt;1,"",SUMIF($C$5:$C$304,C19,$G$5:$G$304))</f>
        <v>315700</v>
      </c>
      <c r="O19" s="58" t="n">
        <f aca="false">IF(M19&lt;&gt;1,"",COUNTIFS($M$5:$M$304,1,$N$5:$N$304,"&gt;"&amp;N19)+COUNTIFS($M$5:$M$304,1,$N$5:$N$304,N19,$A$5:$A$304,"&lt;"&amp;A19)+1)</f>
        <v>24</v>
      </c>
    </row>
    <row r="20" customFormat="false" ht="15" hidden="false" customHeight="false" outlineLevel="0" collapsed="false">
      <c r="A20" s="55" t="n">
        <f aca="false">IF(B20="","",ROW()-4)</f>
        <v>16</v>
      </c>
      <c r="B20" s="57" t="n">
        <v>32573700</v>
      </c>
      <c r="C20" s="57" t="s">
        <v>122</v>
      </c>
      <c r="D20" s="57" t="s">
        <v>117</v>
      </c>
      <c r="E20" s="57" t="s">
        <v>12</v>
      </c>
      <c r="F20" s="58" t="n">
        <f aca="false">IF(B20="","",IF(COUNTIF(取込チェック!$C$6:$C$505,B20)&gt;0,1,0))</f>
        <v>1</v>
      </c>
      <c r="G20" s="59" t="n">
        <f aca="false">IF(B20="","",SUMIF(取込チェック!$C$6:$C$505,B20,取込チェック!$D$6:$D$505))</f>
        <v>691454</v>
      </c>
      <c r="H20" s="59" t="n">
        <f aca="false">IF(B20="","",SUMIF(取込チェック!$C$6:$C$505,B20,取込チェック!$E$6:$E$505))</f>
        <v>3940000</v>
      </c>
      <c r="I20" s="59" t="n">
        <f aca="false">IF(B20="","",SUMIF(取込チェック!$C$6:$C$505,B20,取込チェック!$F$6:$F$505))</f>
        <v>3597695</v>
      </c>
      <c r="J20" s="60" t="n">
        <f aca="false">IF(F20&lt;&gt;1,"",IF(H20=0,-1,G20/H20))</f>
        <v>0.175495939086294</v>
      </c>
      <c r="K20" s="58" t="n">
        <f aca="false">IF(F20&lt;&gt;1,"",COUNTIFS($E$5:$E$304,E20,$F$5:$F$304,1,$J$5:$J$304,"&gt;"&amp;J20)+COUNTIFS($E$5:$E$304,E20,$F$5:$F$304,1,$J$5:$J$304,J20,$A$5:$A$304,"&lt;"&amp;A20)+1)</f>
        <v>8</v>
      </c>
      <c r="L20" s="58" t="str">
        <f aca="false">IF(K20="","",E20&amp;"|"&amp;K20)</f>
        <v>スタジオピッコーネ／ピッコーネクラブ|8</v>
      </c>
      <c r="M20" s="58" t="n">
        <f aca="false">IF(F20&lt;&gt;1,"",IF(COUNTIFS($C$5:C20,C20,$F$5:F20,1)=1,1,0))</f>
        <v>1</v>
      </c>
      <c r="N20" s="59" t="n">
        <f aca="false">IF(M20&lt;&gt;1,"",SUMIF($C$5:$C$304,C20,$G$5:$G$304))</f>
        <v>691454</v>
      </c>
      <c r="O20" s="58" t="n">
        <f aca="false">IF(M20&lt;&gt;1,"",COUNTIFS($M$5:$M$304,1,$N$5:$N$304,"&gt;"&amp;N20)+COUNTIFS($M$5:$M$304,1,$N$5:$N$304,N20,$A$5:$A$304,"&lt;"&amp;A20)+1)</f>
        <v>13</v>
      </c>
    </row>
    <row r="21" customFormat="false" ht="15" hidden="false" customHeight="false" outlineLevel="0" collapsed="false">
      <c r="A21" s="55" t="n">
        <f aca="false">IF(B21="","",ROW()-4)</f>
        <v>17</v>
      </c>
      <c r="B21" s="57" t="n">
        <v>32573800</v>
      </c>
      <c r="C21" s="57" t="s">
        <v>123</v>
      </c>
      <c r="D21" s="57" t="s">
        <v>117</v>
      </c>
      <c r="E21" s="57" t="s">
        <v>12</v>
      </c>
      <c r="F21" s="58" t="n">
        <f aca="false">IF(B21="","",IF(COUNTIF(取込チェック!$C$6:$C$505,B21)&gt;0,1,0))</f>
        <v>1</v>
      </c>
      <c r="G21" s="59" t="n">
        <f aca="false">IF(B21="","",SUMIF(取込チェック!$C$6:$C$505,B21,取込チェック!$D$6:$D$505))</f>
        <v>304800</v>
      </c>
      <c r="H21" s="59" t="n">
        <f aca="false">IF(B21="","",SUMIF(取込チェック!$C$6:$C$505,B21,取込チェック!$E$6:$E$505))</f>
        <v>3050000</v>
      </c>
      <c r="I21" s="59" t="n">
        <f aca="false">IF(B21="","",SUMIF(取込チェック!$C$6:$C$505,B21,取込チェック!$F$6:$F$505))</f>
        <v>3027600</v>
      </c>
      <c r="J21" s="60" t="n">
        <f aca="false">IF(F21&lt;&gt;1,"",IF(H21=0,-1,G21/H21))</f>
        <v>0.0999344262295082</v>
      </c>
      <c r="K21" s="58" t="n">
        <f aca="false">IF(F21&lt;&gt;1,"",COUNTIFS($E$5:$E$304,E21,$F$5:$F$304,1,$J$5:$J$304,"&gt;"&amp;J21)+COUNTIFS($E$5:$E$304,E21,$F$5:$F$304,1,$J$5:$J$304,J21,$A$5:$A$304,"&lt;"&amp;A21)+1)</f>
        <v>18</v>
      </c>
      <c r="L21" s="58" t="str">
        <f aca="false">IF(K21="","",E21&amp;"|"&amp;K21)</f>
        <v>スタジオピッコーネ／ピッコーネクラブ|18</v>
      </c>
      <c r="M21" s="58" t="n">
        <f aca="false">IF(F21&lt;&gt;1,"",IF(COUNTIFS($C$5:C21,C21,$F$5:F21,1)=1,1,0))</f>
        <v>1</v>
      </c>
      <c r="N21" s="59" t="n">
        <f aca="false">IF(M21&lt;&gt;1,"",SUMIF($C$5:$C$304,C21,$G$5:$G$304))</f>
        <v>304800</v>
      </c>
      <c r="O21" s="58" t="n">
        <f aca="false">IF(M21&lt;&gt;1,"",COUNTIFS($M$5:$M$304,1,$N$5:$N$304,"&gt;"&amp;N21)+COUNTIFS($M$5:$M$304,1,$N$5:$N$304,N21,$A$5:$A$304,"&lt;"&amp;A21)+1)</f>
        <v>26</v>
      </c>
    </row>
    <row r="22" customFormat="false" ht="15" hidden="false" customHeight="false" outlineLevel="0" collapsed="false">
      <c r="A22" s="55" t="n">
        <f aca="false">IF(B22="","",ROW()-4)</f>
        <v>18</v>
      </c>
      <c r="B22" s="57" t="n">
        <v>32573900</v>
      </c>
      <c r="C22" s="57" t="s">
        <v>124</v>
      </c>
      <c r="D22" s="57" t="s">
        <v>120</v>
      </c>
      <c r="E22" s="57" t="s">
        <v>12</v>
      </c>
      <c r="F22" s="58" t="n">
        <f aca="false">IF(B22="","",IF(COUNTIF(取込チェック!$C$6:$C$505,B22)&gt;0,1,0))</f>
        <v>1</v>
      </c>
      <c r="G22" s="59" t="n">
        <f aca="false">IF(B22="","",SUMIF(取込チェック!$C$6:$C$505,B22,取込チェック!$D$6:$D$505))</f>
        <v>313800</v>
      </c>
      <c r="H22" s="59" t="n">
        <f aca="false">IF(B22="","",SUMIF(取込チェック!$C$6:$C$505,B22,取込チェック!$E$6:$E$505))</f>
        <v>2600000</v>
      </c>
      <c r="I22" s="59" t="n">
        <f aca="false">IF(B22="","",SUMIF(取込チェック!$C$6:$C$505,B22,取込チェック!$F$6:$F$505))</f>
        <v>2629520</v>
      </c>
      <c r="J22" s="60" t="n">
        <f aca="false">IF(F22&lt;&gt;1,"",IF(H22=0,-1,G22/H22))</f>
        <v>0.120692307692308</v>
      </c>
      <c r="K22" s="58" t="n">
        <f aca="false">IF(F22&lt;&gt;1,"",COUNTIFS($E$5:$E$304,E22,$F$5:$F$304,1,$J$5:$J$304,"&gt;"&amp;J22)+COUNTIFS($E$5:$E$304,E22,$F$5:$F$304,1,$J$5:$J$304,J22,$A$5:$A$304,"&lt;"&amp;A22)+1)</f>
        <v>15</v>
      </c>
      <c r="L22" s="58" t="str">
        <f aca="false">IF(K22="","",E22&amp;"|"&amp;K22)</f>
        <v>スタジオピッコーネ／ピッコーネクラブ|15</v>
      </c>
      <c r="M22" s="58" t="n">
        <f aca="false">IF(F22&lt;&gt;1,"",IF(COUNTIFS($C$5:C22,C22,$F$5:F22,1)=1,1,0))</f>
        <v>1</v>
      </c>
      <c r="N22" s="59" t="n">
        <f aca="false">IF(M22&lt;&gt;1,"",SUMIF($C$5:$C$304,C22,$G$5:$G$304))</f>
        <v>313800</v>
      </c>
      <c r="O22" s="58" t="n">
        <f aca="false">IF(M22&lt;&gt;1,"",COUNTIFS($M$5:$M$304,1,$N$5:$N$304,"&gt;"&amp;N22)+COUNTIFS($M$5:$M$304,1,$N$5:$N$304,N22,$A$5:$A$304,"&lt;"&amp;A22)+1)</f>
        <v>25</v>
      </c>
    </row>
    <row r="23" customFormat="false" ht="15" hidden="false" customHeight="false" outlineLevel="0" collapsed="false">
      <c r="A23" s="55" t="n">
        <f aca="false">IF(B23="","",ROW()-4)</f>
        <v>19</v>
      </c>
      <c r="B23" s="57" t="n">
        <v>32574100</v>
      </c>
      <c r="C23" s="57" t="s">
        <v>125</v>
      </c>
      <c r="D23" s="57" t="s">
        <v>120</v>
      </c>
      <c r="E23" s="57" t="s">
        <v>12</v>
      </c>
      <c r="F23" s="58" t="n">
        <f aca="false">IF(B23="","",IF(COUNTIF(取込チェック!$C$6:$C$505,B23)&gt;0,1,0))</f>
        <v>1</v>
      </c>
      <c r="G23" s="59" t="n">
        <f aca="false">IF(B23="","",SUMIF(取込チェック!$C$6:$C$505,B23,取込チェック!$D$6:$D$505))</f>
        <v>507400</v>
      </c>
      <c r="H23" s="59" t="n">
        <f aca="false">IF(B23="","",SUMIF(取込チェック!$C$6:$C$505,B23,取込チェック!$E$6:$E$505))</f>
        <v>2600000</v>
      </c>
      <c r="I23" s="59" t="n">
        <f aca="false">IF(B23="","",SUMIF(取込チェック!$C$6:$C$505,B23,取込チェック!$F$6:$F$505))</f>
        <v>1796500</v>
      </c>
      <c r="J23" s="60" t="n">
        <f aca="false">IF(F23&lt;&gt;1,"",IF(H23=0,-1,G23/H23))</f>
        <v>0.195153846153846</v>
      </c>
      <c r="K23" s="58" t="n">
        <f aca="false">IF(F23&lt;&gt;1,"",COUNTIFS($E$5:$E$304,E23,$F$5:$F$304,1,$J$5:$J$304,"&gt;"&amp;J23)+COUNTIFS($E$5:$E$304,E23,$F$5:$F$304,1,$J$5:$J$304,J23,$A$5:$A$304,"&lt;"&amp;A23)+1)</f>
        <v>3</v>
      </c>
      <c r="L23" s="58" t="str">
        <f aca="false">IF(K23="","",E23&amp;"|"&amp;K23)</f>
        <v>スタジオピッコーネ／ピッコーネクラブ|3</v>
      </c>
      <c r="M23" s="58" t="n">
        <f aca="false">IF(F23&lt;&gt;1,"",IF(COUNTIFS($C$5:C23,C23,$F$5:F23,1)=1,1,0))</f>
        <v>1</v>
      </c>
      <c r="N23" s="59" t="n">
        <f aca="false">IF(M23&lt;&gt;1,"",SUMIF($C$5:$C$304,C23,$G$5:$G$304))</f>
        <v>507400</v>
      </c>
      <c r="O23" s="58" t="n">
        <f aca="false">IF(M23&lt;&gt;1,"",COUNTIFS($M$5:$M$304,1,$N$5:$N$304,"&gt;"&amp;N23)+COUNTIFS($M$5:$M$304,1,$N$5:$N$304,N23,$A$5:$A$304,"&lt;"&amp;A23)+1)</f>
        <v>18</v>
      </c>
    </row>
    <row r="24" customFormat="false" ht="15" hidden="false" customHeight="false" outlineLevel="0" collapsed="false">
      <c r="A24" s="55" t="n">
        <f aca="false">IF(B24="","",ROW()-4)</f>
        <v>20</v>
      </c>
      <c r="B24" s="57" t="n">
        <v>32575700</v>
      </c>
      <c r="C24" s="57" t="s">
        <v>126</v>
      </c>
      <c r="D24" s="57" t="s">
        <v>120</v>
      </c>
      <c r="E24" s="57" t="s">
        <v>12</v>
      </c>
      <c r="F24" s="58" t="n">
        <f aca="false">IF(B24="","",IF(COUNTIF(取込チェック!$C$6:$C$505,B24)&gt;0,1,0))</f>
        <v>1</v>
      </c>
      <c r="G24" s="59" t="n">
        <f aca="false">IF(B24="","",SUMIF(取込チェック!$C$6:$C$505,B24,取込チェック!$D$6:$D$505))</f>
        <v>721272</v>
      </c>
      <c r="H24" s="59" t="n">
        <f aca="false">IF(B24="","",SUMIF(取込チェック!$C$6:$C$505,B24,取込チェック!$E$6:$E$505))</f>
        <v>4200000</v>
      </c>
      <c r="I24" s="59" t="n">
        <f aca="false">IF(B24="","",SUMIF(取込チェック!$C$6:$C$505,B24,取込チェック!$F$6:$F$505))</f>
        <v>4050580</v>
      </c>
      <c r="J24" s="60" t="n">
        <f aca="false">IF(F24&lt;&gt;1,"",IF(H24=0,-1,G24/H24))</f>
        <v>0.171731428571429</v>
      </c>
      <c r="K24" s="58" t="n">
        <f aca="false">IF(F24&lt;&gt;1,"",COUNTIFS($E$5:$E$304,E24,$F$5:$F$304,1,$J$5:$J$304,"&gt;"&amp;J24)+COUNTIFS($E$5:$E$304,E24,$F$5:$F$304,1,$J$5:$J$304,J24,$A$5:$A$304,"&lt;"&amp;A24)+1)</f>
        <v>9</v>
      </c>
      <c r="L24" s="58" t="str">
        <f aca="false">IF(K24="","",E24&amp;"|"&amp;K24)</f>
        <v>スタジオピッコーネ／ピッコーネクラブ|9</v>
      </c>
      <c r="M24" s="58" t="n">
        <f aca="false">IF(F24&lt;&gt;1,"",IF(COUNTIFS($C$5:C24,C24,$F$5:F24,1)=1,1,0))</f>
        <v>1</v>
      </c>
      <c r="N24" s="59" t="n">
        <f aca="false">IF(M24&lt;&gt;1,"",SUMIF($C$5:$C$304,C24,$G$5:$G$304))</f>
        <v>721272</v>
      </c>
      <c r="O24" s="58" t="n">
        <f aca="false">IF(M24&lt;&gt;1,"",COUNTIFS($M$5:$M$304,1,$N$5:$N$304,"&gt;"&amp;N24)+COUNTIFS($M$5:$M$304,1,$N$5:$N$304,N24,$A$5:$A$304,"&lt;"&amp;A24)+1)</f>
        <v>12</v>
      </c>
    </row>
    <row r="25" customFormat="false" ht="15" hidden="false" customHeight="false" outlineLevel="0" collapsed="false">
      <c r="A25" s="55" t="n">
        <f aca="false">IF(B25="","",ROW()-4)</f>
        <v>21</v>
      </c>
      <c r="B25" s="57" t="n">
        <v>32670200</v>
      </c>
      <c r="C25" s="57" t="s">
        <v>112</v>
      </c>
      <c r="D25" s="57" t="s">
        <v>117</v>
      </c>
      <c r="E25" s="57" t="s">
        <v>12</v>
      </c>
      <c r="F25" s="58" t="n">
        <f aca="false">IF(B25="","",IF(COUNTIF(取込チェック!$C$6:$C$505,B25)&gt;0,1,0))</f>
        <v>1</v>
      </c>
      <c r="G25" s="59" t="n">
        <f aca="false">IF(B25="","",SUMIF(取込チェック!$C$6:$C$505,B25,取込チェック!$D$6:$D$505))</f>
        <v>920100</v>
      </c>
      <c r="H25" s="59" t="n">
        <f aca="false">IF(B25="","",SUMIF(取込チェック!$C$6:$C$505,B25,取込チェック!$E$6:$E$505))</f>
        <v>5100000</v>
      </c>
      <c r="I25" s="59" t="n">
        <f aca="false">IF(B25="","",SUMIF(取込チェック!$C$6:$C$505,B25,取込チェック!$F$6:$F$505))</f>
        <v>4342490</v>
      </c>
      <c r="J25" s="60" t="n">
        <f aca="false">IF(F25&lt;&gt;1,"",IF(H25=0,-1,G25/H25))</f>
        <v>0.180411764705882</v>
      </c>
      <c r="K25" s="58" t="n">
        <f aca="false">IF(F25&lt;&gt;1,"",COUNTIFS($E$5:$E$304,E25,$F$5:$F$304,1,$J$5:$J$304,"&gt;"&amp;J25)+COUNTIFS($E$5:$E$304,E25,$F$5:$F$304,1,$J$5:$J$304,J25,$A$5:$A$304,"&lt;"&amp;A25)+1)</f>
        <v>7</v>
      </c>
      <c r="L25" s="58" t="str">
        <f aca="false">IF(K25="","",E25&amp;"|"&amp;K25)</f>
        <v>スタジオピッコーネ／ピッコーネクラブ|7</v>
      </c>
      <c r="M25" s="58" t="n">
        <f aca="false">IF(F25&lt;&gt;1,"",IF(COUNTIFS($C$5:C25,C25,$F$5:F25,1)=1,1,0))</f>
        <v>0</v>
      </c>
      <c r="N25" s="59" t="str">
        <f aca="false">IF(M25&lt;&gt;1,"",SUMIF($C$5:$C$304,C25,$G$5:$G$304))</f>
        <v/>
      </c>
      <c r="O25" s="58" t="str">
        <f aca="false">IF(M25&lt;&gt;1,"",COUNTIFS($M$5:$M$304,1,$N$5:$N$304,"&gt;"&amp;N25)+COUNTIFS($M$5:$M$304,1,$N$5:$N$304,N25,$A$5:$A$304,"&lt;"&amp;A25)+1)</f>
        <v/>
      </c>
    </row>
    <row r="26" customFormat="false" ht="15" hidden="false" customHeight="false" outlineLevel="0" collapsed="false">
      <c r="A26" s="55" t="n">
        <f aca="false">IF(B26="","",ROW()-4)</f>
        <v>22</v>
      </c>
      <c r="B26" s="57" t="n">
        <v>32670400</v>
      </c>
      <c r="C26" s="57" t="s">
        <v>113</v>
      </c>
      <c r="D26" s="57" t="s">
        <v>117</v>
      </c>
      <c r="E26" s="57" t="s">
        <v>12</v>
      </c>
      <c r="F26" s="58" t="n">
        <f aca="false">IF(B26="","",IF(COUNTIF(取込チェック!$C$6:$C$505,B26)&gt;0,1,0))</f>
        <v>1</v>
      </c>
      <c r="G26" s="59" t="n">
        <f aca="false">IF(B26="","",SUMIF(取込チェック!$C$6:$C$505,B26,取込チェック!$D$6:$D$505))</f>
        <v>776168</v>
      </c>
      <c r="H26" s="59" t="n">
        <f aca="false">IF(B26="","",SUMIF(取込チェック!$C$6:$C$505,B26,取込チェック!$E$6:$E$505))</f>
        <v>4050000</v>
      </c>
      <c r="I26" s="59" t="n">
        <f aca="false">IF(B26="","",SUMIF(取込チェック!$C$6:$C$505,B26,取込チェック!$F$6:$F$505))</f>
        <v>3884330</v>
      </c>
      <c r="J26" s="60" t="n">
        <f aca="false">IF(F26&lt;&gt;1,"",IF(H26=0,-1,G26/H26))</f>
        <v>0.191646419753086</v>
      </c>
      <c r="K26" s="58" t="n">
        <f aca="false">IF(F26&lt;&gt;1,"",COUNTIFS($E$5:$E$304,E26,$F$5:$F$304,1,$J$5:$J$304,"&gt;"&amp;J26)+COUNTIFS($E$5:$E$304,E26,$F$5:$F$304,1,$J$5:$J$304,J26,$A$5:$A$304,"&lt;"&amp;A26)+1)</f>
        <v>5</v>
      </c>
      <c r="L26" s="58" t="str">
        <f aca="false">IF(K26="","",E26&amp;"|"&amp;K26)</f>
        <v>スタジオピッコーネ／ピッコーネクラブ|5</v>
      </c>
      <c r="M26" s="58" t="n">
        <f aca="false">IF(F26&lt;&gt;1,"",IF(COUNTIFS($C$5:C26,C26,$F$5:F26,1)=1,1,0))</f>
        <v>0</v>
      </c>
      <c r="N26" s="59" t="str">
        <f aca="false">IF(M26&lt;&gt;1,"",SUMIF($C$5:$C$304,C26,$G$5:$G$304))</f>
        <v/>
      </c>
      <c r="O26" s="58" t="str">
        <f aca="false">IF(M26&lt;&gt;1,"",COUNTIFS($M$5:$M$304,1,$N$5:$N$304,"&gt;"&amp;N26)+COUNTIFS($M$5:$M$304,1,$N$5:$N$304,N26,$A$5:$A$304,"&lt;"&amp;A26)+1)</f>
        <v/>
      </c>
    </row>
    <row r="27" customFormat="false" ht="15" hidden="false" customHeight="false" outlineLevel="0" collapsed="false">
      <c r="A27" s="55" t="n">
        <f aca="false">IF(B27="","",ROW()-4)</f>
        <v>23</v>
      </c>
      <c r="B27" s="57" t="n">
        <v>32670900</v>
      </c>
      <c r="C27" s="57" t="s">
        <v>127</v>
      </c>
      <c r="D27" s="57" t="s">
        <v>117</v>
      </c>
      <c r="E27" s="57" t="s">
        <v>12</v>
      </c>
      <c r="F27" s="58" t="n">
        <f aca="false">IF(B27="","",IF(COUNTIF(取込チェック!$C$6:$C$505,B27)&gt;0,1,0))</f>
        <v>1</v>
      </c>
      <c r="G27" s="59" t="n">
        <f aca="false">IF(B27="","",SUMIF(取込チェック!$C$6:$C$505,B27,取込チェック!$D$6:$D$505))</f>
        <v>644000</v>
      </c>
      <c r="H27" s="59" t="n">
        <f aca="false">IF(B27="","",SUMIF(取込チェック!$C$6:$C$505,B27,取込チェック!$E$6:$E$505))</f>
        <v>6700000</v>
      </c>
      <c r="I27" s="59" t="n">
        <f aca="false">IF(B27="","",SUMIF(取込チェック!$C$6:$C$505,B27,取込チェック!$F$6:$F$505))</f>
        <v>6535150</v>
      </c>
      <c r="J27" s="60" t="n">
        <f aca="false">IF(F27&lt;&gt;1,"",IF(H27=0,-1,G27/H27))</f>
        <v>0.0961194029850746</v>
      </c>
      <c r="K27" s="58" t="n">
        <f aca="false">IF(F27&lt;&gt;1,"",COUNTIFS($E$5:$E$304,E27,$F$5:$F$304,1,$J$5:$J$304,"&gt;"&amp;J27)+COUNTIFS($E$5:$E$304,E27,$F$5:$F$304,1,$J$5:$J$304,J27,$A$5:$A$304,"&lt;"&amp;A27)+1)</f>
        <v>19</v>
      </c>
      <c r="L27" s="58" t="str">
        <f aca="false">IF(K27="","",E27&amp;"|"&amp;K27)</f>
        <v>スタジオピッコーネ／ピッコーネクラブ|19</v>
      </c>
      <c r="M27" s="58" t="n">
        <f aca="false">IF(F27&lt;&gt;1,"",IF(COUNTIFS($C$5:C27,C27,$F$5:F27,1)=1,1,0))</f>
        <v>1</v>
      </c>
      <c r="N27" s="59" t="n">
        <f aca="false">IF(M27&lt;&gt;1,"",SUMIF($C$5:$C$304,C27,$G$5:$G$304))</f>
        <v>644000</v>
      </c>
      <c r="O27" s="58" t="n">
        <f aca="false">IF(M27&lt;&gt;1,"",COUNTIFS($M$5:$M$304,1,$N$5:$N$304,"&gt;"&amp;N27)+COUNTIFS($M$5:$M$304,1,$N$5:$N$304,N27,$A$5:$A$304,"&lt;"&amp;A27)+1)</f>
        <v>14</v>
      </c>
    </row>
    <row r="28" customFormat="false" ht="15" hidden="false" customHeight="false" outlineLevel="0" collapsed="false">
      <c r="A28" s="55" t="n">
        <f aca="false">IF(B28="","",ROW()-4)</f>
        <v>24</v>
      </c>
      <c r="B28" s="57" t="n">
        <v>32671400</v>
      </c>
      <c r="C28" s="57" t="s">
        <v>111</v>
      </c>
      <c r="D28" s="57" t="s">
        <v>117</v>
      </c>
      <c r="E28" s="57" t="s">
        <v>12</v>
      </c>
      <c r="F28" s="58" t="n">
        <f aca="false">IF(B28="","",IF(COUNTIF(取込チェック!$C$6:$C$505,B28)&gt;0,1,0))</f>
        <v>1</v>
      </c>
      <c r="G28" s="59" t="n">
        <f aca="false">IF(B28="","",SUMIF(取込チェック!$C$6:$C$505,B28,取込チェック!$D$6:$D$505))</f>
        <v>619544</v>
      </c>
      <c r="H28" s="59" t="n">
        <f aca="false">IF(B28="","",SUMIF(取込チェック!$C$6:$C$505,B28,取込チェック!$E$6:$E$505))</f>
        <v>12000000</v>
      </c>
      <c r="I28" s="59" t="n">
        <f aca="false">IF(B28="","",SUMIF(取込チェック!$C$6:$C$505,B28,取込チェック!$F$6:$F$505))</f>
        <v>11765100</v>
      </c>
      <c r="J28" s="60" t="n">
        <f aca="false">IF(F28&lt;&gt;1,"",IF(H28=0,-1,G28/H28))</f>
        <v>0.0516286666666667</v>
      </c>
      <c r="K28" s="58" t="n">
        <f aca="false">IF(F28&lt;&gt;1,"",COUNTIFS($E$5:$E$304,E28,$F$5:$F$304,1,$J$5:$J$304,"&gt;"&amp;J28)+COUNTIFS($E$5:$E$304,E28,$F$5:$F$304,1,$J$5:$J$304,J28,$A$5:$A$304,"&lt;"&amp;A28)+1)</f>
        <v>22</v>
      </c>
      <c r="L28" s="58" t="str">
        <f aca="false">IF(K28="","",E28&amp;"|"&amp;K28)</f>
        <v>スタジオピッコーネ／ピッコーネクラブ|22</v>
      </c>
      <c r="M28" s="58" t="n">
        <f aca="false">IF(F28&lt;&gt;1,"",IF(COUNTIFS($C$5:C28,C28,$F$5:F28,1)=1,1,0))</f>
        <v>0</v>
      </c>
      <c r="N28" s="59" t="str">
        <f aca="false">IF(M28&lt;&gt;1,"",SUMIF($C$5:$C$304,C28,$G$5:$G$304))</f>
        <v/>
      </c>
      <c r="O28" s="58" t="str">
        <f aca="false">IF(M28&lt;&gt;1,"",COUNTIFS($M$5:$M$304,1,$N$5:$N$304,"&gt;"&amp;N28)+COUNTIFS($M$5:$M$304,1,$N$5:$N$304,N28,$A$5:$A$304,"&lt;"&amp;A28)+1)</f>
        <v/>
      </c>
    </row>
    <row r="29" customFormat="false" ht="15" hidden="false" customHeight="false" outlineLevel="0" collapsed="false">
      <c r="A29" s="55" t="n">
        <f aca="false">IF(B29="","",ROW()-4)</f>
        <v>25</v>
      </c>
      <c r="B29" s="57" t="n">
        <v>32671900</v>
      </c>
      <c r="C29" s="57" t="s">
        <v>128</v>
      </c>
      <c r="D29" s="57" t="s">
        <v>117</v>
      </c>
      <c r="E29" s="57" t="s">
        <v>12</v>
      </c>
      <c r="F29" s="58" t="n">
        <f aca="false">IF(B29="","",IF(COUNTIF(取込チェック!$C$6:$C$505,B29)&gt;0,1,0))</f>
        <v>1</v>
      </c>
      <c r="G29" s="59" t="n">
        <f aca="false">IF(B29="","",SUMIF(取込チェック!$C$6:$C$505,B29,取込チェック!$D$6:$D$505))</f>
        <v>492100</v>
      </c>
      <c r="H29" s="59" t="n">
        <f aca="false">IF(B29="","",SUMIF(取込チェック!$C$6:$C$505,B29,取込チェック!$E$6:$E$505))</f>
        <v>2900000</v>
      </c>
      <c r="I29" s="59" t="n">
        <f aca="false">IF(B29="","",SUMIF(取込チェック!$C$6:$C$505,B29,取込チェック!$F$6:$F$505))</f>
        <v>2327950</v>
      </c>
      <c r="J29" s="60" t="n">
        <f aca="false">IF(F29&lt;&gt;1,"",IF(H29=0,-1,G29/H29))</f>
        <v>0.169689655172414</v>
      </c>
      <c r="K29" s="58" t="n">
        <f aca="false">IF(F29&lt;&gt;1,"",COUNTIFS($E$5:$E$304,E29,$F$5:$F$304,1,$J$5:$J$304,"&gt;"&amp;J29)+COUNTIFS($E$5:$E$304,E29,$F$5:$F$304,1,$J$5:$J$304,J29,$A$5:$A$304,"&lt;"&amp;A29)+1)</f>
        <v>10</v>
      </c>
      <c r="L29" s="58" t="str">
        <f aca="false">IF(K29="","",E29&amp;"|"&amp;K29)</f>
        <v>スタジオピッコーネ／ピッコーネクラブ|10</v>
      </c>
      <c r="M29" s="58" t="n">
        <f aca="false">IF(F29&lt;&gt;1,"",IF(COUNTIFS($C$5:C29,C29,$F$5:F29,1)=1,1,0))</f>
        <v>1</v>
      </c>
      <c r="N29" s="59" t="n">
        <f aca="false">IF(M29&lt;&gt;1,"",SUMIF($C$5:$C$304,C29,$G$5:$G$304))</f>
        <v>492100</v>
      </c>
      <c r="O29" s="58" t="n">
        <f aca="false">IF(M29&lt;&gt;1,"",COUNTIFS($M$5:$M$304,1,$N$5:$N$304,"&gt;"&amp;N29)+COUNTIFS($M$5:$M$304,1,$N$5:$N$304,N29,$A$5:$A$304,"&lt;"&amp;A29)+1)</f>
        <v>19</v>
      </c>
    </row>
    <row r="30" customFormat="false" ht="15" hidden="false" customHeight="false" outlineLevel="0" collapsed="false">
      <c r="A30" s="55" t="n">
        <f aca="false">IF(B30="","",ROW()-4)</f>
        <v>26</v>
      </c>
      <c r="B30" s="57" t="n">
        <v>32673300</v>
      </c>
      <c r="C30" s="57" t="s">
        <v>115</v>
      </c>
      <c r="D30" s="57" t="s">
        <v>117</v>
      </c>
      <c r="E30" s="57" t="s">
        <v>12</v>
      </c>
      <c r="F30" s="58" t="n">
        <f aca="false">IF(B30="","",IF(COUNTIF(取込チェック!$C$6:$C$505,B30)&gt;0,1,0))</f>
        <v>1</v>
      </c>
      <c r="G30" s="59" t="n">
        <f aca="false">IF(B30="","",SUMIF(取込チェック!$C$6:$C$505,B30,取込チェック!$D$6:$D$505))</f>
        <v>312500</v>
      </c>
      <c r="H30" s="59" t="n">
        <f aca="false">IF(B30="","",SUMIF(取込チェック!$C$6:$C$505,B30,取込チェック!$E$6:$E$505))</f>
        <v>3100000</v>
      </c>
      <c r="I30" s="59" t="n">
        <f aca="false">IF(B30="","",SUMIF(取込チェック!$C$6:$C$505,B30,取込チェック!$F$6:$F$505))</f>
        <v>2923612</v>
      </c>
      <c r="J30" s="60" t="n">
        <f aca="false">IF(F30&lt;&gt;1,"",IF(H30=0,-1,G30/H30))</f>
        <v>0.100806451612903</v>
      </c>
      <c r="K30" s="58" t="n">
        <f aca="false">IF(F30&lt;&gt;1,"",COUNTIFS($E$5:$E$304,E30,$F$5:$F$304,1,$J$5:$J$304,"&gt;"&amp;J30)+COUNTIFS($E$5:$E$304,E30,$F$5:$F$304,1,$J$5:$J$304,J30,$A$5:$A$304,"&lt;"&amp;A30)+1)</f>
        <v>17</v>
      </c>
      <c r="L30" s="58" t="str">
        <f aca="false">IF(K30="","",E30&amp;"|"&amp;K30)</f>
        <v>スタジオピッコーネ／ピッコーネクラブ|17</v>
      </c>
      <c r="M30" s="58" t="n">
        <f aca="false">IF(F30&lt;&gt;1,"",IF(COUNTIFS($C$5:C30,C30,$F$5:F30,1)=1,1,0))</f>
        <v>0</v>
      </c>
      <c r="N30" s="59" t="str">
        <f aca="false">IF(M30&lt;&gt;1,"",SUMIF($C$5:$C$304,C30,$G$5:$G$304))</f>
        <v/>
      </c>
      <c r="O30" s="58" t="str">
        <f aca="false">IF(M30&lt;&gt;1,"",COUNTIFS($M$5:$M$304,1,$N$5:$N$304,"&gt;"&amp;N30)+COUNTIFS($M$5:$M$304,1,$N$5:$N$304,N30,$A$5:$A$304,"&lt;"&amp;A30)+1)</f>
        <v/>
      </c>
    </row>
    <row r="31" customFormat="false" ht="15" hidden="false" customHeight="false" outlineLevel="0" collapsed="false">
      <c r="A31" s="55" t="n">
        <f aca="false">IF(B31="","",ROW()-4)</f>
        <v>27</v>
      </c>
      <c r="B31" s="57" t="n">
        <v>32674100</v>
      </c>
      <c r="C31" s="57" t="s">
        <v>129</v>
      </c>
      <c r="D31" s="57" t="s">
        <v>117</v>
      </c>
      <c r="E31" s="57" t="s">
        <v>12</v>
      </c>
      <c r="F31" s="58" t="n">
        <f aca="false">IF(B31="","",IF(COUNTIF(取込チェック!$C$6:$C$505,B31)&gt;0,1,0))</f>
        <v>1</v>
      </c>
      <c r="G31" s="59" t="n">
        <f aca="false">IF(B31="","",SUMIF(取込チェック!$C$6:$C$505,B31,取込チェック!$D$6:$D$505))</f>
        <v>151000</v>
      </c>
      <c r="H31" s="59" t="n">
        <f aca="false">IF(B31="","",SUMIF(取込チェック!$C$6:$C$505,B31,取込チェック!$E$6:$E$505))</f>
        <v>2168000</v>
      </c>
      <c r="I31" s="59" t="n">
        <f aca="false">IF(B31="","",SUMIF(取込チェック!$C$6:$C$505,B31,取込チェック!$F$6:$F$505))</f>
        <v>2059800</v>
      </c>
      <c r="J31" s="60" t="n">
        <f aca="false">IF(F31&lt;&gt;1,"",IF(H31=0,-1,G31/H31))</f>
        <v>0.0696494464944649</v>
      </c>
      <c r="K31" s="58" t="n">
        <f aca="false">IF(F31&lt;&gt;1,"",COUNTIFS($E$5:$E$304,E31,$F$5:$F$304,1,$J$5:$J$304,"&gt;"&amp;J31)+COUNTIFS($E$5:$E$304,E31,$F$5:$F$304,1,$J$5:$J$304,J31,$A$5:$A$304,"&lt;"&amp;A31)+1)</f>
        <v>21</v>
      </c>
      <c r="L31" s="58" t="str">
        <f aca="false">IF(K31="","",E31&amp;"|"&amp;K31)</f>
        <v>スタジオピッコーネ／ピッコーネクラブ|21</v>
      </c>
      <c r="M31" s="58" t="n">
        <f aca="false">IF(F31&lt;&gt;1,"",IF(COUNTIFS($C$5:C31,C31,$F$5:F31,1)=1,1,0))</f>
        <v>1</v>
      </c>
      <c r="N31" s="59" t="n">
        <f aca="false">IF(M31&lt;&gt;1,"",SUMIF($C$5:$C$304,C31,$G$5:$G$304))</f>
        <v>151000</v>
      </c>
      <c r="O31" s="58" t="n">
        <f aca="false">IF(M31&lt;&gt;1,"",COUNTIFS($M$5:$M$304,1,$N$5:$N$304,"&gt;"&amp;N31)+COUNTIFS($M$5:$M$304,1,$N$5:$N$304,N31,$A$5:$A$304,"&lt;"&amp;A31)+1)</f>
        <v>33</v>
      </c>
    </row>
    <row r="32" customFormat="false" ht="15" hidden="false" customHeight="false" outlineLevel="0" collapsed="false">
      <c r="A32" s="55" t="n">
        <f aca="false">IF(B32="","",ROW()-4)</f>
        <v>28</v>
      </c>
      <c r="B32" s="57" t="n">
        <v>32674500</v>
      </c>
      <c r="C32" s="57" t="s">
        <v>130</v>
      </c>
      <c r="D32" s="57" t="s">
        <v>117</v>
      </c>
      <c r="E32" s="57" t="s">
        <v>12</v>
      </c>
      <c r="F32" s="58" t="n">
        <f aca="false">IF(B32="","",IF(COUNTIF(取込チェック!$C$6:$C$505,B32)&gt;0,1,0))</f>
        <v>1</v>
      </c>
      <c r="G32" s="59" t="n">
        <f aca="false">IF(B32="","",SUMIF(取込チェック!$C$6:$C$505,B32,取込チェック!$D$6:$D$505))</f>
        <v>255700</v>
      </c>
      <c r="H32" s="59" t="n">
        <f aca="false">IF(B32="","",SUMIF(取込チェック!$C$6:$C$505,B32,取込チェック!$E$6:$E$505))</f>
        <v>1900000</v>
      </c>
      <c r="I32" s="59" t="n">
        <f aca="false">IF(B32="","",SUMIF(取込チェック!$C$6:$C$505,B32,取込チェック!$F$6:$F$505))</f>
        <v>1610700</v>
      </c>
      <c r="J32" s="60" t="n">
        <f aca="false">IF(F32&lt;&gt;1,"",IF(H32=0,-1,G32/H32))</f>
        <v>0.134578947368421</v>
      </c>
      <c r="K32" s="58" t="n">
        <f aca="false">IF(F32&lt;&gt;1,"",COUNTIFS($E$5:$E$304,E32,$F$5:$F$304,1,$J$5:$J$304,"&gt;"&amp;J32)+COUNTIFS($E$5:$E$304,E32,$F$5:$F$304,1,$J$5:$J$304,J32,$A$5:$A$304,"&lt;"&amp;A32)+1)</f>
        <v>13</v>
      </c>
      <c r="L32" s="58" t="str">
        <f aca="false">IF(K32="","",E32&amp;"|"&amp;K32)</f>
        <v>スタジオピッコーネ／ピッコーネクラブ|13</v>
      </c>
      <c r="M32" s="58" t="n">
        <f aca="false">IF(F32&lt;&gt;1,"",IF(COUNTIFS($C$5:C32,C32,$F$5:F32,1)=1,1,0))</f>
        <v>1</v>
      </c>
      <c r="N32" s="59" t="n">
        <f aca="false">IF(M32&lt;&gt;1,"",SUMIF($C$5:$C$304,C32,$G$5:$G$304))</f>
        <v>255700</v>
      </c>
      <c r="O32" s="58" t="n">
        <f aca="false">IF(M32&lt;&gt;1,"",COUNTIFS($M$5:$M$304,1,$N$5:$N$304,"&gt;"&amp;N32)+COUNTIFS($M$5:$M$304,1,$N$5:$N$304,N32,$A$5:$A$304,"&lt;"&amp;A32)+1)</f>
        <v>28</v>
      </c>
    </row>
    <row r="33" customFormat="false" ht="15" hidden="false" customHeight="false" outlineLevel="0" collapsed="false">
      <c r="A33" s="55" t="n">
        <f aca="false">IF(B33="","",ROW()-4)</f>
        <v>29</v>
      </c>
      <c r="B33" s="57" t="n">
        <v>32675600</v>
      </c>
      <c r="C33" s="57" t="s">
        <v>131</v>
      </c>
      <c r="D33" s="57" t="s">
        <v>117</v>
      </c>
      <c r="E33" s="57" t="s">
        <v>12</v>
      </c>
      <c r="F33" s="58" t="n">
        <f aca="false">IF(B33="","",IF(COUNTIF(取込チェック!$C$6:$C$505,B33)&gt;0,1,0))</f>
        <v>1</v>
      </c>
      <c r="G33" s="59" t="n">
        <f aca="false">IF(B33="","",SUMIF(取込チェック!$C$6:$C$505,B33,取込チェック!$D$6:$D$505))</f>
        <v>512090</v>
      </c>
      <c r="H33" s="59" t="n">
        <f aca="false">IF(B33="","",SUMIF(取込チェック!$C$6:$C$505,B33,取込チェック!$E$6:$E$505))</f>
        <v>4100000</v>
      </c>
      <c r="I33" s="59" t="n">
        <f aca="false">IF(B33="","",SUMIF(取込チェック!$C$6:$C$505,B33,取込チェック!$F$6:$F$505))</f>
        <v>4075700</v>
      </c>
      <c r="J33" s="60" t="n">
        <f aca="false">IF(F33&lt;&gt;1,"",IF(H33=0,-1,G33/H33))</f>
        <v>0.1249</v>
      </c>
      <c r="K33" s="58" t="n">
        <f aca="false">IF(F33&lt;&gt;1,"",COUNTIFS($E$5:$E$304,E33,$F$5:$F$304,1,$J$5:$J$304,"&gt;"&amp;J33)+COUNTIFS($E$5:$E$304,E33,$F$5:$F$304,1,$J$5:$J$304,J33,$A$5:$A$304,"&lt;"&amp;A33)+1)</f>
        <v>14</v>
      </c>
      <c r="L33" s="58" t="str">
        <f aca="false">IF(K33="","",E33&amp;"|"&amp;K33)</f>
        <v>スタジオピッコーネ／ピッコーネクラブ|14</v>
      </c>
      <c r="M33" s="58" t="n">
        <f aca="false">IF(F33&lt;&gt;1,"",IF(COUNTIFS($C$5:C33,C33,$F$5:F33,1)=1,1,0))</f>
        <v>1</v>
      </c>
      <c r="N33" s="59" t="n">
        <f aca="false">IF(M33&lt;&gt;1,"",SUMIF($C$5:$C$304,C33,$G$5:$G$304))</f>
        <v>512090</v>
      </c>
      <c r="O33" s="58" t="n">
        <f aca="false">IF(M33&lt;&gt;1,"",COUNTIFS($M$5:$M$304,1,$N$5:$N$304,"&gt;"&amp;N33)+COUNTIFS($M$5:$M$304,1,$N$5:$N$304,N33,$A$5:$A$304,"&lt;"&amp;A33)+1)</f>
        <v>17</v>
      </c>
    </row>
    <row r="34" customFormat="false" ht="15" hidden="false" customHeight="false" outlineLevel="0" collapsed="false">
      <c r="A34" s="55" t="n">
        <f aca="false">IF(B34="","",ROW()-4)</f>
        <v>30</v>
      </c>
      <c r="B34" s="57" t="n">
        <v>32675700</v>
      </c>
      <c r="C34" s="57" t="s">
        <v>132</v>
      </c>
      <c r="D34" s="57" t="s">
        <v>117</v>
      </c>
      <c r="E34" s="57" t="s">
        <v>12</v>
      </c>
      <c r="F34" s="58" t="n">
        <f aca="false">IF(B34="","",IF(COUNTIF(取込チェック!$C$6:$C$505,B34)&gt;0,1,0))</f>
        <v>1</v>
      </c>
      <c r="G34" s="59" t="n">
        <f aca="false">IF(B34="","",SUMIF(取込チェック!$C$6:$C$505,B34,取込チェック!$D$6:$D$505))</f>
        <v>241380</v>
      </c>
      <c r="H34" s="59" t="n">
        <f aca="false">IF(B34="","",SUMIF(取込チェック!$C$6:$C$505,B34,取込チェック!$E$6:$E$505))</f>
        <v>1250000</v>
      </c>
      <c r="I34" s="59" t="n">
        <f aca="false">IF(B34="","",SUMIF(取込チェック!$C$6:$C$505,B34,取込チェック!$F$6:$F$505))</f>
        <v>997950</v>
      </c>
      <c r="J34" s="60" t="n">
        <f aca="false">IF(F34&lt;&gt;1,"",IF(H34=0,-1,G34/H34))</f>
        <v>0.193104</v>
      </c>
      <c r="K34" s="58" t="n">
        <f aca="false">IF(F34&lt;&gt;1,"",COUNTIFS($E$5:$E$304,E34,$F$5:$F$304,1,$J$5:$J$304,"&gt;"&amp;J34)+COUNTIFS($E$5:$E$304,E34,$F$5:$F$304,1,$J$5:$J$304,J34,$A$5:$A$304,"&lt;"&amp;A34)+1)</f>
        <v>4</v>
      </c>
      <c r="L34" s="58" t="str">
        <f aca="false">IF(K34="","",E34&amp;"|"&amp;K34)</f>
        <v>スタジオピッコーネ／ピッコーネクラブ|4</v>
      </c>
      <c r="M34" s="58" t="n">
        <f aca="false">IF(F34&lt;&gt;1,"",IF(COUNTIFS($C$5:C34,C34,$F$5:F34,1)=1,1,0))</f>
        <v>1</v>
      </c>
      <c r="N34" s="59" t="n">
        <f aca="false">IF(M34&lt;&gt;1,"",SUMIF($C$5:$C$304,C34,$G$5:$G$304))</f>
        <v>241380</v>
      </c>
      <c r="O34" s="58" t="n">
        <f aca="false">IF(M34&lt;&gt;1,"",COUNTIFS($M$5:$M$304,1,$N$5:$N$304,"&gt;"&amp;N34)+COUNTIFS($M$5:$M$304,1,$N$5:$N$304,N34,$A$5:$A$304,"&lt;"&amp;A34)+1)</f>
        <v>29</v>
      </c>
    </row>
    <row r="35" customFormat="false" ht="15" hidden="false" customHeight="false" outlineLevel="0" collapsed="false">
      <c r="A35" s="55" t="n">
        <f aca="false">IF(B35="","",ROW()-4)</f>
        <v>31</v>
      </c>
      <c r="B35" s="57" t="n">
        <v>32675800</v>
      </c>
      <c r="C35" s="57" t="s">
        <v>133</v>
      </c>
      <c r="D35" s="57" t="s">
        <v>117</v>
      </c>
      <c r="E35" s="57" t="s">
        <v>12</v>
      </c>
      <c r="F35" s="58" t="n">
        <f aca="false">IF(B35="","",IF(COUNTIF(取込チェック!$C$6:$C$505,B35)&gt;0,1,0))</f>
        <v>1</v>
      </c>
      <c r="G35" s="59" t="n">
        <f aca="false">IF(B35="","",SUMIF(取込チェック!$C$6:$C$505,B35,取込チェック!$D$6:$D$505))</f>
        <v>414000</v>
      </c>
      <c r="H35" s="59" t="n">
        <f aca="false">IF(B35="","",SUMIF(取込チェック!$C$6:$C$505,B35,取込チェック!$E$6:$E$505))</f>
        <v>2650000</v>
      </c>
      <c r="I35" s="59" t="n">
        <f aca="false">IF(B35="","",SUMIF(取込チェック!$C$6:$C$505,B35,取込チェック!$F$6:$F$505))</f>
        <v>2438700</v>
      </c>
      <c r="J35" s="60" t="n">
        <f aca="false">IF(F35&lt;&gt;1,"",IF(H35=0,-1,G35/H35))</f>
        <v>0.15622641509434</v>
      </c>
      <c r="K35" s="58" t="n">
        <f aca="false">IF(F35&lt;&gt;1,"",COUNTIFS($E$5:$E$304,E35,$F$5:$F$304,1,$J$5:$J$304,"&gt;"&amp;J35)+COUNTIFS($E$5:$E$304,E35,$F$5:$F$304,1,$J$5:$J$304,J35,$A$5:$A$304,"&lt;"&amp;A35)+1)</f>
        <v>11</v>
      </c>
      <c r="L35" s="58" t="str">
        <f aca="false">IF(K35="","",E35&amp;"|"&amp;K35)</f>
        <v>スタジオピッコーネ／ピッコーネクラブ|11</v>
      </c>
      <c r="M35" s="58" t="n">
        <f aca="false">IF(F35&lt;&gt;1,"",IF(COUNTIFS($C$5:C35,C35,$F$5:F35,1)=1,1,0))</f>
        <v>1</v>
      </c>
      <c r="N35" s="59" t="n">
        <f aca="false">IF(M35&lt;&gt;1,"",SUMIF($C$5:$C$304,C35,$G$5:$G$304))</f>
        <v>414000</v>
      </c>
      <c r="O35" s="58" t="n">
        <f aca="false">IF(M35&lt;&gt;1,"",COUNTIFS($M$5:$M$304,1,$N$5:$N$304,"&gt;"&amp;N35)+COUNTIFS($M$5:$M$304,1,$N$5:$N$304,N35,$A$5:$A$304,"&lt;"&amp;A35)+1)</f>
        <v>21</v>
      </c>
    </row>
    <row r="36" customFormat="false" ht="15" hidden="false" customHeight="false" outlineLevel="0" collapsed="false">
      <c r="A36" s="55" t="n">
        <f aca="false">IF(B36="","",ROW()-4)</f>
        <v>32</v>
      </c>
      <c r="B36" s="57" t="n">
        <v>32676200</v>
      </c>
      <c r="C36" s="57" t="s">
        <v>134</v>
      </c>
      <c r="D36" s="57" t="s">
        <v>117</v>
      </c>
      <c r="E36" s="57" t="s">
        <v>12</v>
      </c>
      <c r="F36" s="58" t="n">
        <f aca="false">IF(B36="","",IF(COUNTIF(取込チェック!$C$6:$C$505,B36)&gt;0,1,0))</f>
        <v>1</v>
      </c>
      <c r="G36" s="59" t="n">
        <f aca="false">IF(B36="","",SUMIF(取込チェック!$C$6:$C$505,B36,取込チェック!$D$6:$D$505))</f>
        <v>419700</v>
      </c>
      <c r="H36" s="59" t="n">
        <f aca="false">IF(B36="","",SUMIF(取込チェック!$C$6:$C$505,B36,取込チェック!$E$6:$E$505))</f>
        <v>2100000</v>
      </c>
      <c r="I36" s="59" t="n">
        <f aca="false">IF(B36="","",SUMIF(取込チェック!$C$6:$C$505,B36,取込チェック!$F$6:$F$505))</f>
        <v>1953490</v>
      </c>
      <c r="J36" s="60" t="n">
        <f aca="false">IF(F36&lt;&gt;1,"",IF(H36=0,-1,G36/H36))</f>
        <v>0.199857142857143</v>
      </c>
      <c r="K36" s="58" t="n">
        <f aca="false">IF(F36&lt;&gt;1,"",COUNTIFS($E$5:$E$304,E36,$F$5:$F$304,1,$J$5:$J$304,"&gt;"&amp;J36)+COUNTIFS($E$5:$E$304,E36,$F$5:$F$304,1,$J$5:$J$304,J36,$A$5:$A$304,"&lt;"&amp;A36)+1)</f>
        <v>2</v>
      </c>
      <c r="L36" s="58" t="str">
        <f aca="false">IF(K36="","",E36&amp;"|"&amp;K36)</f>
        <v>スタジオピッコーネ／ピッコーネクラブ|2</v>
      </c>
      <c r="M36" s="58" t="n">
        <f aca="false">IF(F36&lt;&gt;1,"",IF(COUNTIFS($C$5:C36,C36,$F$5:F36,1)=1,1,0))</f>
        <v>1</v>
      </c>
      <c r="N36" s="59" t="n">
        <f aca="false">IF(M36&lt;&gt;1,"",SUMIF($C$5:$C$304,C36,$G$5:$G$304))</f>
        <v>419700</v>
      </c>
      <c r="O36" s="58" t="n">
        <f aca="false">IF(M36&lt;&gt;1,"",COUNTIFS($M$5:$M$304,1,$N$5:$N$304,"&gt;"&amp;N36)+COUNTIFS($M$5:$M$304,1,$N$5:$N$304,N36,$A$5:$A$304,"&lt;"&amp;A36)+1)</f>
        <v>20</v>
      </c>
    </row>
    <row r="37" customFormat="false" ht="15" hidden="false" customHeight="false" outlineLevel="0" collapsed="false">
      <c r="A37" s="55" t="n">
        <f aca="false">IF(B37="","",ROW()-4)</f>
        <v>33</v>
      </c>
      <c r="B37" s="57" t="n">
        <v>32676300</v>
      </c>
      <c r="C37" s="57" t="s">
        <v>110</v>
      </c>
      <c r="D37" s="57" t="s">
        <v>117</v>
      </c>
      <c r="E37" s="57" t="s">
        <v>12</v>
      </c>
      <c r="F37" s="58" t="n">
        <f aca="false">IF(B37="","",IF(COUNTIF(取込チェック!$C$6:$C$505,B37)&gt;0,1,0))</f>
        <v>1</v>
      </c>
      <c r="G37" s="59" t="n">
        <f aca="false">IF(B37="","",SUMIF(取込チェック!$C$6:$C$505,B37,取込チェック!$D$6:$D$505))</f>
        <v>127300</v>
      </c>
      <c r="H37" s="59" t="n">
        <f aca="false">IF(B37="","",SUMIF(取込チェック!$C$6:$C$505,B37,取込チェック!$E$6:$E$505))</f>
        <v>4900000</v>
      </c>
      <c r="I37" s="59" t="n">
        <f aca="false">IF(B37="","",SUMIF(取込チェック!$C$6:$C$505,B37,取込チェック!$F$6:$F$505))</f>
        <v>4882220</v>
      </c>
      <c r="J37" s="60" t="n">
        <f aca="false">IF(F37&lt;&gt;1,"",IF(H37=0,-1,G37/H37))</f>
        <v>0.0259795918367347</v>
      </c>
      <c r="K37" s="58" t="n">
        <f aca="false">IF(F37&lt;&gt;1,"",COUNTIFS($E$5:$E$304,E37,$F$5:$F$304,1,$J$5:$J$304,"&gt;"&amp;J37)+COUNTIFS($E$5:$E$304,E37,$F$5:$F$304,1,$J$5:$J$304,J37,$A$5:$A$304,"&lt;"&amp;A37)+1)</f>
        <v>23</v>
      </c>
      <c r="L37" s="58" t="str">
        <f aca="false">IF(K37="","",E37&amp;"|"&amp;K37)</f>
        <v>スタジオピッコーネ／ピッコーネクラブ|23</v>
      </c>
      <c r="M37" s="58" t="n">
        <f aca="false">IF(F37&lt;&gt;1,"",IF(COUNTIFS($C$5:C37,C37,$F$5:F37,1)=1,1,0))</f>
        <v>0</v>
      </c>
      <c r="N37" s="59" t="str">
        <f aca="false">IF(M37&lt;&gt;1,"",SUMIF($C$5:$C$304,C37,$G$5:$G$304))</f>
        <v/>
      </c>
      <c r="O37" s="58" t="str">
        <f aca="false">IF(M37&lt;&gt;1,"",COUNTIFS($M$5:$M$304,1,$N$5:$N$304,"&gt;"&amp;N37)+COUNTIFS($M$5:$M$304,1,$N$5:$N$304,N37,$A$5:$A$304,"&lt;"&amp;A37)+1)</f>
        <v/>
      </c>
    </row>
    <row r="38" customFormat="false" ht="15" hidden="false" customHeight="false" outlineLevel="0" collapsed="false">
      <c r="A38" s="55" t="n">
        <f aca="false">IF(B38="","",ROW()-4)</f>
        <v>34</v>
      </c>
      <c r="B38" s="57" t="n">
        <v>32676700</v>
      </c>
      <c r="C38" s="57" t="s">
        <v>135</v>
      </c>
      <c r="D38" s="57" t="s">
        <v>117</v>
      </c>
      <c r="E38" s="57" t="s">
        <v>12</v>
      </c>
      <c r="F38" s="58" t="n">
        <f aca="false">IF(B38="","",IF(COUNTIF(取込チェック!$C$6:$C$505,B38)&gt;0,1,0))</f>
        <v>1</v>
      </c>
      <c r="G38" s="59" t="n">
        <f aca="false">IF(B38="","",SUMIF(取込チェック!$C$6:$C$505,B38,取込チェック!$D$6:$D$505))</f>
        <v>119200</v>
      </c>
      <c r="H38" s="59" t="n">
        <f aca="false">IF(B38="","",SUMIF(取込チェック!$C$6:$C$505,B38,取込チェック!$E$6:$E$505))</f>
        <v>1700000</v>
      </c>
      <c r="I38" s="59" t="n">
        <f aca="false">IF(B38="","",SUMIF(取込チェック!$C$6:$C$505,B38,取込チェック!$F$6:$F$505))</f>
        <v>0</v>
      </c>
      <c r="J38" s="60" t="n">
        <f aca="false">IF(F38&lt;&gt;1,"",IF(H38=0,-1,G38/H38))</f>
        <v>0.0701176470588235</v>
      </c>
      <c r="K38" s="58" t="n">
        <f aca="false">IF(F38&lt;&gt;1,"",COUNTIFS($E$5:$E$304,E38,$F$5:$F$304,1,$J$5:$J$304,"&gt;"&amp;J38)+COUNTIFS($E$5:$E$304,E38,$F$5:$F$304,1,$J$5:$J$304,J38,$A$5:$A$304,"&lt;"&amp;A38)+1)</f>
        <v>20</v>
      </c>
      <c r="L38" s="58" t="str">
        <f aca="false">IF(K38="","",E38&amp;"|"&amp;K38)</f>
        <v>スタジオピッコーネ／ピッコーネクラブ|20</v>
      </c>
      <c r="M38" s="58" t="n">
        <f aca="false">IF(F38&lt;&gt;1,"",IF(COUNTIFS($C$5:C38,C38,$F$5:F38,1)=1,1,0))</f>
        <v>1</v>
      </c>
      <c r="N38" s="59" t="n">
        <f aca="false">IF(M38&lt;&gt;1,"",SUMIF($C$5:$C$304,C38,$G$5:$G$304))</f>
        <v>119200</v>
      </c>
      <c r="O38" s="58" t="n">
        <f aca="false">IF(M38&lt;&gt;1,"",COUNTIFS($M$5:$M$304,1,$N$5:$N$304,"&gt;"&amp;N38)+COUNTIFS($M$5:$M$304,1,$N$5:$N$304,N38,$A$5:$A$304,"&lt;"&amp;A38)+1)</f>
        <v>36</v>
      </c>
    </row>
    <row r="39" customFormat="false" ht="15" hidden="false" customHeight="false" outlineLevel="0" collapsed="false">
      <c r="A39" s="55" t="n">
        <f aca="false">IF(B39="","",ROW()-4)</f>
        <v>35</v>
      </c>
      <c r="B39" s="57" t="n">
        <v>32580600</v>
      </c>
      <c r="C39" s="57" t="s">
        <v>136</v>
      </c>
      <c r="D39" s="57" t="s">
        <v>13</v>
      </c>
      <c r="E39" s="57" t="s">
        <v>13</v>
      </c>
      <c r="F39" s="58" t="n">
        <f aca="false">IF(B39="","",IF(COUNTIF(取込チェック!$C$6:$C$505,B39)&gt;0,1,0))</f>
        <v>1</v>
      </c>
      <c r="G39" s="59" t="n">
        <f aca="false">IF(B39="","",SUMIF(取込チェック!$C$6:$C$505,B39,取込チェック!$D$6:$D$505))</f>
        <v>263871</v>
      </c>
      <c r="H39" s="59" t="n">
        <f aca="false">IF(B39="","",SUMIF(取込チェック!$C$6:$C$505,B39,取込チェック!$E$6:$E$505))</f>
        <v>3130000</v>
      </c>
      <c r="I39" s="59" t="n">
        <f aca="false">IF(B39="","",SUMIF(取込チェック!$C$6:$C$505,B39,取込チェック!$F$6:$F$505))</f>
        <v>2850123</v>
      </c>
      <c r="J39" s="60" t="n">
        <f aca="false">IF(F39&lt;&gt;1,"",IF(H39=0,-1,G39/H39))</f>
        <v>0.0843038338658147</v>
      </c>
      <c r="K39" s="58" t="n">
        <f aca="false">IF(F39&lt;&gt;1,"",COUNTIFS($E$5:$E$304,E39,$F$5:$F$304,1,$J$5:$J$304,"&gt;"&amp;J39)+COUNTIFS($E$5:$E$304,E39,$F$5:$F$304,1,$J$5:$J$304,J39,$A$5:$A$304,"&lt;"&amp;A39)+1)</f>
        <v>3</v>
      </c>
      <c r="L39" s="58" t="str">
        <f aca="false">IF(K39="","",E39&amp;"|"&amp;K39)</f>
        <v>ピッコーネ|3</v>
      </c>
      <c r="M39" s="58" t="n">
        <f aca="false">IF(F39&lt;&gt;1,"",IF(COUNTIFS($C$5:C39,C39,$F$5:F39,1)=1,1,0))</f>
        <v>1</v>
      </c>
      <c r="N39" s="59" t="n">
        <f aca="false">IF(M39&lt;&gt;1,"",SUMIF($C$5:$C$304,C39,$G$5:$G$304))</f>
        <v>263871</v>
      </c>
      <c r="O39" s="58" t="n">
        <f aca="false">IF(M39&lt;&gt;1,"",COUNTIFS($M$5:$M$304,1,$N$5:$N$304,"&gt;"&amp;N39)+COUNTIFS($M$5:$M$304,1,$N$5:$N$304,N39,$A$5:$A$304,"&lt;"&amp;A39)+1)</f>
        <v>27</v>
      </c>
    </row>
    <row r="40" customFormat="false" ht="15" hidden="false" customHeight="false" outlineLevel="0" collapsed="false">
      <c r="A40" s="55" t="n">
        <f aca="false">IF(B40="","",ROW()-4)</f>
        <v>36</v>
      </c>
      <c r="B40" s="57" t="n">
        <v>32580700</v>
      </c>
      <c r="C40" s="57" t="s">
        <v>137</v>
      </c>
      <c r="D40" s="57" t="s">
        <v>13</v>
      </c>
      <c r="E40" s="57" t="s">
        <v>13</v>
      </c>
      <c r="F40" s="58" t="n">
        <f aca="false">IF(B40="","",IF(COUNTIF(取込チェック!$C$6:$C$505,B40)&gt;0,1,0))</f>
        <v>1</v>
      </c>
      <c r="G40" s="59" t="n">
        <f aca="false">IF(B40="","",SUMIF(取込チェック!$C$6:$C$505,B40,取込チェック!$D$6:$D$505))</f>
        <v>147316</v>
      </c>
      <c r="H40" s="59" t="n">
        <f aca="false">IF(B40="","",SUMIF(取込チェック!$C$6:$C$505,B40,取込チェック!$E$6:$E$505))</f>
        <v>1520000</v>
      </c>
      <c r="I40" s="59" t="n">
        <f aca="false">IF(B40="","",SUMIF(取込チェック!$C$6:$C$505,B40,取込チェック!$F$6:$F$505))</f>
        <v>1451810</v>
      </c>
      <c r="J40" s="60" t="n">
        <f aca="false">IF(F40&lt;&gt;1,"",IF(H40=0,-1,G40/H40))</f>
        <v>0.0969184210526316</v>
      </c>
      <c r="K40" s="58" t="n">
        <f aca="false">IF(F40&lt;&gt;1,"",COUNTIFS($E$5:$E$304,E40,$F$5:$F$304,1,$J$5:$J$304,"&gt;"&amp;J40)+COUNTIFS($E$5:$E$304,E40,$F$5:$F$304,1,$J$5:$J$304,J40,$A$5:$A$304,"&lt;"&amp;A40)+1)</f>
        <v>2</v>
      </c>
      <c r="L40" s="58" t="str">
        <f aca="false">IF(K40="","",E40&amp;"|"&amp;K40)</f>
        <v>ピッコーネ|2</v>
      </c>
      <c r="M40" s="58" t="n">
        <f aca="false">IF(F40&lt;&gt;1,"",IF(COUNTIFS($C$5:C40,C40,$F$5:F40,1)=1,1,0))</f>
        <v>1</v>
      </c>
      <c r="N40" s="59" t="n">
        <f aca="false">IF(M40&lt;&gt;1,"",SUMIF($C$5:$C$304,C40,$G$5:$G$304))</f>
        <v>147316</v>
      </c>
      <c r="O40" s="58" t="n">
        <f aca="false">IF(M40&lt;&gt;1,"",COUNTIFS($M$5:$M$304,1,$N$5:$N$304,"&gt;"&amp;N40)+COUNTIFS($M$5:$M$304,1,$N$5:$N$304,N40,$A$5:$A$304,"&lt;"&amp;A40)+1)</f>
        <v>34</v>
      </c>
    </row>
    <row r="41" customFormat="false" ht="15" hidden="false" customHeight="false" outlineLevel="0" collapsed="false">
      <c r="A41" s="55" t="n">
        <f aca="false">IF(B41="","",ROW()-4)</f>
        <v>37</v>
      </c>
      <c r="B41" s="57" t="n">
        <v>32580900</v>
      </c>
      <c r="C41" s="57" t="s">
        <v>138</v>
      </c>
      <c r="D41" s="57" t="s">
        <v>13</v>
      </c>
      <c r="E41" s="57" t="s">
        <v>13</v>
      </c>
      <c r="F41" s="58" t="n">
        <f aca="false">IF(B41="","",IF(COUNTIF(取込チェック!$C$6:$C$505,B41)&gt;0,1,0))</f>
        <v>0</v>
      </c>
      <c r="G41" s="59" t="n">
        <f aca="false">IF(B41="","",SUMIF(取込チェック!$C$6:$C$505,B41,取込チェック!$D$6:$D$505))</f>
        <v>0</v>
      </c>
      <c r="H41" s="59" t="n">
        <f aca="false">IF(B41="","",SUMIF(取込チェック!$C$6:$C$505,B41,取込チェック!$E$6:$E$505))</f>
        <v>0</v>
      </c>
      <c r="I41" s="59" t="n">
        <f aca="false">IF(B41="","",SUMIF(取込チェック!$C$6:$C$505,B41,取込チェック!$F$6:$F$505))</f>
        <v>0</v>
      </c>
      <c r="J41" s="60" t="str">
        <f aca="false">IF(F41&lt;&gt;1,"",IF(H41=0,-1,G41/H41))</f>
        <v/>
      </c>
      <c r="K41" s="58" t="str">
        <f aca="false">IF(F41&lt;&gt;1,"",COUNTIFS($E$5:$E$304,E41,$F$5:$F$304,1,$J$5:$J$304,"&gt;"&amp;J41)+COUNTIFS($E$5:$E$304,E41,$F$5:$F$304,1,$J$5:$J$304,J41,$A$5:$A$304,"&lt;"&amp;A41)+1)</f>
        <v/>
      </c>
      <c r="L41" s="58" t="str">
        <f aca="false">IF(K41="","",E41&amp;"|"&amp;K41)</f>
        <v/>
      </c>
      <c r="M41" s="58" t="str">
        <f aca="false">IF(F41&lt;&gt;1,"",IF(COUNTIFS($C$5:C41,C41,$F$5:F41,1)=1,1,0))</f>
        <v/>
      </c>
      <c r="N41" s="59" t="str">
        <f aca="false">IF(M41&lt;&gt;1,"",SUMIF($C$5:$C$304,C41,$G$5:$G$304))</f>
        <v/>
      </c>
      <c r="O41" s="58" t="str">
        <f aca="false">IF(M41&lt;&gt;1,"",COUNTIFS($M$5:$M$304,1,$N$5:$N$304,"&gt;"&amp;N41)+COUNTIFS($M$5:$M$304,1,$N$5:$N$304,N41,$A$5:$A$304,"&lt;"&amp;A41)+1)</f>
        <v/>
      </c>
    </row>
    <row r="42" customFormat="false" ht="15" hidden="false" customHeight="false" outlineLevel="0" collapsed="false">
      <c r="A42" s="55" t="n">
        <f aca="false">IF(B42="","",ROW()-4)</f>
        <v>38</v>
      </c>
      <c r="B42" s="57" t="n">
        <v>32675100</v>
      </c>
      <c r="C42" s="57" t="s">
        <v>139</v>
      </c>
      <c r="D42" s="57" t="s">
        <v>13</v>
      </c>
      <c r="E42" s="57" t="s">
        <v>13</v>
      </c>
      <c r="F42" s="58" t="n">
        <f aca="false">IF(B42="","",IF(COUNTIF(取込チェック!$C$6:$C$505,B42)&gt;0,1,0))</f>
        <v>1</v>
      </c>
      <c r="G42" s="59" t="n">
        <f aca="false">IF(B42="","",SUMIF(取込チェック!$C$6:$C$505,B42,取込チェック!$D$6:$D$505))</f>
        <v>413000</v>
      </c>
      <c r="H42" s="59" t="n">
        <f aca="false">IF(B42="","",SUMIF(取込チェック!$C$6:$C$505,B42,取込チェック!$E$6:$E$505))</f>
        <v>3650000</v>
      </c>
      <c r="I42" s="59" t="n">
        <f aca="false">IF(B42="","",SUMIF(取込チェック!$C$6:$C$505,B42,取込チェック!$F$6:$F$505))</f>
        <v>3418600</v>
      </c>
      <c r="J42" s="60" t="n">
        <f aca="false">IF(F42&lt;&gt;1,"",IF(H42=0,-1,G42/H42))</f>
        <v>0.113150684931507</v>
      </c>
      <c r="K42" s="58" t="n">
        <f aca="false">IF(F42&lt;&gt;1,"",COUNTIFS($E$5:$E$304,E42,$F$5:$F$304,1,$J$5:$J$304,"&gt;"&amp;J42)+COUNTIFS($E$5:$E$304,E42,$F$5:$F$304,1,$J$5:$J$304,J42,$A$5:$A$304,"&lt;"&amp;A42)+1)</f>
        <v>1</v>
      </c>
      <c r="L42" s="58" t="str">
        <f aca="false">IF(K42="","",E42&amp;"|"&amp;K42)</f>
        <v>ピッコーネ|1</v>
      </c>
      <c r="M42" s="58" t="n">
        <f aca="false">IF(F42&lt;&gt;1,"",IF(COUNTIFS($C$5:C42,C42,$F$5:F42,1)=1,1,0))</f>
        <v>1</v>
      </c>
      <c r="N42" s="59" t="n">
        <f aca="false">IF(M42&lt;&gt;1,"",SUMIF($C$5:$C$304,C42,$G$5:$G$304))</f>
        <v>413000</v>
      </c>
      <c r="O42" s="58" t="n">
        <f aca="false">IF(M42&lt;&gt;1,"",COUNTIFS($M$5:$M$304,1,$N$5:$N$304,"&gt;"&amp;N42)+COUNTIFS($M$5:$M$304,1,$N$5:$N$304,N42,$A$5:$A$304,"&lt;"&amp;A42)+1)</f>
        <v>22</v>
      </c>
    </row>
    <row r="43" customFormat="false" ht="15" hidden="false" customHeight="false" outlineLevel="0" collapsed="false">
      <c r="A43" s="55" t="n">
        <f aca="false">IF(B43="","",ROW()-4)</f>
        <v>39</v>
      </c>
      <c r="B43" s="57" t="n">
        <v>32675300</v>
      </c>
      <c r="C43" s="57" t="s">
        <v>140</v>
      </c>
      <c r="D43" s="57" t="s">
        <v>13</v>
      </c>
      <c r="E43" s="57" t="s">
        <v>13</v>
      </c>
      <c r="F43" s="58" t="n">
        <f aca="false">IF(B43="","",IF(COUNTIF(取込チェック!$C$6:$C$505,B43)&gt;0,1,0))</f>
        <v>1</v>
      </c>
      <c r="G43" s="59" t="n">
        <f aca="false">IF(B43="","",SUMIF(取込チェック!$C$6:$C$505,B43,取込チェック!$D$6:$D$505))</f>
        <v>202545</v>
      </c>
      <c r="H43" s="59" t="n">
        <f aca="false">IF(B43="","",SUMIF(取込チェック!$C$6:$C$505,B43,取込チェック!$E$6:$E$505))</f>
        <v>3400000</v>
      </c>
      <c r="I43" s="59" t="n">
        <f aca="false">IF(B43="","",SUMIF(取込チェック!$C$6:$C$505,B43,取込チェック!$F$6:$F$505))</f>
        <v>4550720</v>
      </c>
      <c r="J43" s="60" t="n">
        <f aca="false">IF(F43&lt;&gt;1,"",IF(H43=0,-1,G43/H43))</f>
        <v>0.0595720588235294</v>
      </c>
      <c r="K43" s="58" t="n">
        <f aca="false">IF(F43&lt;&gt;1,"",COUNTIFS($E$5:$E$304,E43,$F$5:$F$304,1,$J$5:$J$304,"&gt;"&amp;J43)+COUNTIFS($E$5:$E$304,E43,$F$5:$F$304,1,$J$5:$J$304,J43,$A$5:$A$304,"&lt;"&amp;A43)+1)</f>
        <v>4</v>
      </c>
      <c r="L43" s="58" t="str">
        <f aca="false">IF(K43="","",E43&amp;"|"&amp;K43)</f>
        <v>ピッコーネ|4</v>
      </c>
      <c r="M43" s="58" t="n">
        <f aca="false">IF(F43&lt;&gt;1,"",IF(COUNTIFS($C$5:C43,C43,$F$5:F43,1)=1,1,0))</f>
        <v>1</v>
      </c>
      <c r="N43" s="59" t="n">
        <f aca="false">IF(M43&lt;&gt;1,"",SUMIF($C$5:$C$304,C43,$G$5:$G$304))</f>
        <v>202545</v>
      </c>
      <c r="O43" s="58" t="n">
        <f aca="false">IF(M43&lt;&gt;1,"",COUNTIFS($M$5:$M$304,1,$N$5:$N$304,"&gt;"&amp;N43)+COUNTIFS($M$5:$M$304,1,$N$5:$N$304,N43,$A$5:$A$304,"&lt;"&amp;A43)+1)</f>
        <v>31</v>
      </c>
    </row>
    <row r="44" customFormat="false" ht="15" hidden="false" customHeight="false" outlineLevel="0" collapsed="false">
      <c r="A44" s="55" t="n">
        <f aca="false">IF(B44="","",ROW()-4)</f>
        <v>40</v>
      </c>
      <c r="B44" s="57" t="n">
        <v>32570700</v>
      </c>
      <c r="C44" s="57" t="s">
        <v>141</v>
      </c>
      <c r="D44" s="57" t="s">
        <v>142</v>
      </c>
      <c r="E44" s="57" t="s">
        <v>14</v>
      </c>
      <c r="F44" s="58" t="n">
        <f aca="false">IF(B44="","",IF(COUNTIF(取込チェック!$C$6:$C$505,B44)&gt;0,1,0))</f>
        <v>1</v>
      </c>
      <c r="G44" s="59" t="n">
        <f aca="false">IF(B44="","",SUMIF(取込チェック!$C$6:$C$505,B44,取込チェック!$D$6:$D$505))</f>
        <v>320226</v>
      </c>
      <c r="H44" s="59" t="n">
        <f aca="false">IF(B44="","",SUMIF(取込チェック!$C$6:$C$505,B44,取込チェック!$E$6:$E$505))</f>
        <v>4172000</v>
      </c>
      <c r="I44" s="59" t="n">
        <f aca="false">IF(B44="","",SUMIF(取込チェック!$C$6:$C$505,B44,取込チェック!$F$6:$F$505))</f>
        <v>2813375</v>
      </c>
      <c r="J44" s="60" t="n">
        <f aca="false">IF(F44&lt;&gt;1,"",IF(H44=0,-1,G44/H44))</f>
        <v>0.0767559923298178</v>
      </c>
      <c r="K44" s="58" t="n">
        <f aca="false">IF(F44&lt;&gt;1,"",COUNTIFS($E$5:$E$304,E44,$F$5:$F$304,1,$J$5:$J$304,"&gt;"&amp;J44)+COUNTIFS($E$5:$E$304,E44,$F$5:$F$304,1,$J$5:$J$304,J44,$A$5:$A$304,"&lt;"&amp;A44)+1)</f>
        <v>5</v>
      </c>
      <c r="L44" s="58" t="str">
        <f aca="false">IF(K44="","",E44&amp;"|"&amp;K44)</f>
        <v>複合（アルチビオ＋ピッコーネ系）|5</v>
      </c>
      <c r="M44" s="58" t="n">
        <f aca="false">IF(F44&lt;&gt;1,"",IF(COUNTIFS($C$5:C44,C44,$F$5:F44,1)=1,1,0))</f>
        <v>1</v>
      </c>
      <c r="N44" s="59" t="n">
        <f aca="false">IF(M44&lt;&gt;1,"",SUMIF($C$5:$C$304,C44,$G$5:$G$304))</f>
        <v>320226</v>
      </c>
      <c r="O44" s="58" t="n">
        <f aca="false">IF(M44&lt;&gt;1,"",COUNTIFS($M$5:$M$304,1,$N$5:$N$304,"&gt;"&amp;N44)+COUNTIFS($M$5:$M$304,1,$N$5:$N$304,N44,$A$5:$A$304,"&lt;"&amp;A44)+1)</f>
        <v>23</v>
      </c>
    </row>
    <row r="45" customFormat="false" ht="15" hidden="false" customHeight="false" outlineLevel="0" collapsed="false">
      <c r="A45" s="55" t="n">
        <f aca="false">IF(B45="","",ROW()-4)</f>
        <v>41</v>
      </c>
      <c r="B45" s="57" t="n">
        <v>32570800</v>
      </c>
      <c r="C45" s="57" t="s">
        <v>143</v>
      </c>
      <c r="D45" s="57" t="s">
        <v>144</v>
      </c>
      <c r="E45" s="57" t="s">
        <v>14</v>
      </c>
      <c r="F45" s="58" t="n">
        <f aca="false">IF(B45="","",IF(COUNTIF(取込チェック!$C$6:$C$505,B45)&gt;0,1,0))</f>
        <v>1</v>
      </c>
      <c r="G45" s="59" t="n">
        <f aca="false">IF(B45="","",SUMIF(取込チェック!$C$6:$C$505,B45,取込チェック!$D$6:$D$505))</f>
        <v>597712</v>
      </c>
      <c r="H45" s="59" t="n">
        <f aca="false">IF(B45="","",SUMIF(取込チェック!$C$6:$C$505,B45,取込チェック!$E$6:$E$505))</f>
        <v>4687000</v>
      </c>
      <c r="I45" s="59" t="n">
        <f aca="false">IF(B45="","",SUMIF(取込チェック!$C$6:$C$505,B45,取込チェック!$F$6:$F$505))</f>
        <v>3376895</v>
      </c>
      <c r="J45" s="60" t="n">
        <f aca="false">IF(F45&lt;&gt;1,"",IF(H45=0,-1,G45/H45))</f>
        <v>0.127525496052912</v>
      </c>
      <c r="K45" s="58" t="n">
        <f aca="false">IF(F45&lt;&gt;1,"",COUNTIFS($E$5:$E$304,E45,$F$5:$F$304,1,$J$5:$J$304,"&gt;"&amp;J45)+COUNTIFS($E$5:$E$304,E45,$F$5:$F$304,1,$J$5:$J$304,J45,$A$5:$A$304,"&lt;"&amp;A45)+1)</f>
        <v>3</v>
      </c>
      <c r="L45" s="58" t="str">
        <f aca="false">IF(K45="","",E45&amp;"|"&amp;K45)</f>
        <v>複合（アルチビオ＋ピッコーネ系）|3</v>
      </c>
      <c r="M45" s="58" t="n">
        <f aca="false">IF(F45&lt;&gt;1,"",IF(COUNTIFS($C$5:C45,C45,$F$5:F45,1)=1,1,0))</f>
        <v>1</v>
      </c>
      <c r="N45" s="59" t="n">
        <f aca="false">IF(M45&lt;&gt;1,"",SUMIF($C$5:$C$304,C45,$G$5:$G$304))</f>
        <v>597712</v>
      </c>
      <c r="O45" s="58" t="n">
        <f aca="false">IF(M45&lt;&gt;1,"",COUNTIFS($M$5:$M$304,1,$N$5:$N$304,"&gt;"&amp;N45)+COUNTIFS($M$5:$M$304,1,$N$5:$N$304,N45,$A$5:$A$304,"&lt;"&amp;A45)+1)</f>
        <v>15</v>
      </c>
    </row>
    <row r="46" customFormat="false" ht="15" hidden="false" customHeight="false" outlineLevel="0" collapsed="false">
      <c r="A46" s="55" t="n">
        <f aca="false">IF(B46="","",ROW()-4)</f>
        <v>42</v>
      </c>
      <c r="B46" s="57" t="n">
        <v>32572200</v>
      </c>
      <c r="C46" s="57" t="s">
        <v>145</v>
      </c>
      <c r="D46" s="57" t="s">
        <v>144</v>
      </c>
      <c r="E46" s="57" t="s">
        <v>14</v>
      </c>
      <c r="F46" s="58" t="n">
        <f aca="false">IF(B46="","",IF(COUNTIF(取込チェック!$C$6:$C$505,B46)&gt;0,1,0))</f>
        <v>1</v>
      </c>
      <c r="G46" s="59" t="n">
        <f aca="false">IF(B46="","",SUMIF(取込チェック!$C$6:$C$505,B46,取込チェック!$D$6:$D$505))</f>
        <v>1582708</v>
      </c>
      <c r="H46" s="59" t="n">
        <f aca="false">IF(B46="","",SUMIF(取込チェック!$C$6:$C$505,B46,取込チェック!$E$6:$E$505))</f>
        <v>9500000</v>
      </c>
      <c r="I46" s="59" t="n">
        <f aca="false">IF(B46="","",SUMIF(取込チェック!$C$6:$C$505,B46,取込チェック!$F$6:$F$505))</f>
        <v>9277415</v>
      </c>
      <c r="J46" s="60" t="n">
        <f aca="false">IF(F46&lt;&gt;1,"",IF(H46=0,-1,G46/H46))</f>
        <v>0.166600842105263</v>
      </c>
      <c r="K46" s="58" t="n">
        <f aca="false">IF(F46&lt;&gt;1,"",COUNTIFS($E$5:$E$304,E46,$F$5:$F$304,1,$J$5:$J$304,"&gt;"&amp;J46)+COUNTIFS($E$5:$E$304,E46,$F$5:$F$304,1,$J$5:$J$304,J46,$A$5:$A$304,"&lt;"&amp;A46)+1)</f>
        <v>2</v>
      </c>
      <c r="L46" s="58" t="str">
        <f aca="false">IF(K46="","",E46&amp;"|"&amp;K46)</f>
        <v>複合（アルチビオ＋ピッコーネ系）|2</v>
      </c>
      <c r="M46" s="58" t="n">
        <f aca="false">IF(F46&lt;&gt;1,"",IF(COUNTIFS($C$5:C46,C46,$F$5:F46,1)=1,1,0))</f>
        <v>1</v>
      </c>
      <c r="N46" s="59" t="n">
        <f aca="false">IF(M46&lt;&gt;1,"",SUMIF($C$5:$C$304,C46,$G$5:$G$304))</f>
        <v>1582708</v>
      </c>
      <c r="O46" s="58" t="n">
        <f aca="false">IF(M46&lt;&gt;1,"",COUNTIFS($M$5:$M$304,1,$N$5:$N$304,"&gt;"&amp;N46)+COUNTIFS($M$5:$M$304,1,$N$5:$N$304,N46,$A$5:$A$304,"&lt;"&amp;A46)+1)</f>
        <v>4</v>
      </c>
    </row>
    <row r="47" customFormat="false" ht="15" hidden="false" customHeight="false" outlineLevel="0" collapsed="false">
      <c r="A47" s="55" t="n">
        <f aca="false">IF(B47="","",ROW()-4)</f>
        <v>43</v>
      </c>
      <c r="B47" s="57" t="n">
        <v>32573300</v>
      </c>
      <c r="C47" s="57" t="s">
        <v>119</v>
      </c>
      <c r="D47" s="57" t="s">
        <v>146</v>
      </c>
      <c r="E47" s="57" t="s">
        <v>14</v>
      </c>
      <c r="F47" s="58" t="n">
        <f aca="false">IF(B47="","",IF(COUNTIF(取込チェック!$C$6:$C$505,B47)&gt;0,1,0))</f>
        <v>1</v>
      </c>
      <c r="G47" s="59" t="n">
        <f aca="false">IF(B47="","",SUMIF(取込チェック!$C$6:$C$505,B47,取込チェック!$D$6:$D$505))</f>
        <v>247325</v>
      </c>
      <c r="H47" s="59" t="n">
        <f aca="false">IF(B47="","",SUMIF(取込チェック!$C$6:$C$505,B47,取込チェック!$E$6:$E$505))</f>
        <v>2883000</v>
      </c>
      <c r="I47" s="59" t="n">
        <f aca="false">IF(B47="","",SUMIF(取込チェック!$C$6:$C$505,B47,取込チェック!$F$6:$F$505))</f>
        <v>2232420</v>
      </c>
      <c r="J47" s="60" t="n">
        <f aca="false">IF(F47&lt;&gt;1,"",IF(H47=0,-1,G47/H47))</f>
        <v>0.0857873742629206</v>
      </c>
      <c r="K47" s="58" t="n">
        <f aca="false">IF(F47&lt;&gt;1,"",COUNTIFS($E$5:$E$304,E47,$F$5:$F$304,1,$J$5:$J$304,"&gt;"&amp;J47)+COUNTIFS($E$5:$E$304,E47,$F$5:$F$304,1,$J$5:$J$304,J47,$A$5:$A$304,"&lt;"&amp;A47)+1)</f>
        <v>4</v>
      </c>
      <c r="L47" s="58" t="str">
        <f aca="false">IF(K47="","",E47&amp;"|"&amp;K47)</f>
        <v>複合（アルチビオ＋ピッコーネ系）|4</v>
      </c>
      <c r="M47" s="58" t="n">
        <f aca="false">IF(F47&lt;&gt;1,"",IF(COUNTIFS($C$5:C47,C47,$F$5:F47,1)=1,1,0))</f>
        <v>0</v>
      </c>
      <c r="N47" s="59" t="str">
        <f aca="false">IF(M47&lt;&gt;1,"",SUMIF($C$5:$C$304,C47,$G$5:$G$304))</f>
        <v/>
      </c>
      <c r="O47" s="58" t="str">
        <f aca="false">IF(M47&lt;&gt;1,"",COUNTIFS($M$5:$M$304,1,$N$5:$N$304,"&gt;"&amp;N47)+COUNTIFS($M$5:$M$304,1,$N$5:$N$304,N47,$A$5:$A$304,"&lt;"&amp;A47)+1)</f>
        <v/>
      </c>
    </row>
    <row r="48" customFormat="false" ht="15" hidden="false" customHeight="false" outlineLevel="0" collapsed="false">
      <c r="A48" s="55" t="n">
        <f aca="false">IF(B48="","",ROW()-4)</f>
        <v>44</v>
      </c>
      <c r="B48" s="57" t="n">
        <v>32671500</v>
      </c>
      <c r="C48" s="57" t="s">
        <v>147</v>
      </c>
      <c r="D48" s="57" t="s">
        <v>148</v>
      </c>
      <c r="E48" s="57" t="s">
        <v>14</v>
      </c>
      <c r="F48" s="58" t="n">
        <f aca="false">IF(B48="","",IF(COUNTIF(取込チェック!$C$6:$C$505,B48)&gt;0,1,0))</f>
        <v>1</v>
      </c>
      <c r="G48" s="59" t="n">
        <f aca="false">IF(B48="","",SUMIF(取込チェック!$C$6:$C$505,B48,取込チェック!$D$6:$D$505))</f>
        <v>922530</v>
      </c>
      <c r="H48" s="59" t="n">
        <f aca="false">IF(B48="","",SUMIF(取込チェック!$C$6:$C$505,B48,取込チェック!$E$6:$E$505))</f>
        <v>3079000</v>
      </c>
      <c r="I48" s="59" t="n">
        <f aca="false">IF(B48="","",SUMIF(取込チェック!$C$6:$C$505,B48,取込チェック!$F$6:$F$505))</f>
        <v>2912300</v>
      </c>
      <c r="J48" s="60" t="n">
        <f aca="false">IF(F48&lt;&gt;1,"",IF(H48=0,-1,G48/H48))</f>
        <v>0.299620006495615</v>
      </c>
      <c r="K48" s="58" t="n">
        <f aca="false">IF(F48&lt;&gt;1,"",COUNTIFS($E$5:$E$304,E48,$F$5:$F$304,1,$J$5:$J$304,"&gt;"&amp;J48)+COUNTIFS($E$5:$E$304,E48,$F$5:$F$304,1,$J$5:$J$304,J48,$A$5:$A$304,"&lt;"&amp;A48)+1)</f>
        <v>1</v>
      </c>
      <c r="L48" s="58" t="str">
        <f aca="false">IF(K48="","",E48&amp;"|"&amp;K48)</f>
        <v>複合（アルチビオ＋ピッコーネ系）|1</v>
      </c>
      <c r="M48" s="58" t="n">
        <f aca="false">IF(F48&lt;&gt;1,"",IF(COUNTIFS($C$5:C48,C48,$F$5:F48,1)=1,1,0))</f>
        <v>1</v>
      </c>
      <c r="N48" s="59" t="n">
        <f aca="false">IF(M48&lt;&gt;1,"",SUMIF($C$5:$C$304,C48,$G$5:$G$304))</f>
        <v>922530</v>
      </c>
      <c r="O48" s="58" t="n">
        <f aca="false">IF(M48&lt;&gt;1,"",COUNTIFS($M$5:$M$304,1,$N$5:$N$304,"&gt;"&amp;N48)+COUNTIFS($M$5:$M$304,1,$N$5:$N$304,N48,$A$5:$A$304,"&lt;"&amp;A48)+1)</f>
        <v>9</v>
      </c>
    </row>
    <row r="49" customFormat="false" ht="15" hidden="false" customHeight="false" outlineLevel="0" collapsed="false">
      <c r="A49" s="55" t="str">
        <f aca="false">IF(B49="","",ROW()-4)</f>
        <v/>
      </c>
      <c r="B49" s="57"/>
      <c r="C49" s="57"/>
      <c r="D49" s="57"/>
      <c r="E49" s="57"/>
      <c r="F49" s="58" t="str">
        <f aca="false">IF(B49="","",IF(COUNTIF(取込チェック!$C$6:$C$505,B49)&gt;0,1,0))</f>
        <v/>
      </c>
      <c r="G49" s="59" t="str">
        <f aca="false">IF(B49="","",SUMIF(取込チェック!$C$6:$C$505,B49,取込チェック!$D$6:$D$505))</f>
        <v/>
      </c>
      <c r="H49" s="59" t="str">
        <f aca="false">IF(B49="","",SUMIF(取込チェック!$C$6:$C$505,B49,取込チェック!$E$6:$E$505))</f>
        <v/>
      </c>
      <c r="I49" s="59" t="str">
        <f aca="false">IF(B49="","",SUMIF(取込チェック!$C$6:$C$505,B49,取込チェック!$F$6:$F$505))</f>
        <v/>
      </c>
      <c r="J49" s="60" t="str">
        <f aca="false">IF(F49&lt;&gt;1,"",IF(H49=0,-1,G49/H49))</f>
        <v/>
      </c>
      <c r="K49" s="58" t="str">
        <f aca="false">IF(F49&lt;&gt;1,"",COUNTIFS($E$5:$E$304,E49,$F$5:$F$304,1,$J$5:$J$304,"&gt;"&amp;J49)+COUNTIFS($E$5:$E$304,E49,$F$5:$F$304,1,$J$5:$J$304,J49,$A$5:$A$304,"&lt;"&amp;A49)+1)</f>
        <v/>
      </c>
      <c r="L49" s="58" t="str">
        <f aca="false">IF(K49="","",E49&amp;"|"&amp;K49)</f>
        <v/>
      </c>
      <c r="M49" s="58" t="str">
        <f aca="false">IF(F49&lt;&gt;1,"",IF(COUNTIFS($C$5:C49,C49,$F$5:F49,1)=1,1,0))</f>
        <v/>
      </c>
      <c r="N49" s="59" t="str">
        <f aca="false">IF(M49&lt;&gt;1,"",SUMIF($C$5:$C$304,C49,$G$5:$G$304))</f>
        <v/>
      </c>
      <c r="O49" s="58" t="str">
        <f aca="false">IF(M49&lt;&gt;1,"",COUNTIFS($M$5:$M$304,1,$N$5:$N$304,"&gt;"&amp;N49)+COUNTIFS($M$5:$M$304,1,$N$5:$N$304,N49,$A$5:$A$304,"&lt;"&amp;A49)+1)</f>
        <v/>
      </c>
    </row>
    <row r="50" customFormat="false" ht="15" hidden="false" customHeight="false" outlineLevel="0" collapsed="false">
      <c r="A50" s="55" t="str">
        <f aca="false">IF(B50="","",ROW()-4)</f>
        <v/>
      </c>
      <c r="B50" s="57"/>
      <c r="C50" s="57"/>
      <c r="D50" s="57"/>
      <c r="E50" s="57"/>
      <c r="F50" s="58" t="str">
        <f aca="false">IF(B50="","",IF(COUNTIF(取込チェック!$C$6:$C$505,B50)&gt;0,1,0))</f>
        <v/>
      </c>
      <c r="G50" s="59" t="str">
        <f aca="false">IF(B50="","",SUMIF(取込チェック!$C$6:$C$505,B50,取込チェック!$D$6:$D$505))</f>
        <v/>
      </c>
      <c r="H50" s="59" t="str">
        <f aca="false">IF(B50="","",SUMIF(取込チェック!$C$6:$C$505,B50,取込チェック!$E$6:$E$505))</f>
        <v/>
      </c>
      <c r="I50" s="59" t="str">
        <f aca="false">IF(B50="","",SUMIF(取込チェック!$C$6:$C$505,B50,取込チェック!$F$6:$F$505))</f>
        <v/>
      </c>
      <c r="J50" s="60" t="str">
        <f aca="false">IF(F50&lt;&gt;1,"",IF(H50=0,-1,G50/H50))</f>
        <v/>
      </c>
      <c r="K50" s="58" t="str">
        <f aca="false">IF(F50&lt;&gt;1,"",COUNTIFS($E$5:$E$304,E50,$F$5:$F$304,1,$J$5:$J$304,"&gt;"&amp;J50)+COUNTIFS($E$5:$E$304,E50,$F$5:$F$304,1,$J$5:$J$304,J50,$A$5:$A$304,"&lt;"&amp;A50)+1)</f>
        <v/>
      </c>
      <c r="L50" s="58" t="str">
        <f aca="false">IF(K50="","",E50&amp;"|"&amp;K50)</f>
        <v/>
      </c>
      <c r="M50" s="58" t="str">
        <f aca="false">IF(F50&lt;&gt;1,"",IF(COUNTIFS($C$5:C50,C50,$F$5:F50,1)=1,1,0))</f>
        <v/>
      </c>
      <c r="N50" s="59" t="str">
        <f aca="false">IF(M50&lt;&gt;1,"",SUMIF($C$5:$C$304,C50,$G$5:$G$304))</f>
        <v/>
      </c>
      <c r="O50" s="58" t="str">
        <f aca="false">IF(M50&lt;&gt;1,"",COUNTIFS($M$5:$M$304,1,$N$5:$N$304,"&gt;"&amp;N50)+COUNTIFS($M$5:$M$304,1,$N$5:$N$304,N50,$A$5:$A$304,"&lt;"&amp;A50)+1)</f>
        <v/>
      </c>
    </row>
    <row r="51" customFormat="false" ht="15" hidden="false" customHeight="false" outlineLevel="0" collapsed="false">
      <c r="A51" s="55" t="str">
        <f aca="false">IF(B51="","",ROW()-4)</f>
        <v/>
      </c>
      <c r="B51" s="57"/>
      <c r="C51" s="57"/>
      <c r="D51" s="57"/>
      <c r="E51" s="57"/>
      <c r="F51" s="58" t="str">
        <f aca="false">IF(B51="","",IF(COUNTIF(取込チェック!$C$6:$C$505,B51)&gt;0,1,0))</f>
        <v/>
      </c>
      <c r="G51" s="59" t="str">
        <f aca="false">IF(B51="","",SUMIF(取込チェック!$C$6:$C$505,B51,取込チェック!$D$6:$D$505))</f>
        <v/>
      </c>
      <c r="H51" s="59" t="str">
        <f aca="false">IF(B51="","",SUMIF(取込チェック!$C$6:$C$505,B51,取込チェック!$E$6:$E$505))</f>
        <v/>
      </c>
      <c r="I51" s="59" t="str">
        <f aca="false">IF(B51="","",SUMIF(取込チェック!$C$6:$C$505,B51,取込チェック!$F$6:$F$505))</f>
        <v/>
      </c>
      <c r="J51" s="60" t="str">
        <f aca="false">IF(F51&lt;&gt;1,"",IF(H51=0,-1,G51/H51))</f>
        <v/>
      </c>
      <c r="K51" s="58" t="str">
        <f aca="false">IF(F51&lt;&gt;1,"",COUNTIFS($E$5:$E$304,E51,$F$5:$F$304,1,$J$5:$J$304,"&gt;"&amp;J51)+COUNTIFS($E$5:$E$304,E51,$F$5:$F$304,1,$J$5:$J$304,J51,$A$5:$A$304,"&lt;"&amp;A51)+1)</f>
        <v/>
      </c>
      <c r="L51" s="58" t="str">
        <f aca="false">IF(K51="","",E51&amp;"|"&amp;K51)</f>
        <v/>
      </c>
      <c r="M51" s="58" t="str">
        <f aca="false">IF(F51&lt;&gt;1,"",IF(COUNTIFS($C$5:C51,C51,$F$5:F51,1)=1,1,0))</f>
        <v/>
      </c>
      <c r="N51" s="59" t="str">
        <f aca="false">IF(M51&lt;&gt;1,"",SUMIF($C$5:$C$304,C51,$G$5:$G$304))</f>
        <v/>
      </c>
      <c r="O51" s="58" t="str">
        <f aca="false">IF(M51&lt;&gt;1,"",COUNTIFS($M$5:$M$304,1,$N$5:$N$304,"&gt;"&amp;N51)+COUNTIFS($M$5:$M$304,1,$N$5:$N$304,N51,$A$5:$A$304,"&lt;"&amp;A51)+1)</f>
        <v/>
      </c>
    </row>
    <row r="52" customFormat="false" ht="15" hidden="false" customHeight="false" outlineLevel="0" collapsed="false">
      <c r="A52" s="55" t="str">
        <f aca="false">IF(B52="","",ROW()-4)</f>
        <v/>
      </c>
      <c r="B52" s="57"/>
      <c r="C52" s="57"/>
      <c r="D52" s="57"/>
      <c r="E52" s="57"/>
      <c r="F52" s="58" t="str">
        <f aca="false">IF(B52="","",IF(COUNTIF(取込チェック!$C$6:$C$505,B52)&gt;0,1,0))</f>
        <v/>
      </c>
      <c r="G52" s="59" t="str">
        <f aca="false">IF(B52="","",SUMIF(取込チェック!$C$6:$C$505,B52,取込チェック!$D$6:$D$505))</f>
        <v/>
      </c>
      <c r="H52" s="59" t="str">
        <f aca="false">IF(B52="","",SUMIF(取込チェック!$C$6:$C$505,B52,取込チェック!$E$6:$E$505))</f>
        <v/>
      </c>
      <c r="I52" s="59" t="str">
        <f aca="false">IF(B52="","",SUMIF(取込チェック!$C$6:$C$505,B52,取込チェック!$F$6:$F$505))</f>
        <v/>
      </c>
      <c r="J52" s="60" t="str">
        <f aca="false">IF(F52&lt;&gt;1,"",IF(H52=0,-1,G52/H52))</f>
        <v/>
      </c>
      <c r="K52" s="58" t="str">
        <f aca="false">IF(F52&lt;&gt;1,"",COUNTIFS($E$5:$E$304,E52,$F$5:$F$304,1,$J$5:$J$304,"&gt;"&amp;J52)+COUNTIFS($E$5:$E$304,E52,$F$5:$F$304,1,$J$5:$J$304,J52,$A$5:$A$304,"&lt;"&amp;A52)+1)</f>
        <v/>
      </c>
      <c r="L52" s="58" t="str">
        <f aca="false">IF(K52="","",E52&amp;"|"&amp;K52)</f>
        <v/>
      </c>
      <c r="M52" s="58" t="str">
        <f aca="false">IF(F52&lt;&gt;1,"",IF(COUNTIFS($C$5:C52,C52,$F$5:F52,1)=1,1,0))</f>
        <v/>
      </c>
      <c r="N52" s="59" t="str">
        <f aca="false">IF(M52&lt;&gt;1,"",SUMIF($C$5:$C$304,C52,$G$5:$G$304))</f>
        <v/>
      </c>
      <c r="O52" s="58" t="str">
        <f aca="false">IF(M52&lt;&gt;1,"",COUNTIFS($M$5:$M$304,1,$N$5:$N$304,"&gt;"&amp;N52)+COUNTIFS($M$5:$M$304,1,$N$5:$N$304,N52,$A$5:$A$304,"&lt;"&amp;A52)+1)</f>
        <v/>
      </c>
    </row>
    <row r="53" customFormat="false" ht="15" hidden="false" customHeight="false" outlineLevel="0" collapsed="false">
      <c r="A53" s="55" t="str">
        <f aca="false">IF(B53="","",ROW()-4)</f>
        <v/>
      </c>
      <c r="B53" s="57"/>
      <c r="C53" s="57"/>
      <c r="D53" s="57"/>
      <c r="E53" s="57"/>
      <c r="F53" s="58" t="str">
        <f aca="false">IF(B53="","",IF(COUNTIF(取込チェック!$C$6:$C$505,B53)&gt;0,1,0))</f>
        <v/>
      </c>
      <c r="G53" s="59" t="str">
        <f aca="false">IF(B53="","",SUMIF(取込チェック!$C$6:$C$505,B53,取込チェック!$D$6:$D$505))</f>
        <v/>
      </c>
      <c r="H53" s="59" t="str">
        <f aca="false">IF(B53="","",SUMIF(取込チェック!$C$6:$C$505,B53,取込チェック!$E$6:$E$505))</f>
        <v/>
      </c>
      <c r="I53" s="59" t="str">
        <f aca="false">IF(B53="","",SUMIF(取込チェック!$C$6:$C$505,B53,取込チェック!$F$6:$F$505))</f>
        <v/>
      </c>
      <c r="J53" s="60" t="str">
        <f aca="false">IF(F53&lt;&gt;1,"",IF(H53=0,-1,G53/H53))</f>
        <v/>
      </c>
      <c r="K53" s="58" t="str">
        <f aca="false">IF(F53&lt;&gt;1,"",COUNTIFS($E$5:$E$304,E53,$F$5:$F$304,1,$J$5:$J$304,"&gt;"&amp;J53)+COUNTIFS($E$5:$E$304,E53,$F$5:$F$304,1,$J$5:$J$304,J53,$A$5:$A$304,"&lt;"&amp;A53)+1)</f>
        <v/>
      </c>
      <c r="L53" s="58" t="str">
        <f aca="false">IF(K53="","",E53&amp;"|"&amp;K53)</f>
        <v/>
      </c>
      <c r="M53" s="58" t="str">
        <f aca="false">IF(F53&lt;&gt;1,"",IF(COUNTIFS($C$5:C53,C53,$F$5:F53,1)=1,1,0))</f>
        <v/>
      </c>
      <c r="N53" s="59" t="str">
        <f aca="false">IF(M53&lt;&gt;1,"",SUMIF($C$5:$C$304,C53,$G$5:$G$304))</f>
        <v/>
      </c>
      <c r="O53" s="58" t="str">
        <f aca="false">IF(M53&lt;&gt;1,"",COUNTIFS($M$5:$M$304,1,$N$5:$N$304,"&gt;"&amp;N53)+COUNTIFS($M$5:$M$304,1,$N$5:$N$304,N53,$A$5:$A$304,"&lt;"&amp;A53)+1)</f>
        <v/>
      </c>
    </row>
    <row r="54" customFormat="false" ht="15" hidden="false" customHeight="false" outlineLevel="0" collapsed="false">
      <c r="A54" s="55" t="str">
        <f aca="false">IF(B54="","",ROW()-4)</f>
        <v/>
      </c>
      <c r="B54" s="57"/>
      <c r="C54" s="57"/>
      <c r="D54" s="57"/>
      <c r="E54" s="57"/>
      <c r="F54" s="58" t="str">
        <f aca="false">IF(B54="","",IF(COUNTIF(取込チェック!$C$6:$C$505,B54)&gt;0,1,0))</f>
        <v/>
      </c>
      <c r="G54" s="59" t="str">
        <f aca="false">IF(B54="","",SUMIF(取込チェック!$C$6:$C$505,B54,取込チェック!$D$6:$D$505))</f>
        <v/>
      </c>
      <c r="H54" s="59" t="str">
        <f aca="false">IF(B54="","",SUMIF(取込チェック!$C$6:$C$505,B54,取込チェック!$E$6:$E$505))</f>
        <v/>
      </c>
      <c r="I54" s="59" t="str">
        <f aca="false">IF(B54="","",SUMIF(取込チェック!$C$6:$C$505,B54,取込チェック!$F$6:$F$505))</f>
        <v/>
      </c>
      <c r="J54" s="60" t="str">
        <f aca="false">IF(F54&lt;&gt;1,"",IF(H54=0,-1,G54/H54))</f>
        <v/>
      </c>
      <c r="K54" s="58" t="str">
        <f aca="false">IF(F54&lt;&gt;1,"",COUNTIFS($E$5:$E$304,E54,$F$5:$F$304,1,$J$5:$J$304,"&gt;"&amp;J54)+COUNTIFS($E$5:$E$304,E54,$F$5:$F$304,1,$J$5:$J$304,J54,$A$5:$A$304,"&lt;"&amp;A54)+1)</f>
        <v/>
      </c>
      <c r="L54" s="58" t="str">
        <f aca="false">IF(K54="","",E54&amp;"|"&amp;K54)</f>
        <v/>
      </c>
      <c r="M54" s="58" t="str">
        <f aca="false">IF(F54&lt;&gt;1,"",IF(COUNTIFS($C$5:C54,C54,$F$5:F54,1)=1,1,0))</f>
        <v/>
      </c>
      <c r="N54" s="59" t="str">
        <f aca="false">IF(M54&lt;&gt;1,"",SUMIF($C$5:$C$304,C54,$G$5:$G$304))</f>
        <v/>
      </c>
      <c r="O54" s="58" t="str">
        <f aca="false">IF(M54&lt;&gt;1,"",COUNTIFS($M$5:$M$304,1,$N$5:$N$304,"&gt;"&amp;N54)+COUNTIFS($M$5:$M$304,1,$N$5:$N$304,N54,$A$5:$A$304,"&lt;"&amp;A54)+1)</f>
        <v/>
      </c>
    </row>
    <row r="55" customFormat="false" ht="15" hidden="false" customHeight="false" outlineLevel="0" collapsed="false">
      <c r="A55" s="55" t="str">
        <f aca="false">IF(B55="","",ROW()-4)</f>
        <v/>
      </c>
      <c r="B55" s="57"/>
      <c r="C55" s="57"/>
      <c r="D55" s="57"/>
      <c r="E55" s="57"/>
      <c r="F55" s="58" t="str">
        <f aca="false">IF(B55="","",IF(COUNTIF(取込チェック!$C$6:$C$505,B55)&gt;0,1,0))</f>
        <v/>
      </c>
      <c r="G55" s="59" t="str">
        <f aca="false">IF(B55="","",SUMIF(取込チェック!$C$6:$C$505,B55,取込チェック!$D$6:$D$505))</f>
        <v/>
      </c>
      <c r="H55" s="59" t="str">
        <f aca="false">IF(B55="","",SUMIF(取込チェック!$C$6:$C$505,B55,取込チェック!$E$6:$E$505))</f>
        <v/>
      </c>
      <c r="I55" s="59" t="str">
        <f aca="false">IF(B55="","",SUMIF(取込チェック!$C$6:$C$505,B55,取込チェック!$F$6:$F$505))</f>
        <v/>
      </c>
      <c r="J55" s="60" t="str">
        <f aca="false">IF(F55&lt;&gt;1,"",IF(H55=0,-1,G55/H55))</f>
        <v/>
      </c>
      <c r="K55" s="58" t="str">
        <f aca="false">IF(F55&lt;&gt;1,"",COUNTIFS($E$5:$E$304,E55,$F$5:$F$304,1,$J$5:$J$304,"&gt;"&amp;J55)+COUNTIFS($E$5:$E$304,E55,$F$5:$F$304,1,$J$5:$J$304,J55,$A$5:$A$304,"&lt;"&amp;A55)+1)</f>
        <v/>
      </c>
      <c r="L55" s="58" t="str">
        <f aca="false">IF(K55="","",E55&amp;"|"&amp;K55)</f>
        <v/>
      </c>
      <c r="M55" s="58" t="str">
        <f aca="false">IF(F55&lt;&gt;1,"",IF(COUNTIFS($C$5:C55,C55,$F$5:F55,1)=1,1,0))</f>
        <v/>
      </c>
      <c r="N55" s="59" t="str">
        <f aca="false">IF(M55&lt;&gt;1,"",SUMIF($C$5:$C$304,C55,$G$5:$G$304))</f>
        <v/>
      </c>
      <c r="O55" s="58" t="str">
        <f aca="false">IF(M55&lt;&gt;1,"",COUNTIFS($M$5:$M$304,1,$N$5:$N$304,"&gt;"&amp;N55)+COUNTIFS($M$5:$M$304,1,$N$5:$N$304,N55,$A$5:$A$304,"&lt;"&amp;A55)+1)</f>
        <v/>
      </c>
    </row>
    <row r="56" customFormat="false" ht="15" hidden="false" customHeight="false" outlineLevel="0" collapsed="false">
      <c r="A56" s="55" t="str">
        <f aca="false">IF(B56="","",ROW()-4)</f>
        <v/>
      </c>
      <c r="B56" s="57"/>
      <c r="C56" s="57"/>
      <c r="D56" s="57"/>
      <c r="E56" s="57"/>
      <c r="F56" s="58" t="str">
        <f aca="false">IF(B56="","",IF(COUNTIF(取込チェック!$C$6:$C$505,B56)&gt;0,1,0))</f>
        <v/>
      </c>
      <c r="G56" s="59" t="str">
        <f aca="false">IF(B56="","",SUMIF(取込チェック!$C$6:$C$505,B56,取込チェック!$D$6:$D$505))</f>
        <v/>
      </c>
      <c r="H56" s="59" t="str">
        <f aca="false">IF(B56="","",SUMIF(取込チェック!$C$6:$C$505,B56,取込チェック!$E$6:$E$505))</f>
        <v/>
      </c>
      <c r="I56" s="59" t="str">
        <f aca="false">IF(B56="","",SUMIF(取込チェック!$C$6:$C$505,B56,取込チェック!$F$6:$F$505))</f>
        <v/>
      </c>
      <c r="J56" s="60" t="str">
        <f aca="false">IF(F56&lt;&gt;1,"",IF(H56=0,-1,G56/H56))</f>
        <v/>
      </c>
      <c r="K56" s="58" t="str">
        <f aca="false">IF(F56&lt;&gt;1,"",COUNTIFS($E$5:$E$304,E56,$F$5:$F$304,1,$J$5:$J$304,"&gt;"&amp;J56)+COUNTIFS($E$5:$E$304,E56,$F$5:$F$304,1,$J$5:$J$304,J56,$A$5:$A$304,"&lt;"&amp;A56)+1)</f>
        <v/>
      </c>
      <c r="L56" s="58" t="str">
        <f aca="false">IF(K56="","",E56&amp;"|"&amp;K56)</f>
        <v/>
      </c>
      <c r="M56" s="58" t="str">
        <f aca="false">IF(F56&lt;&gt;1,"",IF(COUNTIFS($C$5:C56,C56,$F$5:F56,1)=1,1,0))</f>
        <v/>
      </c>
      <c r="N56" s="59" t="str">
        <f aca="false">IF(M56&lt;&gt;1,"",SUMIF($C$5:$C$304,C56,$G$5:$G$304))</f>
        <v/>
      </c>
      <c r="O56" s="58" t="str">
        <f aca="false">IF(M56&lt;&gt;1,"",COUNTIFS($M$5:$M$304,1,$N$5:$N$304,"&gt;"&amp;N56)+COUNTIFS($M$5:$M$304,1,$N$5:$N$304,N56,$A$5:$A$304,"&lt;"&amp;A56)+1)</f>
        <v/>
      </c>
    </row>
    <row r="57" customFormat="false" ht="15" hidden="false" customHeight="false" outlineLevel="0" collapsed="false">
      <c r="A57" s="55" t="str">
        <f aca="false">IF(B57="","",ROW()-4)</f>
        <v/>
      </c>
      <c r="B57" s="57"/>
      <c r="C57" s="57"/>
      <c r="D57" s="57"/>
      <c r="E57" s="57"/>
      <c r="F57" s="58" t="str">
        <f aca="false">IF(B57="","",IF(COUNTIF(取込チェック!$C$6:$C$505,B57)&gt;0,1,0))</f>
        <v/>
      </c>
      <c r="G57" s="59" t="str">
        <f aca="false">IF(B57="","",SUMIF(取込チェック!$C$6:$C$505,B57,取込チェック!$D$6:$D$505))</f>
        <v/>
      </c>
      <c r="H57" s="59" t="str">
        <f aca="false">IF(B57="","",SUMIF(取込チェック!$C$6:$C$505,B57,取込チェック!$E$6:$E$505))</f>
        <v/>
      </c>
      <c r="I57" s="59" t="str">
        <f aca="false">IF(B57="","",SUMIF(取込チェック!$C$6:$C$505,B57,取込チェック!$F$6:$F$505))</f>
        <v/>
      </c>
      <c r="J57" s="60" t="str">
        <f aca="false">IF(F57&lt;&gt;1,"",IF(H57=0,-1,G57/H57))</f>
        <v/>
      </c>
      <c r="K57" s="58" t="str">
        <f aca="false">IF(F57&lt;&gt;1,"",COUNTIFS($E$5:$E$304,E57,$F$5:$F$304,1,$J$5:$J$304,"&gt;"&amp;J57)+COUNTIFS($E$5:$E$304,E57,$F$5:$F$304,1,$J$5:$J$304,J57,$A$5:$A$304,"&lt;"&amp;A57)+1)</f>
        <v/>
      </c>
      <c r="L57" s="58" t="str">
        <f aca="false">IF(K57="","",E57&amp;"|"&amp;K57)</f>
        <v/>
      </c>
      <c r="M57" s="58" t="str">
        <f aca="false">IF(F57&lt;&gt;1,"",IF(COUNTIFS($C$5:C57,C57,$F$5:F57,1)=1,1,0))</f>
        <v/>
      </c>
      <c r="N57" s="59" t="str">
        <f aca="false">IF(M57&lt;&gt;1,"",SUMIF($C$5:$C$304,C57,$G$5:$G$304))</f>
        <v/>
      </c>
      <c r="O57" s="58" t="str">
        <f aca="false">IF(M57&lt;&gt;1,"",COUNTIFS($M$5:$M$304,1,$N$5:$N$304,"&gt;"&amp;N57)+COUNTIFS($M$5:$M$304,1,$N$5:$N$304,N57,$A$5:$A$304,"&lt;"&amp;A57)+1)</f>
        <v/>
      </c>
    </row>
    <row r="58" customFormat="false" ht="15" hidden="false" customHeight="false" outlineLevel="0" collapsed="false">
      <c r="A58" s="55" t="str">
        <f aca="false">IF(B58="","",ROW()-4)</f>
        <v/>
      </c>
      <c r="B58" s="57"/>
      <c r="C58" s="57"/>
      <c r="D58" s="57"/>
      <c r="E58" s="57"/>
      <c r="F58" s="58" t="str">
        <f aca="false">IF(B58="","",IF(COUNTIF(取込チェック!$C$6:$C$505,B58)&gt;0,1,0))</f>
        <v/>
      </c>
      <c r="G58" s="59" t="str">
        <f aca="false">IF(B58="","",SUMIF(取込チェック!$C$6:$C$505,B58,取込チェック!$D$6:$D$505))</f>
        <v/>
      </c>
      <c r="H58" s="59" t="str">
        <f aca="false">IF(B58="","",SUMIF(取込チェック!$C$6:$C$505,B58,取込チェック!$E$6:$E$505))</f>
        <v/>
      </c>
      <c r="I58" s="59" t="str">
        <f aca="false">IF(B58="","",SUMIF(取込チェック!$C$6:$C$505,B58,取込チェック!$F$6:$F$505))</f>
        <v/>
      </c>
      <c r="J58" s="60" t="str">
        <f aca="false">IF(F58&lt;&gt;1,"",IF(H58=0,-1,G58/H58))</f>
        <v/>
      </c>
      <c r="K58" s="58" t="str">
        <f aca="false">IF(F58&lt;&gt;1,"",COUNTIFS($E$5:$E$304,E58,$F$5:$F$304,1,$J$5:$J$304,"&gt;"&amp;J58)+COUNTIFS($E$5:$E$304,E58,$F$5:$F$304,1,$J$5:$J$304,J58,$A$5:$A$304,"&lt;"&amp;A58)+1)</f>
        <v/>
      </c>
      <c r="L58" s="58" t="str">
        <f aca="false">IF(K58="","",E58&amp;"|"&amp;K58)</f>
        <v/>
      </c>
      <c r="M58" s="58" t="str">
        <f aca="false">IF(F58&lt;&gt;1,"",IF(COUNTIFS($C$5:C58,C58,$F$5:F58,1)=1,1,0))</f>
        <v/>
      </c>
      <c r="N58" s="59" t="str">
        <f aca="false">IF(M58&lt;&gt;1,"",SUMIF($C$5:$C$304,C58,$G$5:$G$304))</f>
        <v/>
      </c>
      <c r="O58" s="58" t="str">
        <f aca="false">IF(M58&lt;&gt;1,"",COUNTIFS($M$5:$M$304,1,$N$5:$N$304,"&gt;"&amp;N58)+COUNTIFS($M$5:$M$304,1,$N$5:$N$304,N58,$A$5:$A$304,"&lt;"&amp;A58)+1)</f>
        <v/>
      </c>
    </row>
    <row r="59" customFormat="false" ht="15" hidden="false" customHeight="false" outlineLevel="0" collapsed="false">
      <c r="A59" s="55" t="str">
        <f aca="false">IF(B59="","",ROW()-4)</f>
        <v/>
      </c>
      <c r="B59" s="57"/>
      <c r="C59" s="57"/>
      <c r="D59" s="57"/>
      <c r="E59" s="57"/>
      <c r="F59" s="58" t="str">
        <f aca="false">IF(B59="","",IF(COUNTIF(取込チェック!$C$6:$C$505,B59)&gt;0,1,0))</f>
        <v/>
      </c>
      <c r="G59" s="59" t="str">
        <f aca="false">IF(B59="","",SUMIF(取込チェック!$C$6:$C$505,B59,取込チェック!$D$6:$D$505))</f>
        <v/>
      </c>
      <c r="H59" s="59" t="str">
        <f aca="false">IF(B59="","",SUMIF(取込チェック!$C$6:$C$505,B59,取込チェック!$E$6:$E$505))</f>
        <v/>
      </c>
      <c r="I59" s="59" t="str">
        <f aca="false">IF(B59="","",SUMIF(取込チェック!$C$6:$C$505,B59,取込チェック!$F$6:$F$505))</f>
        <v/>
      </c>
      <c r="J59" s="60" t="str">
        <f aca="false">IF(F59&lt;&gt;1,"",IF(H59=0,-1,G59/H59))</f>
        <v/>
      </c>
      <c r="K59" s="58" t="str">
        <f aca="false">IF(F59&lt;&gt;1,"",COUNTIFS($E$5:$E$304,E59,$F$5:$F$304,1,$J$5:$J$304,"&gt;"&amp;J59)+COUNTIFS($E$5:$E$304,E59,$F$5:$F$304,1,$J$5:$J$304,J59,$A$5:$A$304,"&lt;"&amp;A59)+1)</f>
        <v/>
      </c>
      <c r="L59" s="58" t="str">
        <f aca="false">IF(K59="","",E59&amp;"|"&amp;K59)</f>
        <v/>
      </c>
      <c r="M59" s="58" t="str">
        <f aca="false">IF(F59&lt;&gt;1,"",IF(COUNTIFS($C$5:C59,C59,$F$5:F59,1)=1,1,0))</f>
        <v/>
      </c>
      <c r="N59" s="59" t="str">
        <f aca="false">IF(M59&lt;&gt;1,"",SUMIF($C$5:$C$304,C59,$G$5:$G$304))</f>
        <v/>
      </c>
      <c r="O59" s="58" t="str">
        <f aca="false">IF(M59&lt;&gt;1,"",COUNTIFS($M$5:$M$304,1,$N$5:$N$304,"&gt;"&amp;N59)+COUNTIFS($M$5:$M$304,1,$N$5:$N$304,N59,$A$5:$A$304,"&lt;"&amp;A59)+1)</f>
        <v/>
      </c>
    </row>
    <row r="60" customFormat="false" ht="15" hidden="false" customHeight="false" outlineLevel="0" collapsed="false">
      <c r="A60" s="55" t="str">
        <f aca="false">IF(B60="","",ROW()-4)</f>
        <v/>
      </c>
      <c r="B60" s="57"/>
      <c r="C60" s="57"/>
      <c r="D60" s="57"/>
      <c r="E60" s="57"/>
      <c r="F60" s="58" t="str">
        <f aca="false">IF(B60="","",IF(COUNTIF(取込チェック!$C$6:$C$505,B60)&gt;0,1,0))</f>
        <v/>
      </c>
      <c r="G60" s="59" t="str">
        <f aca="false">IF(B60="","",SUMIF(取込チェック!$C$6:$C$505,B60,取込チェック!$D$6:$D$505))</f>
        <v/>
      </c>
      <c r="H60" s="59" t="str">
        <f aca="false">IF(B60="","",SUMIF(取込チェック!$C$6:$C$505,B60,取込チェック!$E$6:$E$505))</f>
        <v/>
      </c>
      <c r="I60" s="59" t="str">
        <f aca="false">IF(B60="","",SUMIF(取込チェック!$C$6:$C$505,B60,取込チェック!$F$6:$F$505))</f>
        <v/>
      </c>
      <c r="J60" s="60" t="str">
        <f aca="false">IF(F60&lt;&gt;1,"",IF(H60=0,-1,G60/H60))</f>
        <v/>
      </c>
      <c r="K60" s="58" t="str">
        <f aca="false">IF(F60&lt;&gt;1,"",COUNTIFS($E$5:$E$304,E60,$F$5:$F$304,1,$J$5:$J$304,"&gt;"&amp;J60)+COUNTIFS($E$5:$E$304,E60,$F$5:$F$304,1,$J$5:$J$304,J60,$A$5:$A$304,"&lt;"&amp;A60)+1)</f>
        <v/>
      </c>
      <c r="L60" s="58" t="str">
        <f aca="false">IF(K60="","",E60&amp;"|"&amp;K60)</f>
        <v/>
      </c>
      <c r="M60" s="58" t="str">
        <f aca="false">IF(F60&lt;&gt;1,"",IF(COUNTIFS($C$5:C60,C60,$F$5:F60,1)=1,1,0))</f>
        <v/>
      </c>
      <c r="N60" s="59" t="str">
        <f aca="false">IF(M60&lt;&gt;1,"",SUMIF($C$5:$C$304,C60,$G$5:$G$304))</f>
        <v/>
      </c>
      <c r="O60" s="58" t="str">
        <f aca="false">IF(M60&lt;&gt;1,"",COUNTIFS($M$5:$M$304,1,$N$5:$N$304,"&gt;"&amp;N60)+COUNTIFS($M$5:$M$304,1,$N$5:$N$304,N60,$A$5:$A$304,"&lt;"&amp;A60)+1)</f>
        <v/>
      </c>
    </row>
    <row r="61" customFormat="false" ht="15" hidden="false" customHeight="false" outlineLevel="0" collapsed="false">
      <c r="A61" s="55" t="str">
        <f aca="false">IF(B61="","",ROW()-4)</f>
        <v/>
      </c>
      <c r="B61" s="57"/>
      <c r="C61" s="57"/>
      <c r="D61" s="57"/>
      <c r="E61" s="57"/>
      <c r="F61" s="58" t="str">
        <f aca="false">IF(B61="","",IF(COUNTIF(取込チェック!$C$6:$C$505,B61)&gt;0,1,0))</f>
        <v/>
      </c>
      <c r="G61" s="59" t="str">
        <f aca="false">IF(B61="","",SUMIF(取込チェック!$C$6:$C$505,B61,取込チェック!$D$6:$D$505))</f>
        <v/>
      </c>
      <c r="H61" s="59" t="str">
        <f aca="false">IF(B61="","",SUMIF(取込チェック!$C$6:$C$505,B61,取込チェック!$E$6:$E$505))</f>
        <v/>
      </c>
      <c r="I61" s="59" t="str">
        <f aca="false">IF(B61="","",SUMIF(取込チェック!$C$6:$C$505,B61,取込チェック!$F$6:$F$505))</f>
        <v/>
      </c>
      <c r="J61" s="60" t="str">
        <f aca="false">IF(F61&lt;&gt;1,"",IF(H61=0,-1,G61/H61))</f>
        <v/>
      </c>
      <c r="K61" s="58" t="str">
        <f aca="false">IF(F61&lt;&gt;1,"",COUNTIFS($E$5:$E$304,E61,$F$5:$F$304,1,$J$5:$J$304,"&gt;"&amp;J61)+COUNTIFS($E$5:$E$304,E61,$F$5:$F$304,1,$J$5:$J$304,J61,$A$5:$A$304,"&lt;"&amp;A61)+1)</f>
        <v/>
      </c>
      <c r="L61" s="58" t="str">
        <f aca="false">IF(K61="","",E61&amp;"|"&amp;K61)</f>
        <v/>
      </c>
      <c r="M61" s="58" t="str">
        <f aca="false">IF(F61&lt;&gt;1,"",IF(COUNTIFS($C$5:C61,C61,$F$5:F61,1)=1,1,0))</f>
        <v/>
      </c>
      <c r="N61" s="59" t="str">
        <f aca="false">IF(M61&lt;&gt;1,"",SUMIF($C$5:$C$304,C61,$G$5:$G$304))</f>
        <v/>
      </c>
      <c r="O61" s="58" t="str">
        <f aca="false">IF(M61&lt;&gt;1,"",COUNTIFS($M$5:$M$304,1,$N$5:$N$304,"&gt;"&amp;N61)+COUNTIFS($M$5:$M$304,1,$N$5:$N$304,N61,$A$5:$A$304,"&lt;"&amp;A61)+1)</f>
        <v/>
      </c>
    </row>
    <row r="62" customFormat="false" ht="15" hidden="false" customHeight="false" outlineLevel="0" collapsed="false">
      <c r="A62" s="55" t="str">
        <f aca="false">IF(B62="","",ROW()-4)</f>
        <v/>
      </c>
      <c r="B62" s="57"/>
      <c r="C62" s="57"/>
      <c r="D62" s="57"/>
      <c r="E62" s="57"/>
      <c r="F62" s="58" t="str">
        <f aca="false">IF(B62="","",IF(COUNTIF(取込チェック!$C$6:$C$505,B62)&gt;0,1,0))</f>
        <v/>
      </c>
      <c r="G62" s="59" t="str">
        <f aca="false">IF(B62="","",SUMIF(取込チェック!$C$6:$C$505,B62,取込チェック!$D$6:$D$505))</f>
        <v/>
      </c>
      <c r="H62" s="59" t="str">
        <f aca="false">IF(B62="","",SUMIF(取込チェック!$C$6:$C$505,B62,取込チェック!$E$6:$E$505))</f>
        <v/>
      </c>
      <c r="I62" s="59" t="str">
        <f aca="false">IF(B62="","",SUMIF(取込チェック!$C$6:$C$505,B62,取込チェック!$F$6:$F$505))</f>
        <v/>
      </c>
      <c r="J62" s="60" t="str">
        <f aca="false">IF(F62&lt;&gt;1,"",IF(H62=0,-1,G62/H62))</f>
        <v/>
      </c>
      <c r="K62" s="58" t="str">
        <f aca="false">IF(F62&lt;&gt;1,"",COUNTIFS($E$5:$E$304,E62,$F$5:$F$304,1,$J$5:$J$304,"&gt;"&amp;J62)+COUNTIFS($E$5:$E$304,E62,$F$5:$F$304,1,$J$5:$J$304,J62,$A$5:$A$304,"&lt;"&amp;A62)+1)</f>
        <v/>
      </c>
      <c r="L62" s="58" t="str">
        <f aca="false">IF(K62="","",E62&amp;"|"&amp;K62)</f>
        <v/>
      </c>
      <c r="M62" s="58" t="str">
        <f aca="false">IF(F62&lt;&gt;1,"",IF(COUNTIFS($C$5:C62,C62,$F$5:F62,1)=1,1,0))</f>
        <v/>
      </c>
      <c r="N62" s="59" t="str">
        <f aca="false">IF(M62&lt;&gt;1,"",SUMIF($C$5:$C$304,C62,$G$5:$G$304))</f>
        <v/>
      </c>
      <c r="O62" s="58" t="str">
        <f aca="false">IF(M62&lt;&gt;1,"",COUNTIFS($M$5:$M$304,1,$N$5:$N$304,"&gt;"&amp;N62)+COUNTIFS($M$5:$M$304,1,$N$5:$N$304,N62,$A$5:$A$304,"&lt;"&amp;A62)+1)</f>
        <v/>
      </c>
    </row>
    <row r="63" customFormat="false" ht="15" hidden="false" customHeight="false" outlineLevel="0" collapsed="false">
      <c r="A63" s="55" t="str">
        <f aca="false">IF(B63="","",ROW()-4)</f>
        <v/>
      </c>
      <c r="B63" s="57"/>
      <c r="C63" s="57"/>
      <c r="D63" s="57"/>
      <c r="E63" s="57"/>
      <c r="F63" s="58" t="str">
        <f aca="false">IF(B63="","",IF(COUNTIF(取込チェック!$C$6:$C$505,B63)&gt;0,1,0))</f>
        <v/>
      </c>
      <c r="G63" s="59" t="str">
        <f aca="false">IF(B63="","",SUMIF(取込チェック!$C$6:$C$505,B63,取込チェック!$D$6:$D$505))</f>
        <v/>
      </c>
      <c r="H63" s="59" t="str">
        <f aca="false">IF(B63="","",SUMIF(取込チェック!$C$6:$C$505,B63,取込チェック!$E$6:$E$505))</f>
        <v/>
      </c>
      <c r="I63" s="59" t="str">
        <f aca="false">IF(B63="","",SUMIF(取込チェック!$C$6:$C$505,B63,取込チェック!$F$6:$F$505))</f>
        <v/>
      </c>
      <c r="J63" s="60" t="str">
        <f aca="false">IF(F63&lt;&gt;1,"",IF(H63=0,-1,G63/H63))</f>
        <v/>
      </c>
      <c r="K63" s="58" t="str">
        <f aca="false">IF(F63&lt;&gt;1,"",COUNTIFS($E$5:$E$304,E63,$F$5:$F$304,1,$J$5:$J$304,"&gt;"&amp;J63)+COUNTIFS($E$5:$E$304,E63,$F$5:$F$304,1,$J$5:$J$304,J63,$A$5:$A$304,"&lt;"&amp;A63)+1)</f>
        <v/>
      </c>
      <c r="L63" s="58" t="str">
        <f aca="false">IF(K63="","",E63&amp;"|"&amp;K63)</f>
        <v/>
      </c>
      <c r="M63" s="58" t="str">
        <f aca="false">IF(F63&lt;&gt;1,"",IF(COUNTIFS($C$5:C63,C63,$F$5:F63,1)=1,1,0))</f>
        <v/>
      </c>
      <c r="N63" s="59" t="str">
        <f aca="false">IF(M63&lt;&gt;1,"",SUMIF($C$5:$C$304,C63,$G$5:$G$304))</f>
        <v/>
      </c>
      <c r="O63" s="58" t="str">
        <f aca="false">IF(M63&lt;&gt;1,"",COUNTIFS($M$5:$M$304,1,$N$5:$N$304,"&gt;"&amp;N63)+COUNTIFS($M$5:$M$304,1,$N$5:$N$304,N63,$A$5:$A$304,"&lt;"&amp;A63)+1)</f>
        <v/>
      </c>
    </row>
    <row r="64" customFormat="false" ht="15" hidden="false" customHeight="false" outlineLevel="0" collapsed="false">
      <c r="A64" s="55" t="str">
        <f aca="false">IF(B64="","",ROW()-4)</f>
        <v/>
      </c>
      <c r="B64" s="57"/>
      <c r="C64" s="57"/>
      <c r="D64" s="57"/>
      <c r="E64" s="57"/>
      <c r="F64" s="58" t="str">
        <f aca="false">IF(B64="","",IF(COUNTIF(取込チェック!$C$6:$C$505,B64)&gt;0,1,0))</f>
        <v/>
      </c>
      <c r="G64" s="59" t="str">
        <f aca="false">IF(B64="","",SUMIF(取込チェック!$C$6:$C$505,B64,取込チェック!$D$6:$D$505))</f>
        <v/>
      </c>
      <c r="H64" s="59" t="str">
        <f aca="false">IF(B64="","",SUMIF(取込チェック!$C$6:$C$505,B64,取込チェック!$E$6:$E$505))</f>
        <v/>
      </c>
      <c r="I64" s="59" t="str">
        <f aca="false">IF(B64="","",SUMIF(取込チェック!$C$6:$C$505,B64,取込チェック!$F$6:$F$505))</f>
        <v/>
      </c>
      <c r="J64" s="60" t="str">
        <f aca="false">IF(F64&lt;&gt;1,"",IF(H64=0,-1,G64/H64))</f>
        <v/>
      </c>
      <c r="K64" s="58" t="str">
        <f aca="false">IF(F64&lt;&gt;1,"",COUNTIFS($E$5:$E$304,E64,$F$5:$F$304,1,$J$5:$J$304,"&gt;"&amp;J64)+COUNTIFS($E$5:$E$304,E64,$F$5:$F$304,1,$J$5:$J$304,J64,$A$5:$A$304,"&lt;"&amp;A64)+1)</f>
        <v/>
      </c>
      <c r="L64" s="58" t="str">
        <f aca="false">IF(K64="","",E64&amp;"|"&amp;K64)</f>
        <v/>
      </c>
      <c r="M64" s="58" t="str">
        <f aca="false">IF(F64&lt;&gt;1,"",IF(COUNTIFS($C$5:C64,C64,$F$5:F64,1)=1,1,0))</f>
        <v/>
      </c>
      <c r="N64" s="59" t="str">
        <f aca="false">IF(M64&lt;&gt;1,"",SUMIF($C$5:$C$304,C64,$G$5:$G$304))</f>
        <v/>
      </c>
      <c r="O64" s="58" t="str">
        <f aca="false">IF(M64&lt;&gt;1,"",COUNTIFS($M$5:$M$304,1,$N$5:$N$304,"&gt;"&amp;N64)+COUNTIFS($M$5:$M$304,1,$N$5:$N$304,N64,$A$5:$A$304,"&lt;"&amp;A64)+1)</f>
        <v/>
      </c>
    </row>
    <row r="65" customFormat="false" ht="15" hidden="false" customHeight="false" outlineLevel="0" collapsed="false">
      <c r="A65" s="55" t="str">
        <f aca="false">IF(B65="","",ROW()-4)</f>
        <v/>
      </c>
      <c r="B65" s="57"/>
      <c r="C65" s="57"/>
      <c r="D65" s="57"/>
      <c r="E65" s="57"/>
      <c r="F65" s="58" t="str">
        <f aca="false">IF(B65="","",IF(COUNTIF(取込チェック!$C$6:$C$505,B65)&gt;0,1,0))</f>
        <v/>
      </c>
      <c r="G65" s="59" t="str">
        <f aca="false">IF(B65="","",SUMIF(取込チェック!$C$6:$C$505,B65,取込チェック!$D$6:$D$505))</f>
        <v/>
      </c>
      <c r="H65" s="59" t="str">
        <f aca="false">IF(B65="","",SUMIF(取込チェック!$C$6:$C$505,B65,取込チェック!$E$6:$E$505))</f>
        <v/>
      </c>
      <c r="I65" s="59" t="str">
        <f aca="false">IF(B65="","",SUMIF(取込チェック!$C$6:$C$505,B65,取込チェック!$F$6:$F$505))</f>
        <v/>
      </c>
      <c r="J65" s="60" t="str">
        <f aca="false">IF(F65&lt;&gt;1,"",IF(H65=0,-1,G65/H65))</f>
        <v/>
      </c>
      <c r="K65" s="58" t="str">
        <f aca="false">IF(F65&lt;&gt;1,"",COUNTIFS($E$5:$E$304,E65,$F$5:$F$304,1,$J$5:$J$304,"&gt;"&amp;J65)+COUNTIFS($E$5:$E$304,E65,$F$5:$F$304,1,$J$5:$J$304,J65,$A$5:$A$304,"&lt;"&amp;A65)+1)</f>
        <v/>
      </c>
      <c r="L65" s="58" t="str">
        <f aca="false">IF(K65="","",E65&amp;"|"&amp;K65)</f>
        <v/>
      </c>
      <c r="M65" s="58" t="str">
        <f aca="false">IF(F65&lt;&gt;1,"",IF(COUNTIFS($C$5:C65,C65,$F$5:F65,1)=1,1,0))</f>
        <v/>
      </c>
      <c r="N65" s="59" t="str">
        <f aca="false">IF(M65&lt;&gt;1,"",SUMIF($C$5:$C$304,C65,$G$5:$G$304))</f>
        <v/>
      </c>
      <c r="O65" s="58" t="str">
        <f aca="false">IF(M65&lt;&gt;1,"",COUNTIFS($M$5:$M$304,1,$N$5:$N$304,"&gt;"&amp;N65)+COUNTIFS($M$5:$M$304,1,$N$5:$N$304,N65,$A$5:$A$304,"&lt;"&amp;A65)+1)</f>
        <v/>
      </c>
    </row>
    <row r="66" customFormat="false" ht="15" hidden="false" customHeight="false" outlineLevel="0" collapsed="false">
      <c r="A66" s="55" t="str">
        <f aca="false">IF(B66="","",ROW()-4)</f>
        <v/>
      </c>
      <c r="B66" s="57"/>
      <c r="C66" s="57"/>
      <c r="D66" s="57"/>
      <c r="E66" s="57"/>
      <c r="F66" s="58" t="str">
        <f aca="false">IF(B66="","",IF(COUNTIF(取込チェック!$C$6:$C$505,B66)&gt;0,1,0))</f>
        <v/>
      </c>
      <c r="G66" s="59" t="str">
        <f aca="false">IF(B66="","",SUMIF(取込チェック!$C$6:$C$505,B66,取込チェック!$D$6:$D$505))</f>
        <v/>
      </c>
      <c r="H66" s="59" t="str">
        <f aca="false">IF(B66="","",SUMIF(取込チェック!$C$6:$C$505,B66,取込チェック!$E$6:$E$505))</f>
        <v/>
      </c>
      <c r="I66" s="59" t="str">
        <f aca="false">IF(B66="","",SUMIF(取込チェック!$C$6:$C$505,B66,取込チェック!$F$6:$F$505))</f>
        <v/>
      </c>
      <c r="J66" s="60" t="str">
        <f aca="false">IF(F66&lt;&gt;1,"",IF(H66=0,-1,G66/H66))</f>
        <v/>
      </c>
      <c r="K66" s="58" t="str">
        <f aca="false">IF(F66&lt;&gt;1,"",COUNTIFS($E$5:$E$304,E66,$F$5:$F$304,1,$J$5:$J$304,"&gt;"&amp;J66)+COUNTIFS($E$5:$E$304,E66,$F$5:$F$304,1,$J$5:$J$304,J66,$A$5:$A$304,"&lt;"&amp;A66)+1)</f>
        <v/>
      </c>
      <c r="L66" s="58" t="str">
        <f aca="false">IF(K66="","",E66&amp;"|"&amp;K66)</f>
        <v/>
      </c>
      <c r="M66" s="58" t="str">
        <f aca="false">IF(F66&lt;&gt;1,"",IF(COUNTIFS($C$5:C66,C66,$F$5:F66,1)=1,1,0))</f>
        <v/>
      </c>
      <c r="N66" s="59" t="str">
        <f aca="false">IF(M66&lt;&gt;1,"",SUMIF($C$5:$C$304,C66,$G$5:$G$304))</f>
        <v/>
      </c>
      <c r="O66" s="58" t="str">
        <f aca="false">IF(M66&lt;&gt;1,"",COUNTIFS($M$5:$M$304,1,$N$5:$N$304,"&gt;"&amp;N66)+COUNTIFS($M$5:$M$304,1,$N$5:$N$304,N66,$A$5:$A$304,"&lt;"&amp;A66)+1)</f>
        <v/>
      </c>
    </row>
    <row r="67" customFormat="false" ht="15" hidden="false" customHeight="false" outlineLevel="0" collapsed="false">
      <c r="A67" s="55" t="str">
        <f aca="false">IF(B67="","",ROW()-4)</f>
        <v/>
      </c>
      <c r="B67" s="57"/>
      <c r="C67" s="57"/>
      <c r="D67" s="57"/>
      <c r="E67" s="57"/>
      <c r="F67" s="58" t="str">
        <f aca="false">IF(B67="","",IF(COUNTIF(取込チェック!$C$6:$C$505,B67)&gt;0,1,0))</f>
        <v/>
      </c>
      <c r="G67" s="59" t="str">
        <f aca="false">IF(B67="","",SUMIF(取込チェック!$C$6:$C$505,B67,取込チェック!$D$6:$D$505))</f>
        <v/>
      </c>
      <c r="H67" s="59" t="str">
        <f aca="false">IF(B67="","",SUMIF(取込チェック!$C$6:$C$505,B67,取込チェック!$E$6:$E$505))</f>
        <v/>
      </c>
      <c r="I67" s="59" t="str">
        <f aca="false">IF(B67="","",SUMIF(取込チェック!$C$6:$C$505,B67,取込チェック!$F$6:$F$505))</f>
        <v/>
      </c>
      <c r="J67" s="60" t="str">
        <f aca="false">IF(F67&lt;&gt;1,"",IF(H67=0,-1,G67/H67))</f>
        <v/>
      </c>
      <c r="K67" s="58" t="str">
        <f aca="false">IF(F67&lt;&gt;1,"",COUNTIFS($E$5:$E$304,E67,$F$5:$F$304,1,$J$5:$J$304,"&gt;"&amp;J67)+COUNTIFS($E$5:$E$304,E67,$F$5:$F$304,1,$J$5:$J$304,J67,$A$5:$A$304,"&lt;"&amp;A67)+1)</f>
        <v/>
      </c>
      <c r="L67" s="58" t="str">
        <f aca="false">IF(K67="","",E67&amp;"|"&amp;K67)</f>
        <v/>
      </c>
      <c r="M67" s="58" t="str">
        <f aca="false">IF(F67&lt;&gt;1,"",IF(COUNTIFS($C$5:C67,C67,$F$5:F67,1)=1,1,0))</f>
        <v/>
      </c>
      <c r="N67" s="59" t="str">
        <f aca="false">IF(M67&lt;&gt;1,"",SUMIF($C$5:$C$304,C67,$G$5:$G$304))</f>
        <v/>
      </c>
      <c r="O67" s="58" t="str">
        <f aca="false">IF(M67&lt;&gt;1,"",COUNTIFS($M$5:$M$304,1,$N$5:$N$304,"&gt;"&amp;N67)+COUNTIFS($M$5:$M$304,1,$N$5:$N$304,N67,$A$5:$A$304,"&lt;"&amp;A67)+1)</f>
        <v/>
      </c>
    </row>
    <row r="68" customFormat="false" ht="15" hidden="false" customHeight="false" outlineLevel="0" collapsed="false">
      <c r="A68" s="55" t="str">
        <f aca="false">IF(B68="","",ROW()-4)</f>
        <v/>
      </c>
      <c r="B68" s="57"/>
      <c r="C68" s="57"/>
      <c r="D68" s="57"/>
      <c r="E68" s="57"/>
      <c r="F68" s="58" t="str">
        <f aca="false">IF(B68="","",IF(COUNTIF(取込チェック!$C$6:$C$505,B68)&gt;0,1,0))</f>
        <v/>
      </c>
      <c r="G68" s="59" t="str">
        <f aca="false">IF(B68="","",SUMIF(取込チェック!$C$6:$C$505,B68,取込チェック!$D$6:$D$505))</f>
        <v/>
      </c>
      <c r="H68" s="59" t="str">
        <f aca="false">IF(B68="","",SUMIF(取込チェック!$C$6:$C$505,B68,取込チェック!$E$6:$E$505))</f>
        <v/>
      </c>
      <c r="I68" s="59" t="str">
        <f aca="false">IF(B68="","",SUMIF(取込チェック!$C$6:$C$505,B68,取込チェック!$F$6:$F$505))</f>
        <v/>
      </c>
      <c r="J68" s="60" t="str">
        <f aca="false">IF(F68&lt;&gt;1,"",IF(H68=0,-1,G68/H68))</f>
        <v/>
      </c>
      <c r="K68" s="58" t="str">
        <f aca="false">IF(F68&lt;&gt;1,"",COUNTIFS($E$5:$E$304,E68,$F$5:$F$304,1,$J$5:$J$304,"&gt;"&amp;J68)+COUNTIFS($E$5:$E$304,E68,$F$5:$F$304,1,$J$5:$J$304,J68,$A$5:$A$304,"&lt;"&amp;A68)+1)</f>
        <v/>
      </c>
      <c r="L68" s="58" t="str">
        <f aca="false">IF(K68="","",E68&amp;"|"&amp;K68)</f>
        <v/>
      </c>
      <c r="M68" s="58" t="str">
        <f aca="false">IF(F68&lt;&gt;1,"",IF(COUNTIFS($C$5:C68,C68,$F$5:F68,1)=1,1,0))</f>
        <v/>
      </c>
      <c r="N68" s="59" t="str">
        <f aca="false">IF(M68&lt;&gt;1,"",SUMIF($C$5:$C$304,C68,$G$5:$G$304))</f>
        <v/>
      </c>
      <c r="O68" s="58" t="str">
        <f aca="false">IF(M68&lt;&gt;1,"",COUNTIFS($M$5:$M$304,1,$N$5:$N$304,"&gt;"&amp;N68)+COUNTIFS($M$5:$M$304,1,$N$5:$N$304,N68,$A$5:$A$304,"&lt;"&amp;A68)+1)</f>
        <v/>
      </c>
    </row>
    <row r="69" customFormat="false" ht="15" hidden="false" customHeight="false" outlineLevel="0" collapsed="false">
      <c r="A69" s="55" t="str">
        <f aca="false">IF(B69="","",ROW()-4)</f>
        <v/>
      </c>
      <c r="B69" s="57"/>
      <c r="C69" s="57"/>
      <c r="D69" s="57"/>
      <c r="E69" s="57"/>
      <c r="F69" s="58" t="str">
        <f aca="false">IF(B69="","",IF(COUNTIF(取込チェック!$C$6:$C$505,B69)&gt;0,1,0))</f>
        <v/>
      </c>
      <c r="G69" s="59" t="str">
        <f aca="false">IF(B69="","",SUMIF(取込チェック!$C$6:$C$505,B69,取込チェック!$D$6:$D$505))</f>
        <v/>
      </c>
      <c r="H69" s="59" t="str">
        <f aca="false">IF(B69="","",SUMIF(取込チェック!$C$6:$C$505,B69,取込チェック!$E$6:$E$505))</f>
        <v/>
      </c>
      <c r="I69" s="59" t="str">
        <f aca="false">IF(B69="","",SUMIF(取込チェック!$C$6:$C$505,B69,取込チェック!$F$6:$F$505))</f>
        <v/>
      </c>
      <c r="J69" s="60" t="str">
        <f aca="false">IF(F69&lt;&gt;1,"",IF(H69=0,-1,G69/H69))</f>
        <v/>
      </c>
      <c r="K69" s="58" t="str">
        <f aca="false">IF(F69&lt;&gt;1,"",COUNTIFS($E$5:$E$304,E69,$F$5:$F$304,1,$J$5:$J$304,"&gt;"&amp;J69)+COUNTIFS($E$5:$E$304,E69,$F$5:$F$304,1,$J$5:$J$304,J69,$A$5:$A$304,"&lt;"&amp;A69)+1)</f>
        <v/>
      </c>
      <c r="L69" s="58" t="str">
        <f aca="false">IF(K69="","",E69&amp;"|"&amp;K69)</f>
        <v/>
      </c>
      <c r="M69" s="58" t="str">
        <f aca="false">IF(F69&lt;&gt;1,"",IF(COUNTIFS($C$5:C69,C69,$F$5:F69,1)=1,1,0))</f>
        <v/>
      </c>
      <c r="N69" s="59" t="str">
        <f aca="false">IF(M69&lt;&gt;1,"",SUMIF($C$5:$C$304,C69,$G$5:$G$304))</f>
        <v/>
      </c>
      <c r="O69" s="58" t="str">
        <f aca="false">IF(M69&lt;&gt;1,"",COUNTIFS($M$5:$M$304,1,$N$5:$N$304,"&gt;"&amp;N69)+COUNTIFS($M$5:$M$304,1,$N$5:$N$304,N69,$A$5:$A$304,"&lt;"&amp;A69)+1)</f>
        <v/>
      </c>
    </row>
    <row r="70" customFormat="false" ht="15" hidden="false" customHeight="false" outlineLevel="0" collapsed="false">
      <c r="A70" s="55" t="str">
        <f aca="false">IF(B70="","",ROW()-4)</f>
        <v/>
      </c>
      <c r="B70" s="57"/>
      <c r="C70" s="57"/>
      <c r="D70" s="57"/>
      <c r="E70" s="57"/>
      <c r="F70" s="58" t="str">
        <f aca="false">IF(B70="","",IF(COUNTIF(取込チェック!$C$6:$C$505,B70)&gt;0,1,0))</f>
        <v/>
      </c>
      <c r="G70" s="59" t="str">
        <f aca="false">IF(B70="","",SUMIF(取込チェック!$C$6:$C$505,B70,取込チェック!$D$6:$D$505))</f>
        <v/>
      </c>
      <c r="H70" s="59" t="str">
        <f aca="false">IF(B70="","",SUMIF(取込チェック!$C$6:$C$505,B70,取込チェック!$E$6:$E$505))</f>
        <v/>
      </c>
      <c r="I70" s="59" t="str">
        <f aca="false">IF(B70="","",SUMIF(取込チェック!$C$6:$C$505,B70,取込チェック!$F$6:$F$505))</f>
        <v/>
      </c>
      <c r="J70" s="60" t="str">
        <f aca="false">IF(F70&lt;&gt;1,"",IF(H70=0,-1,G70/H70))</f>
        <v/>
      </c>
      <c r="K70" s="58" t="str">
        <f aca="false">IF(F70&lt;&gt;1,"",COUNTIFS($E$5:$E$304,E70,$F$5:$F$304,1,$J$5:$J$304,"&gt;"&amp;J70)+COUNTIFS($E$5:$E$304,E70,$F$5:$F$304,1,$J$5:$J$304,J70,$A$5:$A$304,"&lt;"&amp;A70)+1)</f>
        <v/>
      </c>
      <c r="L70" s="58" t="str">
        <f aca="false">IF(K70="","",E70&amp;"|"&amp;K70)</f>
        <v/>
      </c>
      <c r="M70" s="58" t="str">
        <f aca="false">IF(F70&lt;&gt;1,"",IF(COUNTIFS($C$5:C70,C70,$F$5:F70,1)=1,1,0))</f>
        <v/>
      </c>
      <c r="N70" s="59" t="str">
        <f aca="false">IF(M70&lt;&gt;1,"",SUMIF($C$5:$C$304,C70,$G$5:$G$304))</f>
        <v/>
      </c>
      <c r="O70" s="58" t="str">
        <f aca="false">IF(M70&lt;&gt;1,"",COUNTIFS($M$5:$M$304,1,$N$5:$N$304,"&gt;"&amp;N70)+COUNTIFS($M$5:$M$304,1,$N$5:$N$304,N70,$A$5:$A$304,"&lt;"&amp;A70)+1)</f>
        <v/>
      </c>
    </row>
    <row r="71" customFormat="false" ht="15" hidden="false" customHeight="false" outlineLevel="0" collapsed="false">
      <c r="A71" s="55" t="str">
        <f aca="false">IF(B71="","",ROW()-4)</f>
        <v/>
      </c>
      <c r="B71" s="57"/>
      <c r="C71" s="57"/>
      <c r="D71" s="57"/>
      <c r="E71" s="57"/>
      <c r="F71" s="58" t="str">
        <f aca="false">IF(B71="","",IF(COUNTIF(取込チェック!$C$6:$C$505,B71)&gt;0,1,0))</f>
        <v/>
      </c>
      <c r="G71" s="59" t="str">
        <f aca="false">IF(B71="","",SUMIF(取込チェック!$C$6:$C$505,B71,取込チェック!$D$6:$D$505))</f>
        <v/>
      </c>
      <c r="H71" s="59" t="str">
        <f aca="false">IF(B71="","",SUMIF(取込チェック!$C$6:$C$505,B71,取込チェック!$E$6:$E$505))</f>
        <v/>
      </c>
      <c r="I71" s="59" t="str">
        <f aca="false">IF(B71="","",SUMIF(取込チェック!$C$6:$C$505,B71,取込チェック!$F$6:$F$505))</f>
        <v/>
      </c>
      <c r="J71" s="60" t="str">
        <f aca="false">IF(F71&lt;&gt;1,"",IF(H71=0,-1,G71/H71))</f>
        <v/>
      </c>
      <c r="K71" s="58" t="str">
        <f aca="false">IF(F71&lt;&gt;1,"",COUNTIFS($E$5:$E$304,E71,$F$5:$F$304,1,$J$5:$J$304,"&gt;"&amp;J71)+COUNTIFS($E$5:$E$304,E71,$F$5:$F$304,1,$J$5:$J$304,J71,$A$5:$A$304,"&lt;"&amp;A71)+1)</f>
        <v/>
      </c>
      <c r="L71" s="58" t="str">
        <f aca="false">IF(K71="","",E71&amp;"|"&amp;K71)</f>
        <v/>
      </c>
      <c r="M71" s="58" t="str">
        <f aca="false">IF(F71&lt;&gt;1,"",IF(COUNTIFS($C$5:C71,C71,$F$5:F71,1)=1,1,0))</f>
        <v/>
      </c>
      <c r="N71" s="59" t="str">
        <f aca="false">IF(M71&lt;&gt;1,"",SUMIF($C$5:$C$304,C71,$G$5:$G$304))</f>
        <v/>
      </c>
      <c r="O71" s="58" t="str">
        <f aca="false">IF(M71&lt;&gt;1,"",COUNTIFS($M$5:$M$304,1,$N$5:$N$304,"&gt;"&amp;N71)+COUNTIFS($M$5:$M$304,1,$N$5:$N$304,N71,$A$5:$A$304,"&lt;"&amp;A71)+1)</f>
        <v/>
      </c>
    </row>
    <row r="72" customFormat="false" ht="15" hidden="false" customHeight="false" outlineLevel="0" collapsed="false">
      <c r="A72" s="55" t="str">
        <f aca="false">IF(B72="","",ROW()-4)</f>
        <v/>
      </c>
      <c r="B72" s="57"/>
      <c r="C72" s="57"/>
      <c r="D72" s="57"/>
      <c r="E72" s="57"/>
      <c r="F72" s="58" t="str">
        <f aca="false">IF(B72="","",IF(COUNTIF(取込チェック!$C$6:$C$505,B72)&gt;0,1,0))</f>
        <v/>
      </c>
      <c r="G72" s="59" t="str">
        <f aca="false">IF(B72="","",SUMIF(取込チェック!$C$6:$C$505,B72,取込チェック!$D$6:$D$505))</f>
        <v/>
      </c>
      <c r="H72" s="59" t="str">
        <f aca="false">IF(B72="","",SUMIF(取込チェック!$C$6:$C$505,B72,取込チェック!$E$6:$E$505))</f>
        <v/>
      </c>
      <c r="I72" s="59" t="str">
        <f aca="false">IF(B72="","",SUMIF(取込チェック!$C$6:$C$505,B72,取込チェック!$F$6:$F$505))</f>
        <v/>
      </c>
      <c r="J72" s="60" t="str">
        <f aca="false">IF(F72&lt;&gt;1,"",IF(H72=0,-1,G72/H72))</f>
        <v/>
      </c>
      <c r="K72" s="58" t="str">
        <f aca="false">IF(F72&lt;&gt;1,"",COUNTIFS($E$5:$E$304,E72,$F$5:$F$304,1,$J$5:$J$304,"&gt;"&amp;J72)+COUNTIFS($E$5:$E$304,E72,$F$5:$F$304,1,$J$5:$J$304,J72,$A$5:$A$304,"&lt;"&amp;A72)+1)</f>
        <v/>
      </c>
      <c r="L72" s="58" t="str">
        <f aca="false">IF(K72="","",E72&amp;"|"&amp;K72)</f>
        <v/>
      </c>
      <c r="M72" s="58" t="str">
        <f aca="false">IF(F72&lt;&gt;1,"",IF(COUNTIFS($C$5:C72,C72,$F$5:F72,1)=1,1,0))</f>
        <v/>
      </c>
      <c r="N72" s="59" t="str">
        <f aca="false">IF(M72&lt;&gt;1,"",SUMIF($C$5:$C$304,C72,$G$5:$G$304))</f>
        <v/>
      </c>
      <c r="O72" s="58" t="str">
        <f aca="false">IF(M72&lt;&gt;1,"",COUNTIFS($M$5:$M$304,1,$N$5:$N$304,"&gt;"&amp;N72)+COUNTIFS($M$5:$M$304,1,$N$5:$N$304,N72,$A$5:$A$304,"&lt;"&amp;A72)+1)</f>
        <v/>
      </c>
    </row>
    <row r="73" customFormat="false" ht="15" hidden="false" customHeight="false" outlineLevel="0" collapsed="false">
      <c r="A73" s="55" t="str">
        <f aca="false">IF(B73="","",ROW()-4)</f>
        <v/>
      </c>
      <c r="B73" s="57"/>
      <c r="C73" s="57"/>
      <c r="D73" s="57"/>
      <c r="E73" s="57"/>
      <c r="F73" s="58" t="str">
        <f aca="false">IF(B73="","",IF(COUNTIF(取込チェック!$C$6:$C$505,B73)&gt;0,1,0))</f>
        <v/>
      </c>
      <c r="G73" s="59" t="str">
        <f aca="false">IF(B73="","",SUMIF(取込チェック!$C$6:$C$505,B73,取込チェック!$D$6:$D$505))</f>
        <v/>
      </c>
      <c r="H73" s="59" t="str">
        <f aca="false">IF(B73="","",SUMIF(取込チェック!$C$6:$C$505,B73,取込チェック!$E$6:$E$505))</f>
        <v/>
      </c>
      <c r="I73" s="59" t="str">
        <f aca="false">IF(B73="","",SUMIF(取込チェック!$C$6:$C$505,B73,取込チェック!$F$6:$F$505))</f>
        <v/>
      </c>
      <c r="J73" s="60" t="str">
        <f aca="false">IF(F73&lt;&gt;1,"",IF(H73=0,-1,G73/H73))</f>
        <v/>
      </c>
      <c r="K73" s="58" t="str">
        <f aca="false">IF(F73&lt;&gt;1,"",COUNTIFS($E$5:$E$304,E73,$F$5:$F$304,1,$J$5:$J$304,"&gt;"&amp;J73)+COUNTIFS($E$5:$E$304,E73,$F$5:$F$304,1,$J$5:$J$304,J73,$A$5:$A$304,"&lt;"&amp;A73)+1)</f>
        <v/>
      </c>
      <c r="L73" s="58" t="str">
        <f aca="false">IF(K73="","",E73&amp;"|"&amp;K73)</f>
        <v/>
      </c>
      <c r="M73" s="58" t="str">
        <f aca="false">IF(F73&lt;&gt;1,"",IF(COUNTIFS($C$5:C73,C73,$F$5:F73,1)=1,1,0))</f>
        <v/>
      </c>
      <c r="N73" s="59" t="str">
        <f aca="false">IF(M73&lt;&gt;1,"",SUMIF($C$5:$C$304,C73,$G$5:$G$304))</f>
        <v/>
      </c>
      <c r="O73" s="58" t="str">
        <f aca="false">IF(M73&lt;&gt;1,"",COUNTIFS($M$5:$M$304,1,$N$5:$N$304,"&gt;"&amp;N73)+COUNTIFS($M$5:$M$304,1,$N$5:$N$304,N73,$A$5:$A$304,"&lt;"&amp;A73)+1)</f>
        <v/>
      </c>
    </row>
    <row r="74" customFormat="false" ht="15" hidden="false" customHeight="false" outlineLevel="0" collapsed="false">
      <c r="A74" s="55" t="str">
        <f aca="false">IF(B74="","",ROW()-4)</f>
        <v/>
      </c>
      <c r="B74" s="57"/>
      <c r="C74" s="57"/>
      <c r="D74" s="57"/>
      <c r="E74" s="57"/>
      <c r="F74" s="58" t="str">
        <f aca="false">IF(B74="","",IF(COUNTIF(取込チェック!$C$6:$C$505,B74)&gt;0,1,0))</f>
        <v/>
      </c>
      <c r="G74" s="59" t="str">
        <f aca="false">IF(B74="","",SUMIF(取込チェック!$C$6:$C$505,B74,取込チェック!$D$6:$D$505))</f>
        <v/>
      </c>
      <c r="H74" s="59" t="str">
        <f aca="false">IF(B74="","",SUMIF(取込チェック!$C$6:$C$505,B74,取込チェック!$E$6:$E$505))</f>
        <v/>
      </c>
      <c r="I74" s="59" t="str">
        <f aca="false">IF(B74="","",SUMIF(取込チェック!$C$6:$C$505,B74,取込チェック!$F$6:$F$505))</f>
        <v/>
      </c>
      <c r="J74" s="60" t="str">
        <f aca="false">IF(F74&lt;&gt;1,"",IF(H74=0,-1,G74/H74))</f>
        <v/>
      </c>
      <c r="K74" s="58" t="str">
        <f aca="false">IF(F74&lt;&gt;1,"",COUNTIFS($E$5:$E$304,E74,$F$5:$F$304,1,$J$5:$J$304,"&gt;"&amp;J74)+COUNTIFS($E$5:$E$304,E74,$F$5:$F$304,1,$J$5:$J$304,J74,$A$5:$A$304,"&lt;"&amp;A74)+1)</f>
        <v/>
      </c>
      <c r="L74" s="58" t="str">
        <f aca="false">IF(K74="","",E74&amp;"|"&amp;K74)</f>
        <v/>
      </c>
      <c r="M74" s="58" t="str">
        <f aca="false">IF(F74&lt;&gt;1,"",IF(COUNTIFS($C$5:C74,C74,$F$5:F74,1)=1,1,0))</f>
        <v/>
      </c>
      <c r="N74" s="59" t="str">
        <f aca="false">IF(M74&lt;&gt;1,"",SUMIF($C$5:$C$304,C74,$G$5:$G$304))</f>
        <v/>
      </c>
      <c r="O74" s="58" t="str">
        <f aca="false">IF(M74&lt;&gt;1,"",COUNTIFS($M$5:$M$304,1,$N$5:$N$304,"&gt;"&amp;N74)+COUNTIFS($M$5:$M$304,1,$N$5:$N$304,N74,$A$5:$A$304,"&lt;"&amp;A74)+1)</f>
        <v/>
      </c>
    </row>
    <row r="75" customFormat="false" ht="15" hidden="false" customHeight="false" outlineLevel="0" collapsed="false">
      <c r="A75" s="55" t="str">
        <f aca="false">IF(B75="","",ROW()-4)</f>
        <v/>
      </c>
      <c r="B75" s="57"/>
      <c r="C75" s="57"/>
      <c r="D75" s="57"/>
      <c r="E75" s="57"/>
      <c r="F75" s="58" t="str">
        <f aca="false">IF(B75="","",IF(COUNTIF(取込チェック!$C$6:$C$505,B75)&gt;0,1,0))</f>
        <v/>
      </c>
      <c r="G75" s="59" t="str">
        <f aca="false">IF(B75="","",SUMIF(取込チェック!$C$6:$C$505,B75,取込チェック!$D$6:$D$505))</f>
        <v/>
      </c>
      <c r="H75" s="59" t="str">
        <f aca="false">IF(B75="","",SUMIF(取込チェック!$C$6:$C$505,B75,取込チェック!$E$6:$E$505))</f>
        <v/>
      </c>
      <c r="I75" s="59" t="str">
        <f aca="false">IF(B75="","",SUMIF(取込チェック!$C$6:$C$505,B75,取込チェック!$F$6:$F$505))</f>
        <v/>
      </c>
      <c r="J75" s="60" t="str">
        <f aca="false">IF(F75&lt;&gt;1,"",IF(H75=0,-1,G75/H75))</f>
        <v/>
      </c>
      <c r="K75" s="58" t="str">
        <f aca="false">IF(F75&lt;&gt;1,"",COUNTIFS($E$5:$E$304,E75,$F$5:$F$304,1,$J$5:$J$304,"&gt;"&amp;J75)+COUNTIFS($E$5:$E$304,E75,$F$5:$F$304,1,$J$5:$J$304,J75,$A$5:$A$304,"&lt;"&amp;A75)+1)</f>
        <v/>
      </c>
      <c r="L75" s="58" t="str">
        <f aca="false">IF(K75="","",E75&amp;"|"&amp;K75)</f>
        <v/>
      </c>
      <c r="M75" s="58" t="str">
        <f aca="false">IF(F75&lt;&gt;1,"",IF(COUNTIFS($C$5:C75,C75,$F$5:F75,1)=1,1,0))</f>
        <v/>
      </c>
      <c r="N75" s="59" t="str">
        <f aca="false">IF(M75&lt;&gt;1,"",SUMIF($C$5:$C$304,C75,$G$5:$G$304))</f>
        <v/>
      </c>
      <c r="O75" s="58" t="str">
        <f aca="false">IF(M75&lt;&gt;1,"",COUNTIFS($M$5:$M$304,1,$N$5:$N$304,"&gt;"&amp;N75)+COUNTIFS($M$5:$M$304,1,$N$5:$N$304,N75,$A$5:$A$304,"&lt;"&amp;A75)+1)</f>
        <v/>
      </c>
    </row>
    <row r="76" customFormat="false" ht="15" hidden="false" customHeight="false" outlineLevel="0" collapsed="false">
      <c r="A76" s="55" t="str">
        <f aca="false">IF(B76="","",ROW()-4)</f>
        <v/>
      </c>
      <c r="B76" s="57"/>
      <c r="C76" s="57"/>
      <c r="D76" s="57"/>
      <c r="E76" s="57"/>
      <c r="F76" s="58" t="str">
        <f aca="false">IF(B76="","",IF(COUNTIF(取込チェック!$C$6:$C$505,B76)&gt;0,1,0))</f>
        <v/>
      </c>
      <c r="G76" s="59" t="str">
        <f aca="false">IF(B76="","",SUMIF(取込チェック!$C$6:$C$505,B76,取込チェック!$D$6:$D$505))</f>
        <v/>
      </c>
      <c r="H76" s="59" t="str">
        <f aca="false">IF(B76="","",SUMIF(取込チェック!$C$6:$C$505,B76,取込チェック!$E$6:$E$505))</f>
        <v/>
      </c>
      <c r="I76" s="59" t="str">
        <f aca="false">IF(B76="","",SUMIF(取込チェック!$C$6:$C$505,B76,取込チェック!$F$6:$F$505))</f>
        <v/>
      </c>
      <c r="J76" s="60" t="str">
        <f aca="false">IF(F76&lt;&gt;1,"",IF(H76=0,-1,G76/H76))</f>
        <v/>
      </c>
      <c r="K76" s="58" t="str">
        <f aca="false">IF(F76&lt;&gt;1,"",COUNTIFS($E$5:$E$304,E76,$F$5:$F$304,1,$J$5:$J$304,"&gt;"&amp;J76)+COUNTIFS($E$5:$E$304,E76,$F$5:$F$304,1,$J$5:$J$304,J76,$A$5:$A$304,"&lt;"&amp;A76)+1)</f>
        <v/>
      </c>
      <c r="L76" s="58" t="str">
        <f aca="false">IF(K76="","",E76&amp;"|"&amp;K76)</f>
        <v/>
      </c>
      <c r="M76" s="58" t="str">
        <f aca="false">IF(F76&lt;&gt;1,"",IF(COUNTIFS($C$5:C76,C76,$F$5:F76,1)=1,1,0))</f>
        <v/>
      </c>
      <c r="N76" s="59" t="str">
        <f aca="false">IF(M76&lt;&gt;1,"",SUMIF($C$5:$C$304,C76,$G$5:$G$304))</f>
        <v/>
      </c>
      <c r="O76" s="58" t="str">
        <f aca="false">IF(M76&lt;&gt;1,"",COUNTIFS($M$5:$M$304,1,$N$5:$N$304,"&gt;"&amp;N76)+COUNTIFS($M$5:$M$304,1,$N$5:$N$304,N76,$A$5:$A$304,"&lt;"&amp;A76)+1)</f>
        <v/>
      </c>
    </row>
    <row r="77" customFormat="false" ht="15" hidden="false" customHeight="false" outlineLevel="0" collapsed="false">
      <c r="A77" s="55" t="str">
        <f aca="false">IF(B77="","",ROW()-4)</f>
        <v/>
      </c>
      <c r="B77" s="57"/>
      <c r="C77" s="57"/>
      <c r="D77" s="57"/>
      <c r="E77" s="57"/>
      <c r="F77" s="58" t="str">
        <f aca="false">IF(B77="","",IF(COUNTIF(取込チェック!$C$6:$C$505,B77)&gt;0,1,0))</f>
        <v/>
      </c>
      <c r="G77" s="59" t="str">
        <f aca="false">IF(B77="","",SUMIF(取込チェック!$C$6:$C$505,B77,取込チェック!$D$6:$D$505))</f>
        <v/>
      </c>
      <c r="H77" s="59" t="str">
        <f aca="false">IF(B77="","",SUMIF(取込チェック!$C$6:$C$505,B77,取込チェック!$E$6:$E$505))</f>
        <v/>
      </c>
      <c r="I77" s="59" t="str">
        <f aca="false">IF(B77="","",SUMIF(取込チェック!$C$6:$C$505,B77,取込チェック!$F$6:$F$505))</f>
        <v/>
      </c>
      <c r="J77" s="60" t="str">
        <f aca="false">IF(F77&lt;&gt;1,"",IF(H77=0,-1,G77/H77))</f>
        <v/>
      </c>
      <c r="K77" s="58" t="str">
        <f aca="false">IF(F77&lt;&gt;1,"",COUNTIFS($E$5:$E$304,E77,$F$5:$F$304,1,$J$5:$J$304,"&gt;"&amp;J77)+COUNTIFS($E$5:$E$304,E77,$F$5:$F$304,1,$J$5:$J$304,J77,$A$5:$A$304,"&lt;"&amp;A77)+1)</f>
        <v/>
      </c>
      <c r="L77" s="58" t="str">
        <f aca="false">IF(K77="","",E77&amp;"|"&amp;K77)</f>
        <v/>
      </c>
      <c r="M77" s="58" t="str">
        <f aca="false">IF(F77&lt;&gt;1,"",IF(COUNTIFS($C$5:C77,C77,$F$5:F77,1)=1,1,0))</f>
        <v/>
      </c>
      <c r="N77" s="59" t="str">
        <f aca="false">IF(M77&lt;&gt;1,"",SUMIF($C$5:$C$304,C77,$G$5:$G$304))</f>
        <v/>
      </c>
      <c r="O77" s="58" t="str">
        <f aca="false">IF(M77&lt;&gt;1,"",COUNTIFS($M$5:$M$304,1,$N$5:$N$304,"&gt;"&amp;N77)+COUNTIFS($M$5:$M$304,1,$N$5:$N$304,N77,$A$5:$A$304,"&lt;"&amp;A77)+1)</f>
        <v/>
      </c>
    </row>
    <row r="78" customFormat="false" ht="15" hidden="false" customHeight="false" outlineLevel="0" collapsed="false">
      <c r="A78" s="55" t="str">
        <f aca="false">IF(B78="","",ROW()-4)</f>
        <v/>
      </c>
      <c r="B78" s="57"/>
      <c r="C78" s="57"/>
      <c r="D78" s="57"/>
      <c r="E78" s="57"/>
      <c r="F78" s="58" t="str">
        <f aca="false">IF(B78="","",IF(COUNTIF(取込チェック!$C$6:$C$505,B78)&gt;0,1,0))</f>
        <v/>
      </c>
      <c r="G78" s="59" t="str">
        <f aca="false">IF(B78="","",SUMIF(取込チェック!$C$6:$C$505,B78,取込チェック!$D$6:$D$505))</f>
        <v/>
      </c>
      <c r="H78" s="59" t="str">
        <f aca="false">IF(B78="","",SUMIF(取込チェック!$C$6:$C$505,B78,取込チェック!$E$6:$E$505))</f>
        <v/>
      </c>
      <c r="I78" s="59" t="str">
        <f aca="false">IF(B78="","",SUMIF(取込チェック!$C$6:$C$505,B78,取込チェック!$F$6:$F$505))</f>
        <v/>
      </c>
      <c r="J78" s="60" t="str">
        <f aca="false">IF(F78&lt;&gt;1,"",IF(H78=0,-1,G78/H78))</f>
        <v/>
      </c>
      <c r="K78" s="58" t="str">
        <f aca="false">IF(F78&lt;&gt;1,"",COUNTIFS($E$5:$E$304,E78,$F$5:$F$304,1,$J$5:$J$304,"&gt;"&amp;J78)+COUNTIFS($E$5:$E$304,E78,$F$5:$F$304,1,$J$5:$J$304,J78,$A$5:$A$304,"&lt;"&amp;A78)+1)</f>
        <v/>
      </c>
      <c r="L78" s="58" t="str">
        <f aca="false">IF(K78="","",E78&amp;"|"&amp;K78)</f>
        <v/>
      </c>
      <c r="M78" s="58" t="str">
        <f aca="false">IF(F78&lt;&gt;1,"",IF(COUNTIFS($C$5:C78,C78,$F$5:F78,1)=1,1,0))</f>
        <v/>
      </c>
      <c r="N78" s="59" t="str">
        <f aca="false">IF(M78&lt;&gt;1,"",SUMIF($C$5:$C$304,C78,$G$5:$G$304))</f>
        <v/>
      </c>
      <c r="O78" s="58" t="str">
        <f aca="false">IF(M78&lt;&gt;1,"",COUNTIFS($M$5:$M$304,1,$N$5:$N$304,"&gt;"&amp;N78)+COUNTIFS($M$5:$M$304,1,$N$5:$N$304,N78,$A$5:$A$304,"&lt;"&amp;A78)+1)</f>
        <v/>
      </c>
    </row>
    <row r="79" customFormat="false" ht="15" hidden="false" customHeight="false" outlineLevel="0" collapsed="false">
      <c r="A79" s="55" t="str">
        <f aca="false">IF(B79="","",ROW()-4)</f>
        <v/>
      </c>
      <c r="B79" s="57"/>
      <c r="C79" s="57"/>
      <c r="D79" s="57"/>
      <c r="E79" s="57"/>
      <c r="F79" s="58" t="str">
        <f aca="false">IF(B79="","",IF(COUNTIF(取込チェック!$C$6:$C$505,B79)&gt;0,1,0))</f>
        <v/>
      </c>
      <c r="G79" s="59" t="str">
        <f aca="false">IF(B79="","",SUMIF(取込チェック!$C$6:$C$505,B79,取込チェック!$D$6:$D$505))</f>
        <v/>
      </c>
      <c r="H79" s="59" t="str">
        <f aca="false">IF(B79="","",SUMIF(取込チェック!$C$6:$C$505,B79,取込チェック!$E$6:$E$505))</f>
        <v/>
      </c>
      <c r="I79" s="59" t="str">
        <f aca="false">IF(B79="","",SUMIF(取込チェック!$C$6:$C$505,B79,取込チェック!$F$6:$F$505))</f>
        <v/>
      </c>
      <c r="J79" s="60" t="str">
        <f aca="false">IF(F79&lt;&gt;1,"",IF(H79=0,-1,G79/H79))</f>
        <v/>
      </c>
      <c r="K79" s="58" t="str">
        <f aca="false">IF(F79&lt;&gt;1,"",COUNTIFS($E$5:$E$304,E79,$F$5:$F$304,1,$J$5:$J$304,"&gt;"&amp;J79)+COUNTIFS($E$5:$E$304,E79,$F$5:$F$304,1,$J$5:$J$304,J79,$A$5:$A$304,"&lt;"&amp;A79)+1)</f>
        <v/>
      </c>
      <c r="L79" s="58" t="str">
        <f aca="false">IF(K79="","",E79&amp;"|"&amp;K79)</f>
        <v/>
      </c>
      <c r="M79" s="58" t="str">
        <f aca="false">IF(F79&lt;&gt;1,"",IF(COUNTIFS($C$5:C79,C79,$F$5:F79,1)=1,1,0))</f>
        <v/>
      </c>
      <c r="N79" s="59" t="str">
        <f aca="false">IF(M79&lt;&gt;1,"",SUMIF($C$5:$C$304,C79,$G$5:$G$304))</f>
        <v/>
      </c>
      <c r="O79" s="58" t="str">
        <f aca="false">IF(M79&lt;&gt;1,"",COUNTIFS($M$5:$M$304,1,$N$5:$N$304,"&gt;"&amp;N79)+COUNTIFS($M$5:$M$304,1,$N$5:$N$304,N79,$A$5:$A$304,"&lt;"&amp;A79)+1)</f>
        <v/>
      </c>
    </row>
    <row r="80" customFormat="false" ht="15" hidden="false" customHeight="false" outlineLevel="0" collapsed="false">
      <c r="A80" s="55" t="str">
        <f aca="false">IF(B80="","",ROW()-4)</f>
        <v/>
      </c>
      <c r="B80" s="57"/>
      <c r="C80" s="57"/>
      <c r="D80" s="57"/>
      <c r="E80" s="57"/>
      <c r="F80" s="58" t="str">
        <f aca="false">IF(B80="","",IF(COUNTIF(取込チェック!$C$6:$C$505,B80)&gt;0,1,0))</f>
        <v/>
      </c>
      <c r="G80" s="59" t="str">
        <f aca="false">IF(B80="","",SUMIF(取込チェック!$C$6:$C$505,B80,取込チェック!$D$6:$D$505))</f>
        <v/>
      </c>
      <c r="H80" s="59" t="str">
        <f aca="false">IF(B80="","",SUMIF(取込チェック!$C$6:$C$505,B80,取込チェック!$E$6:$E$505))</f>
        <v/>
      </c>
      <c r="I80" s="59" t="str">
        <f aca="false">IF(B80="","",SUMIF(取込チェック!$C$6:$C$505,B80,取込チェック!$F$6:$F$505))</f>
        <v/>
      </c>
      <c r="J80" s="60" t="str">
        <f aca="false">IF(F80&lt;&gt;1,"",IF(H80=0,-1,G80/H80))</f>
        <v/>
      </c>
      <c r="K80" s="58" t="str">
        <f aca="false">IF(F80&lt;&gt;1,"",COUNTIFS($E$5:$E$304,E80,$F$5:$F$304,1,$J$5:$J$304,"&gt;"&amp;J80)+COUNTIFS($E$5:$E$304,E80,$F$5:$F$304,1,$J$5:$J$304,J80,$A$5:$A$304,"&lt;"&amp;A80)+1)</f>
        <v/>
      </c>
      <c r="L80" s="58" t="str">
        <f aca="false">IF(K80="","",E80&amp;"|"&amp;K80)</f>
        <v/>
      </c>
      <c r="M80" s="58" t="str">
        <f aca="false">IF(F80&lt;&gt;1,"",IF(COUNTIFS($C$5:C80,C80,$F$5:F80,1)=1,1,0))</f>
        <v/>
      </c>
      <c r="N80" s="59" t="str">
        <f aca="false">IF(M80&lt;&gt;1,"",SUMIF($C$5:$C$304,C80,$G$5:$G$304))</f>
        <v/>
      </c>
      <c r="O80" s="58" t="str">
        <f aca="false">IF(M80&lt;&gt;1,"",COUNTIFS($M$5:$M$304,1,$N$5:$N$304,"&gt;"&amp;N80)+COUNTIFS($M$5:$M$304,1,$N$5:$N$304,N80,$A$5:$A$304,"&lt;"&amp;A80)+1)</f>
        <v/>
      </c>
    </row>
    <row r="81" customFormat="false" ht="15" hidden="false" customHeight="false" outlineLevel="0" collapsed="false">
      <c r="A81" s="55" t="str">
        <f aca="false">IF(B81="","",ROW()-4)</f>
        <v/>
      </c>
      <c r="B81" s="57"/>
      <c r="C81" s="57"/>
      <c r="D81" s="57"/>
      <c r="E81" s="57"/>
      <c r="F81" s="58" t="str">
        <f aca="false">IF(B81="","",IF(COUNTIF(取込チェック!$C$6:$C$505,B81)&gt;0,1,0))</f>
        <v/>
      </c>
      <c r="G81" s="59" t="str">
        <f aca="false">IF(B81="","",SUMIF(取込チェック!$C$6:$C$505,B81,取込チェック!$D$6:$D$505))</f>
        <v/>
      </c>
      <c r="H81" s="59" t="str">
        <f aca="false">IF(B81="","",SUMIF(取込チェック!$C$6:$C$505,B81,取込チェック!$E$6:$E$505))</f>
        <v/>
      </c>
      <c r="I81" s="59" t="str">
        <f aca="false">IF(B81="","",SUMIF(取込チェック!$C$6:$C$505,B81,取込チェック!$F$6:$F$505))</f>
        <v/>
      </c>
      <c r="J81" s="60" t="str">
        <f aca="false">IF(F81&lt;&gt;1,"",IF(H81=0,-1,G81/H81))</f>
        <v/>
      </c>
      <c r="K81" s="58" t="str">
        <f aca="false">IF(F81&lt;&gt;1,"",COUNTIFS($E$5:$E$304,E81,$F$5:$F$304,1,$J$5:$J$304,"&gt;"&amp;J81)+COUNTIFS($E$5:$E$304,E81,$F$5:$F$304,1,$J$5:$J$304,J81,$A$5:$A$304,"&lt;"&amp;A81)+1)</f>
        <v/>
      </c>
      <c r="L81" s="58" t="str">
        <f aca="false">IF(K81="","",E81&amp;"|"&amp;K81)</f>
        <v/>
      </c>
      <c r="M81" s="58" t="str">
        <f aca="false">IF(F81&lt;&gt;1,"",IF(COUNTIFS($C$5:C81,C81,$F$5:F81,1)=1,1,0))</f>
        <v/>
      </c>
      <c r="N81" s="59" t="str">
        <f aca="false">IF(M81&lt;&gt;1,"",SUMIF($C$5:$C$304,C81,$G$5:$G$304))</f>
        <v/>
      </c>
      <c r="O81" s="58" t="str">
        <f aca="false">IF(M81&lt;&gt;1,"",COUNTIFS($M$5:$M$304,1,$N$5:$N$304,"&gt;"&amp;N81)+COUNTIFS($M$5:$M$304,1,$N$5:$N$304,N81,$A$5:$A$304,"&lt;"&amp;A81)+1)</f>
        <v/>
      </c>
    </row>
    <row r="82" customFormat="false" ht="15" hidden="false" customHeight="false" outlineLevel="0" collapsed="false">
      <c r="A82" s="55" t="str">
        <f aca="false">IF(B82="","",ROW()-4)</f>
        <v/>
      </c>
      <c r="B82" s="57"/>
      <c r="C82" s="57"/>
      <c r="D82" s="57"/>
      <c r="E82" s="57"/>
      <c r="F82" s="58" t="str">
        <f aca="false">IF(B82="","",IF(COUNTIF(取込チェック!$C$6:$C$505,B82)&gt;0,1,0))</f>
        <v/>
      </c>
      <c r="G82" s="59" t="str">
        <f aca="false">IF(B82="","",SUMIF(取込チェック!$C$6:$C$505,B82,取込チェック!$D$6:$D$505))</f>
        <v/>
      </c>
      <c r="H82" s="59" t="str">
        <f aca="false">IF(B82="","",SUMIF(取込チェック!$C$6:$C$505,B82,取込チェック!$E$6:$E$505))</f>
        <v/>
      </c>
      <c r="I82" s="59" t="str">
        <f aca="false">IF(B82="","",SUMIF(取込チェック!$C$6:$C$505,B82,取込チェック!$F$6:$F$505))</f>
        <v/>
      </c>
      <c r="J82" s="60" t="str">
        <f aca="false">IF(F82&lt;&gt;1,"",IF(H82=0,-1,G82/H82))</f>
        <v/>
      </c>
      <c r="K82" s="58" t="str">
        <f aca="false">IF(F82&lt;&gt;1,"",COUNTIFS($E$5:$E$304,E82,$F$5:$F$304,1,$J$5:$J$304,"&gt;"&amp;J82)+COUNTIFS($E$5:$E$304,E82,$F$5:$F$304,1,$J$5:$J$304,J82,$A$5:$A$304,"&lt;"&amp;A82)+1)</f>
        <v/>
      </c>
      <c r="L82" s="58" t="str">
        <f aca="false">IF(K82="","",E82&amp;"|"&amp;K82)</f>
        <v/>
      </c>
      <c r="M82" s="58" t="str">
        <f aca="false">IF(F82&lt;&gt;1,"",IF(COUNTIFS($C$5:C82,C82,$F$5:F82,1)=1,1,0))</f>
        <v/>
      </c>
      <c r="N82" s="59" t="str">
        <f aca="false">IF(M82&lt;&gt;1,"",SUMIF($C$5:$C$304,C82,$G$5:$G$304))</f>
        <v/>
      </c>
      <c r="O82" s="58" t="str">
        <f aca="false">IF(M82&lt;&gt;1,"",COUNTIFS($M$5:$M$304,1,$N$5:$N$304,"&gt;"&amp;N82)+COUNTIFS($M$5:$M$304,1,$N$5:$N$304,N82,$A$5:$A$304,"&lt;"&amp;A82)+1)</f>
        <v/>
      </c>
    </row>
    <row r="83" customFormat="false" ht="15" hidden="false" customHeight="false" outlineLevel="0" collapsed="false">
      <c r="A83" s="55" t="str">
        <f aca="false">IF(B83="","",ROW()-4)</f>
        <v/>
      </c>
      <c r="B83" s="57"/>
      <c r="C83" s="57"/>
      <c r="D83" s="57"/>
      <c r="E83" s="57"/>
      <c r="F83" s="58" t="str">
        <f aca="false">IF(B83="","",IF(COUNTIF(取込チェック!$C$6:$C$505,B83)&gt;0,1,0))</f>
        <v/>
      </c>
      <c r="G83" s="59" t="str">
        <f aca="false">IF(B83="","",SUMIF(取込チェック!$C$6:$C$505,B83,取込チェック!$D$6:$D$505))</f>
        <v/>
      </c>
      <c r="H83" s="59" t="str">
        <f aca="false">IF(B83="","",SUMIF(取込チェック!$C$6:$C$505,B83,取込チェック!$E$6:$E$505))</f>
        <v/>
      </c>
      <c r="I83" s="59" t="str">
        <f aca="false">IF(B83="","",SUMIF(取込チェック!$C$6:$C$505,B83,取込チェック!$F$6:$F$505))</f>
        <v/>
      </c>
      <c r="J83" s="60" t="str">
        <f aca="false">IF(F83&lt;&gt;1,"",IF(H83=0,-1,G83/H83))</f>
        <v/>
      </c>
      <c r="K83" s="58" t="str">
        <f aca="false">IF(F83&lt;&gt;1,"",COUNTIFS($E$5:$E$304,E83,$F$5:$F$304,1,$J$5:$J$304,"&gt;"&amp;J83)+COUNTIFS($E$5:$E$304,E83,$F$5:$F$304,1,$J$5:$J$304,J83,$A$5:$A$304,"&lt;"&amp;A83)+1)</f>
        <v/>
      </c>
      <c r="L83" s="58" t="str">
        <f aca="false">IF(K83="","",E83&amp;"|"&amp;K83)</f>
        <v/>
      </c>
      <c r="M83" s="58" t="str">
        <f aca="false">IF(F83&lt;&gt;1,"",IF(COUNTIFS($C$5:C83,C83,$F$5:F83,1)=1,1,0))</f>
        <v/>
      </c>
      <c r="N83" s="59" t="str">
        <f aca="false">IF(M83&lt;&gt;1,"",SUMIF($C$5:$C$304,C83,$G$5:$G$304))</f>
        <v/>
      </c>
      <c r="O83" s="58" t="str">
        <f aca="false">IF(M83&lt;&gt;1,"",COUNTIFS($M$5:$M$304,1,$N$5:$N$304,"&gt;"&amp;N83)+COUNTIFS($M$5:$M$304,1,$N$5:$N$304,N83,$A$5:$A$304,"&lt;"&amp;A83)+1)</f>
        <v/>
      </c>
    </row>
    <row r="84" customFormat="false" ht="15" hidden="false" customHeight="false" outlineLevel="0" collapsed="false">
      <c r="A84" s="55" t="str">
        <f aca="false">IF(B84="","",ROW()-4)</f>
        <v/>
      </c>
      <c r="B84" s="57"/>
      <c r="C84" s="57"/>
      <c r="D84" s="57"/>
      <c r="E84" s="57"/>
      <c r="F84" s="58" t="str">
        <f aca="false">IF(B84="","",IF(COUNTIF(取込チェック!$C$6:$C$505,B84)&gt;0,1,0))</f>
        <v/>
      </c>
      <c r="G84" s="59" t="str">
        <f aca="false">IF(B84="","",SUMIF(取込チェック!$C$6:$C$505,B84,取込チェック!$D$6:$D$505))</f>
        <v/>
      </c>
      <c r="H84" s="59" t="str">
        <f aca="false">IF(B84="","",SUMIF(取込チェック!$C$6:$C$505,B84,取込チェック!$E$6:$E$505))</f>
        <v/>
      </c>
      <c r="I84" s="59" t="str">
        <f aca="false">IF(B84="","",SUMIF(取込チェック!$C$6:$C$505,B84,取込チェック!$F$6:$F$505))</f>
        <v/>
      </c>
      <c r="J84" s="60" t="str">
        <f aca="false">IF(F84&lt;&gt;1,"",IF(H84=0,-1,G84/H84))</f>
        <v/>
      </c>
      <c r="K84" s="58" t="str">
        <f aca="false">IF(F84&lt;&gt;1,"",COUNTIFS($E$5:$E$304,E84,$F$5:$F$304,1,$J$5:$J$304,"&gt;"&amp;J84)+COUNTIFS($E$5:$E$304,E84,$F$5:$F$304,1,$J$5:$J$304,J84,$A$5:$A$304,"&lt;"&amp;A84)+1)</f>
        <v/>
      </c>
      <c r="L84" s="58" t="str">
        <f aca="false">IF(K84="","",E84&amp;"|"&amp;K84)</f>
        <v/>
      </c>
      <c r="M84" s="58" t="str">
        <f aca="false">IF(F84&lt;&gt;1,"",IF(COUNTIFS($C$5:C84,C84,$F$5:F84,1)=1,1,0))</f>
        <v/>
      </c>
      <c r="N84" s="59" t="str">
        <f aca="false">IF(M84&lt;&gt;1,"",SUMIF($C$5:$C$304,C84,$G$5:$G$304))</f>
        <v/>
      </c>
      <c r="O84" s="58" t="str">
        <f aca="false">IF(M84&lt;&gt;1,"",COUNTIFS($M$5:$M$304,1,$N$5:$N$304,"&gt;"&amp;N84)+COUNTIFS($M$5:$M$304,1,$N$5:$N$304,N84,$A$5:$A$304,"&lt;"&amp;A84)+1)</f>
        <v/>
      </c>
    </row>
    <row r="85" customFormat="false" ht="15" hidden="false" customHeight="false" outlineLevel="0" collapsed="false">
      <c r="A85" s="55" t="str">
        <f aca="false">IF(B85="","",ROW()-4)</f>
        <v/>
      </c>
      <c r="B85" s="57"/>
      <c r="C85" s="57"/>
      <c r="D85" s="57"/>
      <c r="E85" s="57"/>
      <c r="F85" s="58" t="str">
        <f aca="false">IF(B85="","",IF(COUNTIF(取込チェック!$C$6:$C$505,B85)&gt;0,1,0))</f>
        <v/>
      </c>
      <c r="G85" s="59" t="str">
        <f aca="false">IF(B85="","",SUMIF(取込チェック!$C$6:$C$505,B85,取込チェック!$D$6:$D$505))</f>
        <v/>
      </c>
      <c r="H85" s="59" t="str">
        <f aca="false">IF(B85="","",SUMIF(取込チェック!$C$6:$C$505,B85,取込チェック!$E$6:$E$505))</f>
        <v/>
      </c>
      <c r="I85" s="59" t="str">
        <f aca="false">IF(B85="","",SUMIF(取込チェック!$C$6:$C$505,B85,取込チェック!$F$6:$F$505))</f>
        <v/>
      </c>
      <c r="J85" s="60" t="str">
        <f aca="false">IF(F85&lt;&gt;1,"",IF(H85=0,-1,G85/H85))</f>
        <v/>
      </c>
      <c r="K85" s="58" t="str">
        <f aca="false">IF(F85&lt;&gt;1,"",COUNTIFS($E$5:$E$304,E85,$F$5:$F$304,1,$J$5:$J$304,"&gt;"&amp;J85)+COUNTIFS($E$5:$E$304,E85,$F$5:$F$304,1,$J$5:$J$304,J85,$A$5:$A$304,"&lt;"&amp;A85)+1)</f>
        <v/>
      </c>
      <c r="L85" s="58" t="str">
        <f aca="false">IF(K85="","",E85&amp;"|"&amp;K85)</f>
        <v/>
      </c>
      <c r="M85" s="58" t="str">
        <f aca="false">IF(F85&lt;&gt;1,"",IF(COUNTIFS($C$5:C85,C85,$F$5:F85,1)=1,1,0))</f>
        <v/>
      </c>
      <c r="N85" s="59" t="str">
        <f aca="false">IF(M85&lt;&gt;1,"",SUMIF($C$5:$C$304,C85,$G$5:$G$304))</f>
        <v/>
      </c>
      <c r="O85" s="58" t="str">
        <f aca="false">IF(M85&lt;&gt;1,"",COUNTIFS($M$5:$M$304,1,$N$5:$N$304,"&gt;"&amp;N85)+COUNTIFS($M$5:$M$304,1,$N$5:$N$304,N85,$A$5:$A$304,"&lt;"&amp;A85)+1)</f>
        <v/>
      </c>
    </row>
    <row r="86" customFormat="false" ht="15" hidden="false" customHeight="false" outlineLevel="0" collapsed="false">
      <c r="A86" s="55" t="str">
        <f aca="false">IF(B86="","",ROW()-4)</f>
        <v/>
      </c>
      <c r="B86" s="57"/>
      <c r="C86" s="57"/>
      <c r="D86" s="57"/>
      <c r="E86" s="57"/>
      <c r="F86" s="58" t="str">
        <f aca="false">IF(B86="","",IF(COUNTIF(取込チェック!$C$6:$C$505,B86)&gt;0,1,0))</f>
        <v/>
      </c>
      <c r="G86" s="59" t="str">
        <f aca="false">IF(B86="","",SUMIF(取込チェック!$C$6:$C$505,B86,取込チェック!$D$6:$D$505))</f>
        <v/>
      </c>
      <c r="H86" s="59" t="str">
        <f aca="false">IF(B86="","",SUMIF(取込チェック!$C$6:$C$505,B86,取込チェック!$E$6:$E$505))</f>
        <v/>
      </c>
      <c r="I86" s="59" t="str">
        <f aca="false">IF(B86="","",SUMIF(取込チェック!$C$6:$C$505,B86,取込チェック!$F$6:$F$505))</f>
        <v/>
      </c>
      <c r="J86" s="60" t="str">
        <f aca="false">IF(F86&lt;&gt;1,"",IF(H86=0,-1,G86/H86))</f>
        <v/>
      </c>
      <c r="K86" s="58" t="str">
        <f aca="false">IF(F86&lt;&gt;1,"",COUNTIFS($E$5:$E$304,E86,$F$5:$F$304,1,$J$5:$J$304,"&gt;"&amp;J86)+COUNTIFS($E$5:$E$304,E86,$F$5:$F$304,1,$J$5:$J$304,J86,$A$5:$A$304,"&lt;"&amp;A86)+1)</f>
        <v/>
      </c>
      <c r="L86" s="58" t="str">
        <f aca="false">IF(K86="","",E86&amp;"|"&amp;K86)</f>
        <v/>
      </c>
      <c r="M86" s="58" t="str">
        <f aca="false">IF(F86&lt;&gt;1,"",IF(COUNTIFS($C$5:C86,C86,$F$5:F86,1)=1,1,0))</f>
        <v/>
      </c>
      <c r="N86" s="59" t="str">
        <f aca="false">IF(M86&lt;&gt;1,"",SUMIF($C$5:$C$304,C86,$G$5:$G$304))</f>
        <v/>
      </c>
      <c r="O86" s="58" t="str">
        <f aca="false">IF(M86&lt;&gt;1,"",COUNTIFS($M$5:$M$304,1,$N$5:$N$304,"&gt;"&amp;N86)+COUNTIFS($M$5:$M$304,1,$N$5:$N$304,N86,$A$5:$A$304,"&lt;"&amp;A86)+1)</f>
        <v/>
      </c>
    </row>
    <row r="87" customFormat="false" ht="15" hidden="false" customHeight="false" outlineLevel="0" collapsed="false">
      <c r="A87" s="55" t="str">
        <f aca="false">IF(B87="","",ROW()-4)</f>
        <v/>
      </c>
      <c r="B87" s="57"/>
      <c r="C87" s="57"/>
      <c r="D87" s="57"/>
      <c r="E87" s="57"/>
      <c r="F87" s="58" t="str">
        <f aca="false">IF(B87="","",IF(COUNTIF(取込チェック!$C$6:$C$505,B87)&gt;0,1,0))</f>
        <v/>
      </c>
      <c r="G87" s="59" t="str">
        <f aca="false">IF(B87="","",SUMIF(取込チェック!$C$6:$C$505,B87,取込チェック!$D$6:$D$505))</f>
        <v/>
      </c>
      <c r="H87" s="59" t="str">
        <f aca="false">IF(B87="","",SUMIF(取込チェック!$C$6:$C$505,B87,取込チェック!$E$6:$E$505))</f>
        <v/>
      </c>
      <c r="I87" s="59" t="str">
        <f aca="false">IF(B87="","",SUMIF(取込チェック!$C$6:$C$505,B87,取込チェック!$F$6:$F$505))</f>
        <v/>
      </c>
      <c r="J87" s="60" t="str">
        <f aca="false">IF(F87&lt;&gt;1,"",IF(H87=0,-1,G87/H87))</f>
        <v/>
      </c>
      <c r="K87" s="58" t="str">
        <f aca="false">IF(F87&lt;&gt;1,"",COUNTIFS($E$5:$E$304,E87,$F$5:$F$304,1,$J$5:$J$304,"&gt;"&amp;J87)+COUNTIFS($E$5:$E$304,E87,$F$5:$F$304,1,$J$5:$J$304,J87,$A$5:$A$304,"&lt;"&amp;A87)+1)</f>
        <v/>
      </c>
      <c r="L87" s="58" t="str">
        <f aca="false">IF(K87="","",E87&amp;"|"&amp;K87)</f>
        <v/>
      </c>
      <c r="M87" s="58" t="str">
        <f aca="false">IF(F87&lt;&gt;1,"",IF(COUNTIFS($C$5:C87,C87,$F$5:F87,1)=1,1,0))</f>
        <v/>
      </c>
      <c r="N87" s="59" t="str">
        <f aca="false">IF(M87&lt;&gt;1,"",SUMIF($C$5:$C$304,C87,$G$5:$G$304))</f>
        <v/>
      </c>
      <c r="O87" s="58" t="str">
        <f aca="false">IF(M87&lt;&gt;1,"",COUNTIFS($M$5:$M$304,1,$N$5:$N$304,"&gt;"&amp;N87)+COUNTIFS($M$5:$M$304,1,$N$5:$N$304,N87,$A$5:$A$304,"&lt;"&amp;A87)+1)</f>
        <v/>
      </c>
    </row>
    <row r="88" customFormat="false" ht="15" hidden="false" customHeight="false" outlineLevel="0" collapsed="false">
      <c r="A88" s="55" t="str">
        <f aca="false">IF(B88="","",ROW()-4)</f>
        <v/>
      </c>
      <c r="B88" s="57"/>
      <c r="C88" s="57"/>
      <c r="D88" s="57"/>
      <c r="E88" s="57"/>
      <c r="F88" s="58" t="str">
        <f aca="false">IF(B88="","",IF(COUNTIF(取込チェック!$C$6:$C$505,B88)&gt;0,1,0))</f>
        <v/>
      </c>
      <c r="G88" s="59" t="str">
        <f aca="false">IF(B88="","",SUMIF(取込チェック!$C$6:$C$505,B88,取込チェック!$D$6:$D$505))</f>
        <v/>
      </c>
      <c r="H88" s="59" t="str">
        <f aca="false">IF(B88="","",SUMIF(取込チェック!$C$6:$C$505,B88,取込チェック!$E$6:$E$505))</f>
        <v/>
      </c>
      <c r="I88" s="59" t="str">
        <f aca="false">IF(B88="","",SUMIF(取込チェック!$C$6:$C$505,B88,取込チェック!$F$6:$F$505))</f>
        <v/>
      </c>
      <c r="J88" s="60" t="str">
        <f aca="false">IF(F88&lt;&gt;1,"",IF(H88=0,-1,G88/H88))</f>
        <v/>
      </c>
      <c r="K88" s="58" t="str">
        <f aca="false">IF(F88&lt;&gt;1,"",COUNTIFS($E$5:$E$304,E88,$F$5:$F$304,1,$J$5:$J$304,"&gt;"&amp;J88)+COUNTIFS($E$5:$E$304,E88,$F$5:$F$304,1,$J$5:$J$304,J88,$A$5:$A$304,"&lt;"&amp;A88)+1)</f>
        <v/>
      </c>
      <c r="L88" s="58" t="str">
        <f aca="false">IF(K88="","",E88&amp;"|"&amp;K88)</f>
        <v/>
      </c>
      <c r="M88" s="58" t="str">
        <f aca="false">IF(F88&lt;&gt;1,"",IF(COUNTIFS($C$5:C88,C88,$F$5:F88,1)=1,1,0))</f>
        <v/>
      </c>
      <c r="N88" s="59" t="str">
        <f aca="false">IF(M88&lt;&gt;1,"",SUMIF($C$5:$C$304,C88,$G$5:$G$304))</f>
        <v/>
      </c>
      <c r="O88" s="58" t="str">
        <f aca="false">IF(M88&lt;&gt;1,"",COUNTIFS($M$5:$M$304,1,$N$5:$N$304,"&gt;"&amp;N88)+COUNTIFS($M$5:$M$304,1,$N$5:$N$304,N88,$A$5:$A$304,"&lt;"&amp;A88)+1)</f>
        <v/>
      </c>
    </row>
    <row r="89" customFormat="false" ht="15" hidden="false" customHeight="false" outlineLevel="0" collapsed="false">
      <c r="A89" s="55" t="str">
        <f aca="false">IF(B89="","",ROW()-4)</f>
        <v/>
      </c>
      <c r="B89" s="57"/>
      <c r="C89" s="57"/>
      <c r="D89" s="57"/>
      <c r="E89" s="57"/>
      <c r="F89" s="58" t="str">
        <f aca="false">IF(B89="","",IF(COUNTIF(取込チェック!$C$6:$C$505,B89)&gt;0,1,0))</f>
        <v/>
      </c>
      <c r="G89" s="59" t="str">
        <f aca="false">IF(B89="","",SUMIF(取込チェック!$C$6:$C$505,B89,取込チェック!$D$6:$D$505))</f>
        <v/>
      </c>
      <c r="H89" s="59" t="str">
        <f aca="false">IF(B89="","",SUMIF(取込チェック!$C$6:$C$505,B89,取込チェック!$E$6:$E$505))</f>
        <v/>
      </c>
      <c r="I89" s="59" t="str">
        <f aca="false">IF(B89="","",SUMIF(取込チェック!$C$6:$C$505,B89,取込チェック!$F$6:$F$505))</f>
        <v/>
      </c>
      <c r="J89" s="60" t="str">
        <f aca="false">IF(F89&lt;&gt;1,"",IF(H89=0,-1,G89/H89))</f>
        <v/>
      </c>
      <c r="K89" s="58" t="str">
        <f aca="false">IF(F89&lt;&gt;1,"",COUNTIFS($E$5:$E$304,E89,$F$5:$F$304,1,$J$5:$J$304,"&gt;"&amp;J89)+COUNTIFS($E$5:$E$304,E89,$F$5:$F$304,1,$J$5:$J$304,J89,$A$5:$A$304,"&lt;"&amp;A89)+1)</f>
        <v/>
      </c>
      <c r="L89" s="58" t="str">
        <f aca="false">IF(K89="","",E89&amp;"|"&amp;K89)</f>
        <v/>
      </c>
      <c r="M89" s="58" t="str">
        <f aca="false">IF(F89&lt;&gt;1,"",IF(COUNTIFS($C$5:C89,C89,$F$5:F89,1)=1,1,0))</f>
        <v/>
      </c>
      <c r="N89" s="59" t="str">
        <f aca="false">IF(M89&lt;&gt;1,"",SUMIF($C$5:$C$304,C89,$G$5:$G$304))</f>
        <v/>
      </c>
      <c r="O89" s="58" t="str">
        <f aca="false">IF(M89&lt;&gt;1,"",COUNTIFS($M$5:$M$304,1,$N$5:$N$304,"&gt;"&amp;N89)+COUNTIFS($M$5:$M$304,1,$N$5:$N$304,N89,$A$5:$A$304,"&lt;"&amp;A89)+1)</f>
        <v/>
      </c>
    </row>
    <row r="90" customFormat="false" ht="15" hidden="false" customHeight="false" outlineLevel="0" collapsed="false">
      <c r="A90" s="55" t="str">
        <f aca="false">IF(B90="","",ROW()-4)</f>
        <v/>
      </c>
      <c r="B90" s="57"/>
      <c r="C90" s="57"/>
      <c r="D90" s="57"/>
      <c r="E90" s="57"/>
      <c r="F90" s="58" t="str">
        <f aca="false">IF(B90="","",IF(COUNTIF(取込チェック!$C$6:$C$505,B90)&gt;0,1,0))</f>
        <v/>
      </c>
      <c r="G90" s="59" t="str">
        <f aca="false">IF(B90="","",SUMIF(取込チェック!$C$6:$C$505,B90,取込チェック!$D$6:$D$505))</f>
        <v/>
      </c>
      <c r="H90" s="59" t="str">
        <f aca="false">IF(B90="","",SUMIF(取込チェック!$C$6:$C$505,B90,取込チェック!$E$6:$E$505))</f>
        <v/>
      </c>
      <c r="I90" s="59" t="str">
        <f aca="false">IF(B90="","",SUMIF(取込チェック!$C$6:$C$505,B90,取込チェック!$F$6:$F$505))</f>
        <v/>
      </c>
      <c r="J90" s="60" t="str">
        <f aca="false">IF(F90&lt;&gt;1,"",IF(H90=0,-1,G90/H90))</f>
        <v/>
      </c>
      <c r="K90" s="58" t="str">
        <f aca="false">IF(F90&lt;&gt;1,"",COUNTIFS($E$5:$E$304,E90,$F$5:$F$304,1,$J$5:$J$304,"&gt;"&amp;J90)+COUNTIFS($E$5:$E$304,E90,$F$5:$F$304,1,$J$5:$J$304,J90,$A$5:$A$304,"&lt;"&amp;A90)+1)</f>
        <v/>
      </c>
      <c r="L90" s="58" t="str">
        <f aca="false">IF(K90="","",E90&amp;"|"&amp;K90)</f>
        <v/>
      </c>
      <c r="M90" s="58" t="str">
        <f aca="false">IF(F90&lt;&gt;1,"",IF(COUNTIFS($C$5:C90,C90,$F$5:F90,1)=1,1,0))</f>
        <v/>
      </c>
      <c r="N90" s="59" t="str">
        <f aca="false">IF(M90&lt;&gt;1,"",SUMIF($C$5:$C$304,C90,$G$5:$G$304))</f>
        <v/>
      </c>
      <c r="O90" s="58" t="str">
        <f aca="false">IF(M90&lt;&gt;1,"",COUNTIFS($M$5:$M$304,1,$N$5:$N$304,"&gt;"&amp;N90)+COUNTIFS($M$5:$M$304,1,$N$5:$N$304,N90,$A$5:$A$304,"&lt;"&amp;A90)+1)</f>
        <v/>
      </c>
    </row>
    <row r="91" customFormat="false" ht="15" hidden="false" customHeight="false" outlineLevel="0" collapsed="false">
      <c r="A91" s="55" t="str">
        <f aca="false">IF(B91="","",ROW()-4)</f>
        <v/>
      </c>
      <c r="B91" s="57"/>
      <c r="C91" s="57"/>
      <c r="D91" s="57"/>
      <c r="E91" s="57"/>
      <c r="F91" s="58" t="str">
        <f aca="false">IF(B91="","",IF(COUNTIF(取込チェック!$C$6:$C$505,B91)&gt;0,1,0))</f>
        <v/>
      </c>
      <c r="G91" s="59" t="str">
        <f aca="false">IF(B91="","",SUMIF(取込チェック!$C$6:$C$505,B91,取込チェック!$D$6:$D$505))</f>
        <v/>
      </c>
      <c r="H91" s="59" t="str">
        <f aca="false">IF(B91="","",SUMIF(取込チェック!$C$6:$C$505,B91,取込チェック!$E$6:$E$505))</f>
        <v/>
      </c>
      <c r="I91" s="59" t="str">
        <f aca="false">IF(B91="","",SUMIF(取込チェック!$C$6:$C$505,B91,取込チェック!$F$6:$F$505))</f>
        <v/>
      </c>
      <c r="J91" s="60" t="str">
        <f aca="false">IF(F91&lt;&gt;1,"",IF(H91=0,-1,G91/H91))</f>
        <v/>
      </c>
      <c r="K91" s="58" t="str">
        <f aca="false">IF(F91&lt;&gt;1,"",COUNTIFS($E$5:$E$304,E91,$F$5:$F$304,1,$J$5:$J$304,"&gt;"&amp;J91)+COUNTIFS($E$5:$E$304,E91,$F$5:$F$304,1,$J$5:$J$304,J91,$A$5:$A$304,"&lt;"&amp;A91)+1)</f>
        <v/>
      </c>
      <c r="L91" s="58" t="str">
        <f aca="false">IF(K91="","",E91&amp;"|"&amp;K91)</f>
        <v/>
      </c>
      <c r="M91" s="58" t="str">
        <f aca="false">IF(F91&lt;&gt;1,"",IF(COUNTIFS($C$5:C91,C91,$F$5:F91,1)=1,1,0))</f>
        <v/>
      </c>
      <c r="N91" s="59" t="str">
        <f aca="false">IF(M91&lt;&gt;1,"",SUMIF($C$5:$C$304,C91,$G$5:$G$304))</f>
        <v/>
      </c>
      <c r="O91" s="58" t="str">
        <f aca="false">IF(M91&lt;&gt;1,"",COUNTIFS($M$5:$M$304,1,$N$5:$N$304,"&gt;"&amp;N91)+COUNTIFS($M$5:$M$304,1,$N$5:$N$304,N91,$A$5:$A$304,"&lt;"&amp;A91)+1)</f>
        <v/>
      </c>
    </row>
    <row r="92" customFormat="false" ht="15" hidden="false" customHeight="false" outlineLevel="0" collapsed="false">
      <c r="A92" s="55" t="str">
        <f aca="false">IF(B92="","",ROW()-4)</f>
        <v/>
      </c>
      <c r="B92" s="57"/>
      <c r="C92" s="57"/>
      <c r="D92" s="57"/>
      <c r="E92" s="57"/>
      <c r="F92" s="58" t="str">
        <f aca="false">IF(B92="","",IF(COUNTIF(取込チェック!$C$6:$C$505,B92)&gt;0,1,0))</f>
        <v/>
      </c>
      <c r="G92" s="59" t="str">
        <f aca="false">IF(B92="","",SUMIF(取込チェック!$C$6:$C$505,B92,取込チェック!$D$6:$D$505))</f>
        <v/>
      </c>
      <c r="H92" s="59" t="str">
        <f aca="false">IF(B92="","",SUMIF(取込チェック!$C$6:$C$505,B92,取込チェック!$E$6:$E$505))</f>
        <v/>
      </c>
      <c r="I92" s="59" t="str">
        <f aca="false">IF(B92="","",SUMIF(取込チェック!$C$6:$C$505,B92,取込チェック!$F$6:$F$505))</f>
        <v/>
      </c>
      <c r="J92" s="60" t="str">
        <f aca="false">IF(F92&lt;&gt;1,"",IF(H92=0,-1,G92/H92))</f>
        <v/>
      </c>
      <c r="K92" s="58" t="str">
        <f aca="false">IF(F92&lt;&gt;1,"",COUNTIFS($E$5:$E$304,E92,$F$5:$F$304,1,$J$5:$J$304,"&gt;"&amp;J92)+COUNTIFS($E$5:$E$304,E92,$F$5:$F$304,1,$J$5:$J$304,J92,$A$5:$A$304,"&lt;"&amp;A92)+1)</f>
        <v/>
      </c>
      <c r="L92" s="58" t="str">
        <f aca="false">IF(K92="","",E92&amp;"|"&amp;K92)</f>
        <v/>
      </c>
      <c r="M92" s="58" t="str">
        <f aca="false">IF(F92&lt;&gt;1,"",IF(COUNTIFS($C$5:C92,C92,$F$5:F92,1)=1,1,0))</f>
        <v/>
      </c>
      <c r="N92" s="59" t="str">
        <f aca="false">IF(M92&lt;&gt;1,"",SUMIF($C$5:$C$304,C92,$G$5:$G$304))</f>
        <v/>
      </c>
      <c r="O92" s="58" t="str">
        <f aca="false">IF(M92&lt;&gt;1,"",COUNTIFS($M$5:$M$304,1,$N$5:$N$304,"&gt;"&amp;N92)+COUNTIFS($M$5:$M$304,1,$N$5:$N$304,N92,$A$5:$A$304,"&lt;"&amp;A92)+1)</f>
        <v/>
      </c>
    </row>
    <row r="93" customFormat="false" ht="15" hidden="false" customHeight="false" outlineLevel="0" collapsed="false">
      <c r="A93" s="55" t="str">
        <f aca="false">IF(B93="","",ROW()-4)</f>
        <v/>
      </c>
      <c r="B93" s="57"/>
      <c r="C93" s="57"/>
      <c r="D93" s="57"/>
      <c r="E93" s="57"/>
      <c r="F93" s="58" t="str">
        <f aca="false">IF(B93="","",IF(COUNTIF(取込チェック!$C$6:$C$505,B93)&gt;0,1,0))</f>
        <v/>
      </c>
      <c r="G93" s="59" t="str">
        <f aca="false">IF(B93="","",SUMIF(取込チェック!$C$6:$C$505,B93,取込チェック!$D$6:$D$505))</f>
        <v/>
      </c>
      <c r="H93" s="59" t="str">
        <f aca="false">IF(B93="","",SUMIF(取込チェック!$C$6:$C$505,B93,取込チェック!$E$6:$E$505))</f>
        <v/>
      </c>
      <c r="I93" s="59" t="str">
        <f aca="false">IF(B93="","",SUMIF(取込チェック!$C$6:$C$505,B93,取込チェック!$F$6:$F$505))</f>
        <v/>
      </c>
      <c r="J93" s="60" t="str">
        <f aca="false">IF(F93&lt;&gt;1,"",IF(H93=0,-1,G93/H93))</f>
        <v/>
      </c>
      <c r="K93" s="58" t="str">
        <f aca="false">IF(F93&lt;&gt;1,"",COUNTIFS($E$5:$E$304,E93,$F$5:$F$304,1,$J$5:$J$304,"&gt;"&amp;J93)+COUNTIFS($E$5:$E$304,E93,$F$5:$F$304,1,$J$5:$J$304,J93,$A$5:$A$304,"&lt;"&amp;A93)+1)</f>
        <v/>
      </c>
      <c r="L93" s="58" t="str">
        <f aca="false">IF(K93="","",E93&amp;"|"&amp;K93)</f>
        <v/>
      </c>
      <c r="M93" s="58" t="str">
        <f aca="false">IF(F93&lt;&gt;1,"",IF(COUNTIFS($C$5:C93,C93,$F$5:F93,1)=1,1,0))</f>
        <v/>
      </c>
      <c r="N93" s="59" t="str">
        <f aca="false">IF(M93&lt;&gt;1,"",SUMIF($C$5:$C$304,C93,$G$5:$G$304))</f>
        <v/>
      </c>
      <c r="O93" s="58" t="str">
        <f aca="false">IF(M93&lt;&gt;1,"",COUNTIFS($M$5:$M$304,1,$N$5:$N$304,"&gt;"&amp;N93)+COUNTIFS($M$5:$M$304,1,$N$5:$N$304,N93,$A$5:$A$304,"&lt;"&amp;A93)+1)</f>
        <v/>
      </c>
    </row>
    <row r="94" customFormat="false" ht="15" hidden="false" customHeight="false" outlineLevel="0" collapsed="false">
      <c r="A94" s="55" t="str">
        <f aca="false">IF(B94="","",ROW()-4)</f>
        <v/>
      </c>
      <c r="B94" s="57"/>
      <c r="C94" s="57"/>
      <c r="D94" s="57"/>
      <c r="E94" s="57"/>
      <c r="F94" s="58" t="str">
        <f aca="false">IF(B94="","",IF(COUNTIF(取込チェック!$C$6:$C$505,B94)&gt;0,1,0))</f>
        <v/>
      </c>
      <c r="G94" s="59" t="str">
        <f aca="false">IF(B94="","",SUMIF(取込チェック!$C$6:$C$505,B94,取込チェック!$D$6:$D$505))</f>
        <v/>
      </c>
      <c r="H94" s="59" t="str">
        <f aca="false">IF(B94="","",SUMIF(取込チェック!$C$6:$C$505,B94,取込チェック!$E$6:$E$505))</f>
        <v/>
      </c>
      <c r="I94" s="59" t="str">
        <f aca="false">IF(B94="","",SUMIF(取込チェック!$C$6:$C$505,B94,取込チェック!$F$6:$F$505))</f>
        <v/>
      </c>
      <c r="J94" s="60" t="str">
        <f aca="false">IF(F94&lt;&gt;1,"",IF(H94=0,-1,G94/H94))</f>
        <v/>
      </c>
      <c r="K94" s="58" t="str">
        <f aca="false">IF(F94&lt;&gt;1,"",COUNTIFS($E$5:$E$304,E94,$F$5:$F$304,1,$J$5:$J$304,"&gt;"&amp;J94)+COUNTIFS($E$5:$E$304,E94,$F$5:$F$304,1,$J$5:$J$304,J94,$A$5:$A$304,"&lt;"&amp;A94)+1)</f>
        <v/>
      </c>
      <c r="L94" s="58" t="str">
        <f aca="false">IF(K94="","",E94&amp;"|"&amp;K94)</f>
        <v/>
      </c>
      <c r="M94" s="58" t="str">
        <f aca="false">IF(F94&lt;&gt;1,"",IF(COUNTIFS($C$5:C94,C94,$F$5:F94,1)=1,1,0))</f>
        <v/>
      </c>
      <c r="N94" s="59" t="str">
        <f aca="false">IF(M94&lt;&gt;1,"",SUMIF($C$5:$C$304,C94,$G$5:$G$304))</f>
        <v/>
      </c>
      <c r="O94" s="58" t="str">
        <f aca="false">IF(M94&lt;&gt;1,"",COUNTIFS($M$5:$M$304,1,$N$5:$N$304,"&gt;"&amp;N94)+COUNTIFS($M$5:$M$304,1,$N$5:$N$304,N94,$A$5:$A$304,"&lt;"&amp;A94)+1)</f>
        <v/>
      </c>
    </row>
    <row r="95" customFormat="false" ht="15" hidden="false" customHeight="false" outlineLevel="0" collapsed="false">
      <c r="A95" s="55" t="str">
        <f aca="false">IF(B95="","",ROW()-4)</f>
        <v/>
      </c>
      <c r="B95" s="57"/>
      <c r="C95" s="57"/>
      <c r="D95" s="57"/>
      <c r="E95" s="57"/>
      <c r="F95" s="58" t="str">
        <f aca="false">IF(B95="","",IF(COUNTIF(取込チェック!$C$6:$C$505,B95)&gt;0,1,0))</f>
        <v/>
      </c>
      <c r="G95" s="59" t="str">
        <f aca="false">IF(B95="","",SUMIF(取込チェック!$C$6:$C$505,B95,取込チェック!$D$6:$D$505))</f>
        <v/>
      </c>
      <c r="H95" s="59" t="str">
        <f aca="false">IF(B95="","",SUMIF(取込チェック!$C$6:$C$505,B95,取込チェック!$E$6:$E$505))</f>
        <v/>
      </c>
      <c r="I95" s="59" t="str">
        <f aca="false">IF(B95="","",SUMIF(取込チェック!$C$6:$C$505,B95,取込チェック!$F$6:$F$505))</f>
        <v/>
      </c>
      <c r="J95" s="60" t="str">
        <f aca="false">IF(F95&lt;&gt;1,"",IF(H95=0,-1,G95/H95))</f>
        <v/>
      </c>
      <c r="K95" s="58" t="str">
        <f aca="false">IF(F95&lt;&gt;1,"",COUNTIFS($E$5:$E$304,E95,$F$5:$F$304,1,$J$5:$J$304,"&gt;"&amp;J95)+COUNTIFS($E$5:$E$304,E95,$F$5:$F$304,1,$J$5:$J$304,J95,$A$5:$A$304,"&lt;"&amp;A95)+1)</f>
        <v/>
      </c>
      <c r="L95" s="58" t="str">
        <f aca="false">IF(K95="","",E95&amp;"|"&amp;K95)</f>
        <v/>
      </c>
      <c r="M95" s="58" t="str">
        <f aca="false">IF(F95&lt;&gt;1,"",IF(COUNTIFS($C$5:C95,C95,$F$5:F95,1)=1,1,0))</f>
        <v/>
      </c>
      <c r="N95" s="59" t="str">
        <f aca="false">IF(M95&lt;&gt;1,"",SUMIF($C$5:$C$304,C95,$G$5:$G$304))</f>
        <v/>
      </c>
      <c r="O95" s="58" t="str">
        <f aca="false">IF(M95&lt;&gt;1,"",COUNTIFS($M$5:$M$304,1,$N$5:$N$304,"&gt;"&amp;N95)+COUNTIFS($M$5:$M$304,1,$N$5:$N$304,N95,$A$5:$A$304,"&lt;"&amp;A95)+1)</f>
        <v/>
      </c>
    </row>
    <row r="96" customFormat="false" ht="15" hidden="false" customHeight="false" outlineLevel="0" collapsed="false">
      <c r="A96" s="55" t="str">
        <f aca="false">IF(B96="","",ROW()-4)</f>
        <v/>
      </c>
      <c r="B96" s="57"/>
      <c r="C96" s="57"/>
      <c r="D96" s="57"/>
      <c r="E96" s="57"/>
      <c r="F96" s="58" t="str">
        <f aca="false">IF(B96="","",IF(COUNTIF(取込チェック!$C$6:$C$505,B96)&gt;0,1,0))</f>
        <v/>
      </c>
      <c r="G96" s="59" t="str">
        <f aca="false">IF(B96="","",SUMIF(取込チェック!$C$6:$C$505,B96,取込チェック!$D$6:$D$505))</f>
        <v/>
      </c>
      <c r="H96" s="59" t="str">
        <f aca="false">IF(B96="","",SUMIF(取込チェック!$C$6:$C$505,B96,取込チェック!$E$6:$E$505))</f>
        <v/>
      </c>
      <c r="I96" s="59" t="str">
        <f aca="false">IF(B96="","",SUMIF(取込チェック!$C$6:$C$505,B96,取込チェック!$F$6:$F$505))</f>
        <v/>
      </c>
      <c r="J96" s="60" t="str">
        <f aca="false">IF(F96&lt;&gt;1,"",IF(H96=0,-1,G96/H96))</f>
        <v/>
      </c>
      <c r="K96" s="58" t="str">
        <f aca="false">IF(F96&lt;&gt;1,"",COUNTIFS($E$5:$E$304,E96,$F$5:$F$304,1,$J$5:$J$304,"&gt;"&amp;J96)+COUNTIFS($E$5:$E$304,E96,$F$5:$F$304,1,$J$5:$J$304,J96,$A$5:$A$304,"&lt;"&amp;A96)+1)</f>
        <v/>
      </c>
      <c r="L96" s="58" t="str">
        <f aca="false">IF(K96="","",E96&amp;"|"&amp;K96)</f>
        <v/>
      </c>
      <c r="M96" s="58" t="str">
        <f aca="false">IF(F96&lt;&gt;1,"",IF(COUNTIFS($C$5:C96,C96,$F$5:F96,1)=1,1,0))</f>
        <v/>
      </c>
      <c r="N96" s="59" t="str">
        <f aca="false">IF(M96&lt;&gt;1,"",SUMIF($C$5:$C$304,C96,$G$5:$G$304))</f>
        <v/>
      </c>
      <c r="O96" s="58" t="str">
        <f aca="false">IF(M96&lt;&gt;1,"",COUNTIFS($M$5:$M$304,1,$N$5:$N$304,"&gt;"&amp;N96)+COUNTIFS($M$5:$M$304,1,$N$5:$N$304,N96,$A$5:$A$304,"&lt;"&amp;A96)+1)</f>
        <v/>
      </c>
    </row>
    <row r="97" customFormat="false" ht="15" hidden="false" customHeight="false" outlineLevel="0" collapsed="false">
      <c r="A97" s="55" t="str">
        <f aca="false">IF(B97="","",ROW()-4)</f>
        <v/>
      </c>
      <c r="B97" s="57"/>
      <c r="C97" s="57"/>
      <c r="D97" s="57"/>
      <c r="E97" s="57"/>
      <c r="F97" s="58" t="str">
        <f aca="false">IF(B97="","",IF(COUNTIF(取込チェック!$C$6:$C$505,B97)&gt;0,1,0))</f>
        <v/>
      </c>
      <c r="G97" s="59" t="str">
        <f aca="false">IF(B97="","",SUMIF(取込チェック!$C$6:$C$505,B97,取込チェック!$D$6:$D$505))</f>
        <v/>
      </c>
      <c r="H97" s="59" t="str">
        <f aca="false">IF(B97="","",SUMIF(取込チェック!$C$6:$C$505,B97,取込チェック!$E$6:$E$505))</f>
        <v/>
      </c>
      <c r="I97" s="59" t="str">
        <f aca="false">IF(B97="","",SUMIF(取込チェック!$C$6:$C$505,B97,取込チェック!$F$6:$F$505))</f>
        <v/>
      </c>
      <c r="J97" s="60" t="str">
        <f aca="false">IF(F97&lt;&gt;1,"",IF(H97=0,-1,G97/H97))</f>
        <v/>
      </c>
      <c r="K97" s="58" t="str">
        <f aca="false">IF(F97&lt;&gt;1,"",COUNTIFS($E$5:$E$304,E97,$F$5:$F$304,1,$J$5:$J$304,"&gt;"&amp;J97)+COUNTIFS($E$5:$E$304,E97,$F$5:$F$304,1,$J$5:$J$304,J97,$A$5:$A$304,"&lt;"&amp;A97)+1)</f>
        <v/>
      </c>
      <c r="L97" s="58" t="str">
        <f aca="false">IF(K97="","",E97&amp;"|"&amp;K97)</f>
        <v/>
      </c>
      <c r="M97" s="58" t="str">
        <f aca="false">IF(F97&lt;&gt;1,"",IF(COUNTIFS($C$5:C97,C97,$F$5:F97,1)=1,1,0))</f>
        <v/>
      </c>
      <c r="N97" s="59" t="str">
        <f aca="false">IF(M97&lt;&gt;1,"",SUMIF($C$5:$C$304,C97,$G$5:$G$304))</f>
        <v/>
      </c>
      <c r="O97" s="58" t="str">
        <f aca="false">IF(M97&lt;&gt;1,"",COUNTIFS($M$5:$M$304,1,$N$5:$N$304,"&gt;"&amp;N97)+COUNTIFS($M$5:$M$304,1,$N$5:$N$304,N97,$A$5:$A$304,"&lt;"&amp;A97)+1)</f>
        <v/>
      </c>
    </row>
    <row r="98" customFormat="false" ht="15" hidden="false" customHeight="false" outlineLevel="0" collapsed="false">
      <c r="A98" s="55" t="str">
        <f aca="false">IF(B98="","",ROW()-4)</f>
        <v/>
      </c>
      <c r="B98" s="57"/>
      <c r="C98" s="57"/>
      <c r="D98" s="57"/>
      <c r="E98" s="57"/>
      <c r="F98" s="58" t="str">
        <f aca="false">IF(B98="","",IF(COUNTIF(取込チェック!$C$6:$C$505,B98)&gt;0,1,0))</f>
        <v/>
      </c>
      <c r="G98" s="59" t="str">
        <f aca="false">IF(B98="","",SUMIF(取込チェック!$C$6:$C$505,B98,取込チェック!$D$6:$D$505))</f>
        <v/>
      </c>
      <c r="H98" s="59" t="str">
        <f aca="false">IF(B98="","",SUMIF(取込チェック!$C$6:$C$505,B98,取込チェック!$E$6:$E$505))</f>
        <v/>
      </c>
      <c r="I98" s="59" t="str">
        <f aca="false">IF(B98="","",SUMIF(取込チェック!$C$6:$C$505,B98,取込チェック!$F$6:$F$505))</f>
        <v/>
      </c>
      <c r="J98" s="60" t="str">
        <f aca="false">IF(F98&lt;&gt;1,"",IF(H98=0,-1,G98/H98))</f>
        <v/>
      </c>
      <c r="K98" s="58" t="str">
        <f aca="false">IF(F98&lt;&gt;1,"",COUNTIFS($E$5:$E$304,E98,$F$5:$F$304,1,$J$5:$J$304,"&gt;"&amp;J98)+COUNTIFS($E$5:$E$304,E98,$F$5:$F$304,1,$J$5:$J$304,J98,$A$5:$A$304,"&lt;"&amp;A98)+1)</f>
        <v/>
      </c>
      <c r="L98" s="58" t="str">
        <f aca="false">IF(K98="","",E98&amp;"|"&amp;K98)</f>
        <v/>
      </c>
      <c r="M98" s="58" t="str">
        <f aca="false">IF(F98&lt;&gt;1,"",IF(COUNTIFS($C$5:C98,C98,$F$5:F98,1)=1,1,0))</f>
        <v/>
      </c>
      <c r="N98" s="59" t="str">
        <f aca="false">IF(M98&lt;&gt;1,"",SUMIF($C$5:$C$304,C98,$G$5:$G$304))</f>
        <v/>
      </c>
      <c r="O98" s="58" t="str">
        <f aca="false">IF(M98&lt;&gt;1,"",COUNTIFS($M$5:$M$304,1,$N$5:$N$304,"&gt;"&amp;N98)+COUNTIFS($M$5:$M$304,1,$N$5:$N$304,N98,$A$5:$A$304,"&lt;"&amp;A98)+1)</f>
        <v/>
      </c>
    </row>
    <row r="99" customFormat="false" ht="15" hidden="false" customHeight="false" outlineLevel="0" collapsed="false">
      <c r="A99" s="55" t="str">
        <f aca="false">IF(B99="","",ROW()-4)</f>
        <v/>
      </c>
      <c r="B99" s="57"/>
      <c r="C99" s="57"/>
      <c r="D99" s="57"/>
      <c r="E99" s="57"/>
      <c r="F99" s="58" t="str">
        <f aca="false">IF(B99="","",IF(COUNTIF(取込チェック!$C$6:$C$505,B99)&gt;0,1,0))</f>
        <v/>
      </c>
      <c r="G99" s="59" t="str">
        <f aca="false">IF(B99="","",SUMIF(取込チェック!$C$6:$C$505,B99,取込チェック!$D$6:$D$505))</f>
        <v/>
      </c>
      <c r="H99" s="59" t="str">
        <f aca="false">IF(B99="","",SUMIF(取込チェック!$C$6:$C$505,B99,取込チェック!$E$6:$E$505))</f>
        <v/>
      </c>
      <c r="I99" s="59" t="str">
        <f aca="false">IF(B99="","",SUMIF(取込チェック!$C$6:$C$505,B99,取込チェック!$F$6:$F$505))</f>
        <v/>
      </c>
      <c r="J99" s="60" t="str">
        <f aca="false">IF(F99&lt;&gt;1,"",IF(H99=0,-1,G99/H99))</f>
        <v/>
      </c>
      <c r="K99" s="58" t="str">
        <f aca="false">IF(F99&lt;&gt;1,"",COUNTIFS($E$5:$E$304,E99,$F$5:$F$304,1,$J$5:$J$304,"&gt;"&amp;J99)+COUNTIFS($E$5:$E$304,E99,$F$5:$F$304,1,$J$5:$J$304,J99,$A$5:$A$304,"&lt;"&amp;A99)+1)</f>
        <v/>
      </c>
      <c r="L99" s="58" t="str">
        <f aca="false">IF(K99="","",E99&amp;"|"&amp;K99)</f>
        <v/>
      </c>
      <c r="M99" s="58" t="str">
        <f aca="false">IF(F99&lt;&gt;1,"",IF(COUNTIFS($C$5:C99,C99,$F$5:F99,1)=1,1,0))</f>
        <v/>
      </c>
      <c r="N99" s="59" t="str">
        <f aca="false">IF(M99&lt;&gt;1,"",SUMIF($C$5:$C$304,C99,$G$5:$G$304))</f>
        <v/>
      </c>
      <c r="O99" s="58" t="str">
        <f aca="false">IF(M99&lt;&gt;1,"",COUNTIFS($M$5:$M$304,1,$N$5:$N$304,"&gt;"&amp;N99)+COUNTIFS($M$5:$M$304,1,$N$5:$N$304,N99,$A$5:$A$304,"&lt;"&amp;A99)+1)</f>
        <v/>
      </c>
    </row>
    <row r="100" customFormat="false" ht="15" hidden="false" customHeight="false" outlineLevel="0" collapsed="false">
      <c r="A100" s="55" t="str">
        <f aca="false">IF(B100="","",ROW()-4)</f>
        <v/>
      </c>
      <c r="B100" s="57"/>
      <c r="C100" s="57"/>
      <c r="D100" s="57"/>
      <c r="E100" s="57"/>
      <c r="F100" s="58" t="str">
        <f aca="false">IF(B100="","",IF(COUNTIF(取込チェック!$C$6:$C$505,B100)&gt;0,1,0))</f>
        <v/>
      </c>
      <c r="G100" s="59" t="str">
        <f aca="false">IF(B100="","",SUMIF(取込チェック!$C$6:$C$505,B100,取込チェック!$D$6:$D$505))</f>
        <v/>
      </c>
      <c r="H100" s="59" t="str">
        <f aca="false">IF(B100="","",SUMIF(取込チェック!$C$6:$C$505,B100,取込チェック!$E$6:$E$505))</f>
        <v/>
      </c>
      <c r="I100" s="59" t="str">
        <f aca="false">IF(B100="","",SUMIF(取込チェック!$C$6:$C$505,B100,取込チェック!$F$6:$F$505))</f>
        <v/>
      </c>
      <c r="J100" s="60" t="str">
        <f aca="false">IF(F100&lt;&gt;1,"",IF(H100=0,-1,G100/H100))</f>
        <v/>
      </c>
      <c r="K100" s="58" t="str">
        <f aca="false">IF(F100&lt;&gt;1,"",COUNTIFS($E$5:$E$304,E100,$F$5:$F$304,1,$J$5:$J$304,"&gt;"&amp;J100)+COUNTIFS($E$5:$E$304,E100,$F$5:$F$304,1,$J$5:$J$304,J100,$A$5:$A$304,"&lt;"&amp;A100)+1)</f>
        <v/>
      </c>
      <c r="L100" s="58" t="str">
        <f aca="false">IF(K100="","",E100&amp;"|"&amp;K100)</f>
        <v/>
      </c>
      <c r="M100" s="58" t="str">
        <f aca="false">IF(F100&lt;&gt;1,"",IF(COUNTIFS($C$5:C100,C100,$F$5:F100,1)=1,1,0))</f>
        <v/>
      </c>
      <c r="N100" s="59" t="str">
        <f aca="false">IF(M100&lt;&gt;1,"",SUMIF($C$5:$C$304,C100,$G$5:$G$304))</f>
        <v/>
      </c>
      <c r="O100" s="58" t="str">
        <f aca="false">IF(M100&lt;&gt;1,"",COUNTIFS($M$5:$M$304,1,$N$5:$N$304,"&gt;"&amp;N100)+COUNTIFS($M$5:$M$304,1,$N$5:$N$304,N100,$A$5:$A$304,"&lt;"&amp;A100)+1)</f>
        <v/>
      </c>
    </row>
    <row r="101" customFormat="false" ht="15" hidden="false" customHeight="false" outlineLevel="0" collapsed="false">
      <c r="A101" s="55" t="str">
        <f aca="false">IF(B101="","",ROW()-4)</f>
        <v/>
      </c>
      <c r="B101" s="57"/>
      <c r="C101" s="57"/>
      <c r="D101" s="57"/>
      <c r="E101" s="57"/>
      <c r="F101" s="58" t="str">
        <f aca="false">IF(B101="","",IF(COUNTIF(取込チェック!$C$6:$C$505,B101)&gt;0,1,0))</f>
        <v/>
      </c>
      <c r="G101" s="59" t="str">
        <f aca="false">IF(B101="","",SUMIF(取込チェック!$C$6:$C$505,B101,取込チェック!$D$6:$D$505))</f>
        <v/>
      </c>
      <c r="H101" s="59" t="str">
        <f aca="false">IF(B101="","",SUMIF(取込チェック!$C$6:$C$505,B101,取込チェック!$E$6:$E$505))</f>
        <v/>
      </c>
      <c r="I101" s="59" t="str">
        <f aca="false">IF(B101="","",SUMIF(取込チェック!$C$6:$C$505,B101,取込チェック!$F$6:$F$505))</f>
        <v/>
      </c>
      <c r="J101" s="60" t="str">
        <f aca="false">IF(F101&lt;&gt;1,"",IF(H101=0,-1,G101/H101))</f>
        <v/>
      </c>
      <c r="K101" s="58" t="str">
        <f aca="false">IF(F101&lt;&gt;1,"",COUNTIFS($E$5:$E$304,E101,$F$5:$F$304,1,$J$5:$J$304,"&gt;"&amp;J101)+COUNTIFS($E$5:$E$304,E101,$F$5:$F$304,1,$J$5:$J$304,J101,$A$5:$A$304,"&lt;"&amp;A101)+1)</f>
        <v/>
      </c>
      <c r="L101" s="58" t="str">
        <f aca="false">IF(K101="","",E101&amp;"|"&amp;K101)</f>
        <v/>
      </c>
      <c r="M101" s="58" t="str">
        <f aca="false">IF(F101&lt;&gt;1,"",IF(COUNTIFS($C$5:C101,C101,$F$5:F101,1)=1,1,0))</f>
        <v/>
      </c>
      <c r="N101" s="59" t="str">
        <f aca="false">IF(M101&lt;&gt;1,"",SUMIF($C$5:$C$304,C101,$G$5:$G$304))</f>
        <v/>
      </c>
      <c r="O101" s="58" t="str">
        <f aca="false">IF(M101&lt;&gt;1,"",COUNTIFS($M$5:$M$304,1,$N$5:$N$304,"&gt;"&amp;N101)+COUNTIFS($M$5:$M$304,1,$N$5:$N$304,N101,$A$5:$A$304,"&lt;"&amp;A101)+1)</f>
        <v/>
      </c>
    </row>
    <row r="102" customFormat="false" ht="15" hidden="false" customHeight="false" outlineLevel="0" collapsed="false">
      <c r="A102" s="55" t="str">
        <f aca="false">IF(B102="","",ROW()-4)</f>
        <v/>
      </c>
      <c r="B102" s="57"/>
      <c r="C102" s="57"/>
      <c r="D102" s="57"/>
      <c r="E102" s="57"/>
      <c r="F102" s="58" t="str">
        <f aca="false">IF(B102="","",IF(COUNTIF(取込チェック!$C$6:$C$505,B102)&gt;0,1,0))</f>
        <v/>
      </c>
      <c r="G102" s="59" t="str">
        <f aca="false">IF(B102="","",SUMIF(取込チェック!$C$6:$C$505,B102,取込チェック!$D$6:$D$505))</f>
        <v/>
      </c>
      <c r="H102" s="59" t="str">
        <f aca="false">IF(B102="","",SUMIF(取込チェック!$C$6:$C$505,B102,取込チェック!$E$6:$E$505))</f>
        <v/>
      </c>
      <c r="I102" s="59" t="str">
        <f aca="false">IF(B102="","",SUMIF(取込チェック!$C$6:$C$505,B102,取込チェック!$F$6:$F$505))</f>
        <v/>
      </c>
      <c r="J102" s="60" t="str">
        <f aca="false">IF(F102&lt;&gt;1,"",IF(H102=0,-1,G102/H102))</f>
        <v/>
      </c>
      <c r="K102" s="58" t="str">
        <f aca="false">IF(F102&lt;&gt;1,"",COUNTIFS($E$5:$E$304,E102,$F$5:$F$304,1,$J$5:$J$304,"&gt;"&amp;J102)+COUNTIFS($E$5:$E$304,E102,$F$5:$F$304,1,$J$5:$J$304,J102,$A$5:$A$304,"&lt;"&amp;A102)+1)</f>
        <v/>
      </c>
      <c r="L102" s="58" t="str">
        <f aca="false">IF(K102="","",E102&amp;"|"&amp;K102)</f>
        <v/>
      </c>
      <c r="M102" s="58" t="str">
        <f aca="false">IF(F102&lt;&gt;1,"",IF(COUNTIFS($C$5:C102,C102,$F$5:F102,1)=1,1,0))</f>
        <v/>
      </c>
      <c r="N102" s="59" t="str">
        <f aca="false">IF(M102&lt;&gt;1,"",SUMIF($C$5:$C$304,C102,$G$5:$G$304))</f>
        <v/>
      </c>
      <c r="O102" s="58" t="str">
        <f aca="false">IF(M102&lt;&gt;1,"",COUNTIFS($M$5:$M$304,1,$N$5:$N$304,"&gt;"&amp;N102)+COUNTIFS($M$5:$M$304,1,$N$5:$N$304,N102,$A$5:$A$304,"&lt;"&amp;A102)+1)</f>
        <v/>
      </c>
    </row>
    <row r="103" customFormat="false" ht="15" hidden="false" customHeight="false" outlineLevel="0" collapsed="false">
      <c r="A103" s="55" t="str">
        <f aca="false">IF(B103="","",ROW()-4)</f>
        <v/>
      </c>
      <c r="B103" s="57"/>
      <c r="C103" s="57"/>
      <c r="D103" s="57"/>
      <c r="E103" s="57"/>
      <c r="F103" s="58" t="str">
        <f aca="false">IF(B103="","",IF(COUNTIF(取込チェック!$C$6:$C$505,B103)&gt;0,1,0))</f>
        <v/>
      </c>
      <c r="G103" s="59" t="str">
        <f aca="false">IF(B103="","",SUMIF(取込チェック!$C$6:$C$505,B103,取込チェック!$D$6:$D$505))</f>
        <v/>
      </c>
      <c r="H103" s="59" t="str">
        <f aca="false">IF(B103="","",SUMIF(取込チェック!$C$6:$C$505,B103,取込チェック!$E$6:$E$505))</f>
        <v/>
      </c>
      <c r="I103" s="59" t="str">
        <f aca="false">IF(B103="","",SUMIF(取込チェック!$C$6:$C$505,B103,取込チェック!$F$6:$F$505))</f>
        <v/>
      </c>
      <c r="J103" s="60" t="str">
        <f aca="false">IF(F103&lt;&gt;1,"",IF(H103=0,-1,G103/H103))</f>
        <v/>
      </c>
      <c r="K103" s="58" t="str">
        <f aca="false">IF(F103&lt;&gt;1,"",COUNTIFS($E$5:$E$304,E103,$F$5:$F$304,1,$J$5:$J$304,"&gt;"&amp;J103)+COUNTIFS($E$5:$E$304,E103,$F$5:$F$304,1,$J$5:$J$304,J103,$A$5:$A$304,"&lt;"&amp;A103)+1)</f>
        <v/>
      </c>
      <c r="L103" s="58" t="str">
        <f aca="false">IF(K103="","",E103&amp;"|"&amp;K103)</f>
        <v/>
      </c>
      <c r="M103" s="58" t="str">
        <f aca="false">IF(F103&lt;&gt;1,"",IF(COUNTIFS($C$5:C103,C103,$F$5:F103,1)=1,1,0))</f>
        <v/>
      </c>
      <c r="N103" s="59" t="str">
        <f aca="false">IF(M103&lt;&gt;1,"",SUMIF($C$5:$C$304,C103,$G$5:$G$304))</f>
        <v/>
      </c>
      <c r="O103" s="58" t="str">
        <f aca="false">IF(M103&lt;&gt;1,"",COUNTIFS($M$5:$M$304,1,$N$5:$N$304,"&gt;"&amp;N103)+COUNTIFS($M$5:$M$304,1,$N$5:$N$304,N103,$A$5:$A$304,"&lt;"&amp;A103)+1)</f>
        <v/>
      </c>
    </row>
    <row r="104" customFormat="false" ht="15" hidden="false" customHeight="false" outlineLevel="0" collapsed="false">
      <c r="A104" s="55" t="str">
        <f aca="false">IF(B104="","",ROW()-4)</f>
        <v/>
      </c>
      <c r="B104" s="57"/>
      <c r="C104" s="57"/>
      <c r="D104" s="57"/>
      <c r="E104" s="57"/>
      <c r="F104" s="58" t="str">
        <f aca="false">IF(B104="","",IF(COUNTIF(取込チェック!$C$6:$C$505,B104)&gt;0,1,0))</f>
        <v/>
      </c>
      <c r="G104" s="59" t="str">
        <f aca="false">IF(B104="","",SUMIF(取込チェック!$C$6:$C$505,B104,取込チェック!$D$6:$D$505))</f>
        <v/>
      </c>
      <c r="H104" s="59" t="str">
        <f aca="false">IF(B104="","",SUMIF(取込チェック!$C$6:$C$505,B104,取込チェック!$E$6:$E$505))</f>
        <v/>
      </c>
      <c r="I104" s="59" t="str">
        <f aca="false">IF(B104="","",SUMIF(取込チェック!$C$6:$C$505,B104,取込チェック!$F$6:$F$505))</f>
        <v/>
      </c>
      <c r="J104" s="60" t="str">
        <f aca="false">IF(F104&lt;&gt;1,"",IF(H104=0,-1,G104/H104))</f>
        <v/>
      </c>
      <c r="K104" s="58" t="str">
        <f aca="false">IF(F104&lt;&gt;1,"",COUNTIFS($E$5:$E$304,E104,$F$5:$F$304,1,$J$5:$J$304,"&gt;"&amp;J104)+COUNTIFS($E$5:$E$304,E104,$F$5:$F$304,1,$J$5:$J$304,J104,$A$5:$A$304,"&lt;"&amp;A104)+1)</f>
        <v/>
      </c>
      <c r="L104" s="58" t="str">
        <f aca="false">IF(K104="","",E104&amp;"|"&amp;K104)</f>
        <v/>
      </c>
      <c r="M104" s="58" t="str">
        <f aca="false">IF(F104&lt;&gt;1,"",IF(COUNTIFS($C$5:C104,C104,$F$5:F104,1)=1,1,0))</f>
        <v/>
      </c>
      <c r="N104" s="59" t="str">
        <f aca="false">IF(M104&lt;&gt;1,"",SUMIF($C$5:$C$304,C104,$G$5:$G$304))</f>
        <v/>
      </c>
      <c r="O104" s="58" t="str">
        <f aca="false">IF(M104&lt;&gt;1,"",COUNTIFS($M$5:$M$304,1,$N$5:$N$304,"&gt;"&amp;N104)+COUNTIFS($M$5:$M$304,1,$N$5:$N$304,N104,$A$5:$A$304,"&lt;"&amp;A104)+1)</f>
        <v/>
      </c>
    </row>
    <row r="105" customFormat="false" ht="15" hidden="false" customHeight="false" outlineLevel="0" collapsed="false">
      <c r="A105" s="55" t="str">
        <f aca="false">IF(B105="","",ROW()-4)</f>
        <v/>
      </c>
      <c r="B105" s="57"/>
      <c r="C105" s="57"/>
      <c r="D105" s="57"/>
      <c r="E105" s="57"/>
      <c r="F105" s="58" t="str">
        <f aca="false">IF(B105="","",IF(COUNTIF(取込チェック!$C$6:$C$505,B105)&gt;0,1,0))</f>
        <v/>
      </c>
      <c r="G105" s="59" t="str">
        <f aca="false">IF(B105="","",SUMIF(取込チェック!$C$6:$C$505,B105,取込チェック!$D$6:$D$505))</f>
        <v/>
      </c>
      <c r="H105" s="59" t="str">
        <f aca="false">IF(B105="","",SUMIF(取込チェック!$C$6:$C$505,B105,取込チェック!$E$6:$E$505))</f>
        <v/>
      </c>
      <c r="I105" s="59" t="str">
        <f aca="false">IF(B105="","",SUMIF(取込チェック!$C$6:$C$505,B105,取込チェック!$F$6:$F$505))</f>
        <v/>
      </c>
      <c r="J105" s="60" t="str">
        <f aca="false">IF(F105&lt;&gt;1,"",IF(H105=0,-1,G105/H105))</f>
        <v/>
      </c>
      <c r="K105" s="58" t="str">
        <f aca="false">IF(F105&lt;&gt;1,"",COUNTIFS($E$5:$E$304,E105,$F$5:$F$304,1,$J$5:$J$304,"&gt;"&amp;J105)+COUNTIFS($E$5:$E$304,E105,$F$5:$F$304,1,$J$5:$J$304,J105,$A$5:$A$304,"&lt;"&amp;A105)+1)</f>
        <v/>
      </c>
      <c r="L105" s="58" t="str">
        <f aca="false">IF(K105="","",E105&amp;"|"&amp;K105)</f>
        <v/>
      </c>
      <c r="M105" s="58" t="str">
        <f aca="false">IF(F105&lt;&gt;1,"",IF(COUNTIFS($C$5:C105,C105,$F$5:F105,1)=1,1,0))</f>
        <v/>
      </c>
      <c r="N105" s="59" t="str">
        <f aca="false">IF(M105&lt;&gt;1,"",SUMIF($C$5:$C$304,C105,$G$5:$G$304))</f>
        <v/>
      </c>
      <c r="O105" s="58" t="str">
        <f aca="false">IF(M105&lt;&gt;1,"",COUNTIFS($M$5:$M$304,1,$N$5:$N$304,"&gt;"&amp;N105)+COUNTIFS($M$5:$M$304,1,$N$5:$N$304,N105,$A$5:$A$304,"&lt;"&amp;A105)+1)</f>
        <v/>
      </c>
    </row>
    <row r="106" customFormat="false" ht="15" hidden="false" customHeight="false" outlineLevel="0" collapsed="false">
      <c r="A106" s="55" t="str">
        <f aca="false">IF(B106="","",ROW()-4)</f>
        <v/>
      </c>
      <c r="B106" s="57"/>
      <c r="C106" s="57"/>
      <c r="D106" s="57"/>
      <c r="E106" s="57"/>
      <c r="F106" s="58" t="str">
        <f aca="false">IF(B106="","",IF(COUNTIF(取込チェック!$C$6:$C$505,B106)&gt;0,1,0))</f>
        <v/>
      </c>
      <c r="G106" s="59" t="str">
        <f aca="false">IF(B106="","",SUMIF(取込チェック!$C$6:$C$505,B106,取込チェック!$D$6:$D$505))</f>
        <v/>
      </c>
      <c r="H106" s="59" t="str">
        <f aca="false">IF(B106="","",SUMIF(取込チェック!$C$6:$C$505,B106,取込チェック!$E$6:$E$505))</f>
        <v/>
      </c>
      <c r="I106" s="59" t="str">
        <f aca="false">IF(B106="","",SUMIF(取込チェック!$C$6:$C$505,B106,取込チェック!$F$6:$F$505))</f>
        <v/>
      </c>
      <c r="J106" s="60" t="str">
        <f aca="false">IF(F106&lt;&gt;1,"",IF(H106=0,-1,G106/H106))</f>
        <v/>
      </c>
      <c r="K106" s="58" t="str">
        <f aca="false">IF(F106&lt;&gt;1,"",COUNTIFS($E$5:$E$304,E106,$F$5:$F$304,1,$J$5:$J$304,"&gt;"&amp;J106)+COUNTIFS($E$5:$E$304,E106,$F$5:$F$304,1,$J$5:$J$304,J106,$A$5:$A$304,"&lt;"&amp;A106)+1)</f>
        <v/>
      </c>
      <c r="L106" s="58" t="str">
        <f aca="false">IF(K106="","",E106&amp;"|"&amp;K106)</f>
        <v/>
      </c>
      <c r="M106" s="58" t="str">
        <f aca="false">IF(F106&lt;&gt;1,"",IF(COUNTIFS($C$5:C106,C106,$F$5:F106,1)=1,1,0))</f>
        <v/>
      </c>
      <c r="N106" s="59" t="str">
        <f aca="false">IF(M106&lt;&gt;1,"",SUMIF($C$5:$C$304,C106,$G$5:$G$304))</f>
        <v/>
      </c>
      <c r="O106" s="58" t="str">
        <f aca="false">IF(M106&lt;&gt;1,"",COUNTIFS($M$5:$M$304,1,$N$5:$N$304,"&gt;"&amp;N106)+COUNTIFS($M$5:$M$304,1,$N$5:$N$304,N106,$A$5:$A$304,"&lt;"&amp;A106)+1)</f>
        <v/>
      </c>
    </row>
    <row r="107" customFormat="false" ht="15" hidden="false" customHeight="false" outlineLevel="0" collapsed="false">
      <c r="A107" s="55" t="str">
        <f aca="false">IF(B107="","",ROW()-4)</f>
        <v/>
      </c>
      <c r="B107" s="57"/>
      <c r="C107" s="57"/>
      <c r="D107" s="57"/>
      <c r="E107" s="57"/>
      <c r="F107" s="58" t="str">
        <f aca="false">IF(B107="","",IF(COUNTIF(取込チェック!$C$6:$C$505,B107)&gt;0,1,0))</f>
        <v/>
      </c>
      <c r="G107" s="59" t="str">
        <f aca="false">IF(B107="","",SUMIF(取込チェック!$C$6:$C$505,B107,取込チェック!$D$6:$D$505))</f>
        <v/>
      </c>
      <c r="H107" s="59" t="str">
        <f aca="false">IF(B107="","",SUMIF(取込チェック!$C$6:$C$505,B107,取込チェック!$E$6:$E$505))</f>
        <v/>
      </c>
      <c r="I107" s="59" t="str">
        <f aca="false">IF(B107="","",SUMIF(取込チェック!$C$6:$C$505,B107,取込チェック!$F$6:$F$505))</f>
        <v/>
      </c>
      <c r="J107" s="60" t="str">
        <f aca="false">IF(F107&lt;&gt;1,"",IF(H107=0,-1,G107/H107))</f>
        <v/>
      </c>
      <c r="K107" s="58" t="str">
        <f aca="false">IF(F107&lt;&gt;1,"",COUNTIFS($E$5:$E$304,E107,$F$5:$F$304,1,$J$5:$J$304,"&gt;"&amp;J107)+COUNTIFS($E$5:$E$304,E107,$F$5:$F$304,1,$J$5:$J$304,J107,$A$5:$A$304,"&lt;"&amp;A107)+1)</f>
        <v/>
      </c>
      <c r="L107" s="58" t="str">
        <f aca="false">IF(K107="","",E107&amp;"|"&amp;K107)</f>
        <v/>
      </c>
      <c r="M107" s="58" t="str">
        <f aca="false">IF(F107&lt;&gt;1,"",IF(COUNTIFS($C$5:C107,C107,$F$5:F107,1)=1,1,0))</f>
        <v/>
      </c>
      <c r="N107" s="59" t="str">
        <f aca="false">IF(M107&lt;&gt;1,"",SUMIF($C$5:$C$304,C107,$G$5:$G$304))</f>
        <v/>
      </c>
      <c r="O107" s="58" t="str">
        <f aca="false">IF(M107&lt;&gt;1,"",COUNTIFS($M$5:$M$304,1,$N$5:$N$304,"&gt;"&amp;N107)+COUNTIFS($M$5:$M$304,1,$N$5:$N$304,N107,$A$5:$A$304,"&lt;"&amp;A107)+1)</f>
        <v/>
      </c>
    </row>
    <row r="108" customFormat="false" ht="15" hidden="false" customHeight="false" outlineLevel="0" collapsed="false">
      <c r="A108" s="55" t="str">
        <f aca="false">IF(B108="","",ROW()-4)</f>
        <v/>
      </c>
      <c r="B108" s="57"/>
      <c r="C108" s="57"/>
      <c r="D108" s="57"/>
      <c r="E108" s="57"/>
      <c r="F108" s="58" t="str">
        <f aca="false">IF(B108="","",IF(COUNTIF(取込チェック!$C$6:$C$505,B108)&gt;0,1,0))</f>
        <v/>
      </c>
      <c r="G108" s="59" t="str">
        <f aca="false">IF(B108="","",SUMIF(取込チェック!$C$6:$C$505,B108,取込チェック!$D$6:$D$505))</f>
        <v/>
      </c>
      <c r="H108" s="59" t="str">
        <f aca="false">IF(B108="","",SUMIF(取込チェック!$C$6:$C$505,B108,取込チェック!$E$6:$E$505))</f>
        <v/>
      </c>
      <c r="I108" s="59" t="str">
        <f aca="false">IF(B108="","",SUMIF(取込チェック!$C$6:$C$505,B108,取込チェック!$F$6:$F$505))</f>
        <v/>
      </c>
      <c r="J108" s="60" t="str">
        <f aca="false">IF(F108&lt;&gt;1,"",IF(H108=0,-1,G108/H108))</f>
        <v/>
      </c>
      <c r="K108" s="58" t="str">
        <f aca="false">IF(F108&lt;&gt;1,"",COUNTIFS($E$5:$E$304,E108,$F$5:$F$304,1,$J$5:$J$304,"&gt;"&amp;J108)+COUNTIFS($E$5:$E$304,E108,$F$5:$F$304,1,$J$5:$J$304,J108,$A$5:$A$304,"&lt;"&amp;A108)+1)</f>
        <v/>
      </c>
      <c r="L108" s="58" t="str">
        <f aca="false">IF(K108="","",E108&amp;"|"&amp;K108)</f>
        <v/>
      </c>
      <c r="M108" s="58" t="str">
        <f aca="false">IF(F108&lt;&gt;1,"",IF(COUNTIFS($C$5:C108,C108,$F$5:F108,1)=1,1,0))</f>
        <v/>
      </c>
      <c r="N108" s="59" t="str">
        <f aca="false">IF(M108&lt;&gt;1,"",SUMIF($C$5:$C$304,C108,$G$5:$G$304))</f>
        <v/>
      </c>
      <c r="O108" s="58" t="str">
        <f aca="false">IF(M108&lt;&gt;1,"",COUNTIFS($M$5:$M$304,1,$N$5:$N$304,"&gt;"&amp;N108)+COUNTIFS($M$5:$M$304,1,$N$5:$N$304,N108,$A$5:$A$304,"&lt;"&amp;A108)+1)</f>
        <v/>
      </c>
    </row>
    <row r="109" customFormat="false" ht="15" hidden="false" customHeight="false" outlineLevel="0" collapsed="false">
      <c r="A109" s="55" t="str">
        <f aca="false">IF(B109="","",ROW()-4)</f>
        <v/>
      </c>
      <c r="B109" s="57"/>
      <c r="C109" s="57"/>
      <c r="D109" s="57"/>
      <c r="E109" s="57"/>
      <c r="F109" s="58" t="str">
        <f aca="false">IF(B109="","",IF(COUNTIF(取込チェック!$C$6:$C$505,B109)&gt;0,1,0))</f>
        <v/>
      </c>
      <c r="G109" s="59" t="str">
        <f aca="false">IF(B109="","",SUMIF(取込チェック!$C$6:$C$505,B109,取込チェック!$D$6:$D$505))</f>
        <v/>
      </c>
      <c r="H109" s="59" t="str">
        <f aca="false">IF(B109="","",SUMIF(取込チェック!$C$6:$C$505,B109,取込チェック!$E$6:$E$505))</f>
        <v/>
      </c>
      <c r="I109" s="59" t="str">
        <f aca="false">IF(B109="","",SUMIF(取込チェック!$C$6:$C$505,B109,取込チェック!$F$6:$F$505))</f>
        <v/>
      </c>
      <c r="J109" s="60" t="str">
        <f aca="false">IF(F109&lt;&gt;1,"",IF(H109=0,-1,G109/H109))</f>
        <v/>
      </c>
      <c r="K109" s="58" t="str">
        <f aca="false">IF(F109&lt;&gt;1,"",COUNTIFS($E$5:$E$304,E109,$F$5:$F$304,1,$J$5:$J$304,"&gt;"&amp;J109)+COUNTIFS($E$5:$E$304,E109,$F$5:$F$304,1,$J$5:$J$304,J109,$A$5:$A$304,"&lt;"&amp;A109)+1)</f>
        <v/>
      </c>
      <c r="L109" s="58" t="str">
        <f aca="false">IF(K109="","",E109&amp;"|"&amp;K109)</f>
        <v/>
      </c>
      <c r="M109" s="58" t="str">
        <f aca="false">IF(F109&lt;&gt;1,"",IF(COUNTIFS($C$5:C109,C109,$F$5:F109,1)=1,1,0))</f>
        <v/>
      </c>
      <c r="N109" s="59" t="str">
        <f aca="false">IF(M109&lt;&gt;1,"",SUMIF($C$5:$C$304,C109,$G$5:$G$304))</f>
        <v/>
      </c>
      <c r="O109" s="58" t="str">
        <f aca="false">IF(M109&lt;&gt;1,"",COUNTIFS($M$5:$M$304,1,$N$5:$N$304,"&gt;"&amp;N109)+COUNTIFS($M$5:$M$304,1,$N$5:$N$304,N109,$A$5:$A$304,"&lt;"&amp;A109)+1)</f>
        <v/>
      </c>
    </row>
    <row r="110" customFormat="false" ht="15" hidden="false" customHeight="false" outlineLevel="0" collapsed="false">
      <c r="A110" s="55" t="str">
        <f aca="false">IF(B110="","",ROW()-4)</f>
        <v/>
      </c>
      <c r="B110" s="57"/>
      <c r="C110" s="57"/>
      <c r="D110" s="57"/>
      <c r="E110" s="57"/>
      <c r="F110" s="58" t="str">
        <f aca="false">IF(B110="","",IF(COUNTIF(取込チェック!$C$6:$C$505,B110)&gt;0,1,0))</f>
        <v/>
      </c>
      <c r="G110" s="59" t="str">
        <f aca="false">IF(B110="","",SUMIF(取込チェック!$C$6:$C$505,B110,取込チェック!$D$6:$D$505))</f>
        <v/>
      </c>
      <c r="H110" s="59" t="str">
        <f aca="false">IF(B110="","",SUMIF(取込チェック!$C$6:$C$505,B110,取込チェック!$E$6:$E$505))</f>
        <v/>
      </c>
      <c r="I110" s="59" t="str">
        <f aca="false">IF(B110="","",SUMIF(取込チェック!$C$6:$C$505,B110,取込チェック!$F$6:$F$505))</f>
        <v/>
      </c>
      <c r="J110" s="60" t="str">
        <f aca="false">IF(F110&lt;&gt;1,"",IF(H110=0,-1,G110/H110))</f>
        <v/>
      </c>
      <c r="K110" s="58" t="str">
        <f aca="false">IF(F110&lt;&gt;1,"",COUNTIFS($E$5:$E$304,E110,$F$5:$F$304,1,$J$5:$J$304,"&gt;"&amp;J110)+COUNTIFS($E$5:$E$304,E110,$F$5:$F$304,1,$J$5:$J$304,J110,$A$5:$A$304,"&lt;"&amp;A110)+1)</f>
        <v/>
      </c>
      <c r="L110" s="58" t="str">
        <f aca="false">IF(K110="","",E110&amp;"|"&amp;K110)</f>
        <v/>
      </c>
      <c r="M110" s="58" t="str">
        <f aca="false">IF(F110&lt;&gt;1,"",IF(COUNTIFS($C$5:C110,C110,$F$5:F110,1)=1,1,0))</f>
        <v/>
      </c>
      <c r="N110" s="59" t="str">
        <f aca="false">IF(M110&lt;&gt;1,"",SUMIF($C$5:$C$304,C110,$G$5:$G$304))</f>
        <v/>
      </c>
      <c r="O110" s="58" t="str">
        <f aca="false">IF(M110&lt;&gt;1,"",COUNTIFS($M$5:$M$304,1,$N$5:$N$304,"&gt;"&amp;N110)+COUNTIFS($M$5:$M$304,1,$N$5:$N$304,N110,$A$5:$A$304,"&lt;"&amp;A110)+1)</f>
        <v/>
      </c>
    </row>
    <row r="111" customFormat="false" ht="15" hidden="false" customHeight="false" outlineLevel="0" collapsed="false">
      <c r="A111" s="55" t="str">
        <f aca="false">IF(B111="","",ROW()-4)</f>
        <v/>
      </c>
      <c r="B111" s="57"/>
      <c r="C111" s="57"/>
      <c r="D111" s="57"/>
      <c r="E111" s="57"/>
      <c r="F111" s="58" t="str">
        <f aca="false">IF(B111="","",IF(COUNTIF(取込チェック!$C$6:$C$505,B111)&gt;0,1,0))</f>
        <v/>
      </c>
      <c r="G111" s="59" t="str">
        <f aca="false">IF(B111="","",SUMIF(取込チェック!$C$6:$C$505,B111,取込チェック!$D$6:$D$505))</f>
        <v/>
      </c>
      <c r="H111" s="59" t="str">
        <f aca="false">IF(B111="","",SUMIF(取込チェック!$C$6:$C$505,B111,取込チェック!$E$6:$E$505))</f>
        <v/>
      </c>
      <c r="I111" s="59" t="str">
        <f aca="false">IF(B111="","",SUMIF(取込チェック!$C$6:$C$505,B111,取込チェック!$F$6:$F$505))</f>
        <v/>
      </c>
      <c r="J111" s="60" t="str">
        <f aca="false">IF(F111&lt;&gt;1,"",IF(H111=0,-1,G111/H111))</f>
        <v/>
      </c>
      <c r="K111" s="58" t="str">
        <f aca="false">IF(F111&lt;&gt;1,"",COUNTIFS($E$5:$E$304,E111,$F$5:$F$304,1,$J$5:$J$304,"&gt;"&amp;J111)+COUNTIFS($E$5:$E$304,E111,$F$5:$F$304,1,$J$5:$J$304,J111,$A$5:$A$304,"&lt;"&amp;A111)+1)</f>
        <v/>
      </c>
      <c r="L111" s="58" t="str">
        <f aca="false">IF(K111="","",E111&amp;"|"&amp;K111)</f>
        <v/>
      </c>
      <c r="M111" s="58" t="str">
        <f aca="false">IF(F111&lt;&gt;1,"",IF(COUNTIFS($C$5:C111,C111,$F$5:F111,1)=1,1,0))</f>
        <v/>
      </c>
      <c r="N111" s="59" t="str">
        <f aca="false">IF(M111&lt;&gt;1,"",SUMIF($C$5:$C$304,C111,$G$5:$G$304))</f>
        <v/>
      </c>
      <c r="O111" s="58" t="str">
        <f aca="false">IF(M111&lt;&gt;1,"",COUNTIFS($M$5:$M$304,1,$N$5:$N$304,"&gt;"&amp;N111)+COUNTIFS($M$5:$M$304,1,$N$5:$N$304,N111,$A$5:$A$304,"&lt;"&amp;A111)+1)</f>
        <v/>
      </c>
    </row>
    <row r="112" customFormat="false" ht="15" hidden="false" customHeight="false" outlineLevel="0" collapsed="false">
      <c r="A112" s="55" t="str">
        <f aca="false">IF(B112="","",ROW()-4)</f>
        <v/>
      </c>
      <c r="B112" s="57"/>
      <c r="C112" s="57"/>
      <c r="D112" s="57"/>
      <c r="E112" s="57"/>
      <c r="F112" s="58" t="str">
        <f aca="false">IF(B112="","",IF(COUNTIF(取込チェック!$C$6:$C$505,B112)&gt;0,1,0))</f>
        <v/>
      </c>
      <c r="G112" s="59" t="str">
        <f aca="false">IF(B112="","",SUMIF(取込チェック!$C$6:$C$505,B112,取込チェック!$D$6:$D$505))</f>
        <v/>
      </c>
      <c r="H112" s="59" t="str">
        <f aca="false">IF(B112="","",SUMIF(取込チェック!$C$6:$C$505,B112,取込チェック!$E$6:$E$505))</f>
        <v/>
      </c>
      <c r="I112" s="59" t="str">
        <f aca="false">IF(B112="","",SUMIF(取込チェック!$C$6:$C$505,B112,取込チェック!$F$6:$F$505))</f>
        <v/>
      </c>
      <c r="J112" s="60" t="str">
        <f aca="false">IF(F112&lt;&gt;1,"",IF(H112=0,-1,G112/H112))</f>
        <v/>
      </c>
      <c r="K112" s="58" t="str">
        <f aca="false">IF(F112&lt;&gt;1,"",COUNTIFS($E$5:$E$304,E112,$F$5:$F$304,1,$J$5:$J$304,"&gt;"&amp;J112)+COUNTIFS($E$5:$E$304,E112,$F$5:$F$304,1,$J$5:$J$304,J112,$A$5:$A$304,"&lt;"&amp;A112)+1)</f>
        <v/>
      </c>
      <c r="L112" s="58" t="str">
        <f aca="false">IF(K112="","",E112&amp;"|"&amp;K112)</f>
        <v/>
      </c>
      <c r="M112" s="58" t="str">
        <f aca="false">IF(F112&lt;&gt;1,"",IF(COUNTIFS($C$5:C112,C112,$F$5:F112,1)=1,1,0))</f>
        <v/>
      </c>
      <c r="N112" s="59" t="str">
        <f aca="false">IF(M112&lt;&gt;1,"",SUMIF($C$5:$C$304,C112,$G$5:$G$304))</f>
        <v/>
      </c>
      <c r="O112" s="58" t="str">
        <f aca="false">IF(M112&lt;&gt;1,"",COUNTIFS($M$5:$M$304,1,$N$5:$N$304,"&gt;"&amp;N112)+COUNTIFS($M$5:$M$304,1,$N$5:$N$304,N112,$A$5:$A$304,"&lt;"&amp;A112)+1)</f>
        <v/>
      </c>
    </row>
    <row r="113" customFormat="false" ht="15" hidden="false" customHeight="false" outlineLevel="0" collapsed="false">
      <c r="A113" s="55" t="str">
        <f aca="false">IF(B113="","",ROW()-4)</f>
        <v/>
      </c>
      <c r="B113" s="57"/>
      <c r="C113" s="57"/>
      <c r="D113" s="57"/>
      <c r="E113" s="57"/>
      <c r="F113" s="58" t="str">
        <f aca="false">IF(B113="","",IF(COUNTIF(取込チェック!$C$6:$C$505,B113)&gt;0,1,0))</f>
        <v/>
      </c>
      <c r="G113" s="59" t="str">
        <f aca="false">IF(B113="","",SUMIF(取込チェック!$C$6:$C$505,B113,取込チェック!$D$6:$D$505))</f>
        <v/>
      </c>
      <c r="H113" s="59" t="str">
        <f aca="false">IF(B113="","",SUMIF(取込チェック!$C$6:$C$505,B113,取込チェック!$E$6:$E$505))</f>
        <v/>
      </c>
      <c r="I113" s="59" t="str">
        <f aca="false">IF(B113="","",SUMIF(取込チェック!$C$6:$C$505,B113,取込チェック!$F$6:$F$505))</f>
        <v/>
      </c>
      <c r="J113" s="60" t="str">
        <f aca="false">IF(F113&lt;&gt;1,"",IF(H113=0,-1,G113/H113))</f>
        <v/>
      </c>
      <c r="K113" s="58" t="str">
        <f aca="false">IF(F113&lt;&gt;1,"",COUNTIFS($E$5:$E$304,E113,$F$5:$F$304,1,$J$5:$J$304,"&gt;"&amp;J113)+COUNTIFS($E$5:$E$304,E113,$F$5:$F$304,1,$J$5:$J$304,J113,$A$5:$A$304,"&lt;"&amp;A113)+1)</f>
        <v/>
      </c>
      <c r="L113" s="58" t="str">
        <f aca="false">IF(K113="","",E113&amp;"|"&amp;K113)</f>
        <v/>
      </c>
      <c r="M113" s="58" t="str">
        <f aca="false">IF(F113&lt;&gt;1,"",IF(COUNTIFS($C$5:C113,C113,$F$5:F113,1)=1,1,0))</f>
        <v/>
      </c>
      <c r="N113" s="59" t="str">
        <f aca="false">IF(M113&lt;&gt;1,"",SUMIF($C$5:$C$304,C113,$G$5:$G$304))</f>
        <v/>
      </c>
      <c r="O113" s="58" t="str">
        <f aca="false">IF(M113&lt;&gt;1,"",COUNTIFS($M$5:$M$304,1,$N$5:$N$304,"&gt;"&amp;N113)+COUNTIFS($M$5:$M$304,1,$N$5:$N$304,N113,$A$5:$A$304,"&lt;"&amp;A113)+1)</f>
        <v/>
      </c>
    </row>
    <row r="114" customFormat="false" ht="15" hidden="false" customHeight="false" outlineLevel="0" collapsed="false">
      <c r="A114" s="55" t="str">
        <f aca="false">IF(B114="","",ROW()-4)</f>
        <v/>
      </c>
      <c r="B114" s="57"/>
      <c r="C114" s="57"/>
      <c r="D114" s="57"/>
      <c r="E114" s="57"/>
      <c r="F114" s="58" t="str">
        <f aca="false">IF(B114="","",IF(COUNTIF(取込チェック!$C$6:$C$505,B114)&gt;0,1,0))</f>
        <v/>
      </c>
      <c r="G114" s="59" t="str">
        <f aca="false">IF(B114="","",SUMIF(取込チェック!$C$6:$C$505,B114,取込チェック!$D$6:$D$505))</f>
        <v/>
      </c>
      <c r="H114" s="59" t="str">
        <f aca="false">IF(B114="","",SUMIF(取込チェック!$C$6:$C$505,B114,取込チェック!$E$6:$E$505))</f>
        <v/>
      </c>
      <c r="I114" s="59" t="str">
        <f aca="false">IF(B114="","",SUMIF(取込チェック!$C$6:$C$505,B114,取込チェック!$F$6:$F$505))</f>
        <v/>
      </c>
      <c r="J114" s="60" t="str">
        <f aca="false">IF(F114&lt;&gt;1,"",IF(H114=0,-1,G114/H114))</f>
        <v/>
      </c>
      <c r="K114" s="58" t="str">
        <f aca="false">IF(F114&lt;&gt;1,"",COUNTIFS($E$5:$E$304,E114,$F$5:$F$304,1,$J$5:$J$304,"&gt;"&amp;J114)+COUNTIFS($E$5:$E$304,E114,$F$5:$F$304,1,$J$5:$J$304,J114,$A$5:$A$304,"&lt;"&amp;A114)+1)</f>
        <v/>
      </c>
      <c r="L114" s="58" t="str">
        <f aca="false">IF(K114="","",E114&amp;"|"&amp;K114)</f>
        <v/>
      </c>
      <c r="M114" s="58" t="str">
        <f aca="false">IF(F114&lt;&gt;1,"",IF(COUNTIFS($C$5:C114,C114,$F$5:F114,1)=1,1,0))</f>
        <v/>
      </c>
      <c r="N114" s="59" t="str">
        <f aca="false">IF(M114&lt;&gt;1,"",SUMIF($C$5:$C$304,C114,$G$5:$G$304))</f>
        <v/>
      </c>
      <c r="O114" s="58" t="str">
        <f aca="false">IF(M114&lt;&gt;1,"",COUNTIFS($M$5:$M$304,1,$N$5:$N$304,"&gt;"&amp;N114)+COUNTIFS($M$5:$M$304,1,$N$5:$N$304,N114,$A$5:$A$304,"&lt;"&amp;A114)+1)</f>
        <v/>
      </c>
    </row>
    <row r="115" customFormat="false" ht="15" hidden="false" customHeight="false" outlineLevel="0" collapsed="false">
      <c r="A115" s="55" t="str">
        <f aca="false">IF(B115="","",ROW()-4)</f>
        <v/>
      </c>
      <c r="B115" s="57"/>
      <c r="C115" s="57"/>
      <c r="D115" s="57"/>
      <c r="E115" s="57"/>
      <c r="F115" s="58" t="str">
        <f aca="false">IF(B115="","",IF(COUNTIF(取込チェック!$C$6:$C$505,B115)&gt;0,1,0))</f>
        <v/>
      </c>
      <c r="G115" s="59" t="str">
        <f aca="false">IF(B115="","",SUMIF(取込チェック!$C$6:$C$505,B115,取込チェック!$D$6:$D$505))</f>
        <v/>
      </c>
      <c r="H115" s="59" t="str">
        <f aca="false">IF(B115="","",SUMIF(取込チェック!$C$6:$C$505,B115,取込チェック!$E$6:$E$505))</f>
        <v/>
      </c>
      <c r="I115" s="59" t="str">
        <f aca="false">IF(B115="","",SUMIF(取込チェック!$C$6:$C$505,B115,取込チェック!$F$6:$F$505))</f>
        <v/>
      </c>
      <c r="J115" s="60" t="str">
        <f aca="false">IF(F115&lt;&gt;1,"",IF(H115=0,-1,G115/H115))</f>
        <v/>
      </c>
      <c r="K115" s="58" t="str">
        <f aca="false">IF(F115&lt;&gt;1,"",COUNTIFS($E$5:$E$304,E115,$F$5:$F$304,1,$J$5:$J$304,"&gt;"&amp;J115)+COUNTIFS($E$5:$E$304,E115,$F$5:$F$304,1,$J$5:$J$304,J115,$A$5:$A$304,"&lt;"&amp;A115)+1)</f>
        <v/>
      </c>
      <c r="L115" s="58" t="str">
        <f aca="false">IF(K115="","",E115&amp;"|"&amp;K115)</f>
        <v/>
      </c>
      <c r="M115" s="58" t="str">
        <f aca="false">IF(F115&lt;&gt;1,"",IF(COUNTIFS($C$5:C115,C115,$F$5:F115,1)=1,1,0))</f>
        <v/>
      </c>
      <c r="N115" s="59" t="str">
        <f aca="false">IF(M115&lt;&gt;1,"",SUMIF($C$5:$C$304,C115,$G$5:$G$304))</f>
        <v/>
      </c>
      <c r="O115" s="58" t="str">
        <f aca="false">IF(M115&lt;&gt;1,"",COUNTIFS($M$5:$M$304,1,$N$5:$N$304,"&gt;"&amp;N115)+COUNTIFS($M$5:$M$304,1,$N$5:$N$304,N115,$A$5:$A$304,"&lt;"&amp;A115)+1)</f>
        <v/>
      </c>
    </row>
    <row r="116" customFormat="false" ht="15" hidden="false" customHeight="false" outlineLevel="0" collapsed="false">
      <c r="A116" s="55" t="str">
        <f aca="false">IF(B116="","",ROW()-4)</f>
        <v/>
      </c>
      <c r="B116" s="57"/>
      <c r="C116" s="57"/>
      <c r="D116" s="57"/>
      <c r="E116" s="57"/>
      <c r="F116" s="58" t="str">
        <f aca="false">IF(B116="","",IF(COUNTIF(取込チェック!$C$6:$C$505,B116)&gt;0,1,0))</f>
        <v/>
      </c>
      <c r="G116" s="59" t="str">
        <f aca="false">IF(B116="","",SUMIF(取込チェック!$C$6:$C$505,B116,取込チェック!$D$6:$D$505))</f>
        <v/>
      </c>
      <c r="H116" s="59" t="str">
        <f aca="false">IF(B116="","",SUMIF(取込チェック!$C$6:$C$505,B116,取込チェック!$E$6:$E$505))</f>
        <v/>
      </c>
      <c r="I116" s="59" t="str">
        <f aca="false">IF(B116="","",SUMIF(取込チェック!$C$6:$C$505,B116,取込チェック!$F$6:$F$505))</f>
        <v/>
      </c>
      <c r="J116" s="60" t="str">
        <f aca="false">IF(F116&lt;&gt;1,"",IF(H116=0,-1,G116/H116))</f>
        <v/>
      </c>
      <c r="K116" s="58" t="str">
        <f aca="false">IF(F116&lt;&gt;1,"",COUNTIFS($E$5:$E$304,E116,$F$5:$F$304,1,$J$5:$J$304,"&gt;"&amp;J116)+COUNTIFS($E$5:$E$304,E116,$F$5:$F$304,1,$J$5:$J$304,J116,$A$5:$A$304,"&lt;"&amp;A116)+1)</f>
        <v/>
      </c>
      <c r="L116" s="58" t="str">
        <f aca="false">IF(K116="","",E116&amp;"|"&amp;K116)</f>
        <v/>
      </c>
      <c r="M116" s="58" t="str">
        <f aca="false">IF(F116&lt;&gt;1,"",IF(COUNTIFS($C$5:C116,C116,$F$5:F116,1)=1,1,0))</f>
        <v/>
      </c>
      <c r="N116" s="59" t="str">
        <f aca="false">IF(M116&lt;&gt;1,"",SUMIF($C$5:$C$304,C116,$G$5:$G$304))</f>
        <v/>
      </c>
      <c r="O116" s="58" t="str">
        <f aca="false">IF(M116&lt;&gt;1,"",COUNTIFS($M$5:$M$304,1,$N$5:$N$304,"&gt;"&amp;N116)+COUNTIFS($M$5:$M$304,1,$N$5:$N$304,N116,$A$5:$A$304,"&lt;"&amp;A116)+1)</f>
        <v/>
      </c>
    </row>
    <row r="117" customFormat="false" ht="15" hidden="false" customHeight="false" outlineLevel="0" collapsed="false">
      <c r="A117" s="55" t="str">
        <f aca="false">IF(B117="","",ROW()-4)</f>
        <v/>
      </c>
      <c r="B117" s="57"/>
      <c r="C117" s="57"/>
      <c r="D117" s="57"/>
      <c r="E117" s="57"/>
      <c r="F117" s="58" t="str">
        <f aca="false">IF(B117="","",IF(COUNTIF(取込チェック!$C$6:$C$505,B117)&gt;0,1,0))</f>
        <v/>
      </c>
      <c r="G117" s="59" t="str">
        <f aca="false">IF(B117="","",SUMIF(取込チェック!$C$6:$C$505,B117,取込チェック!$D$6:$D$505))</f>
        <v/>
      </c>
      <c r="H117" s="59" t="str">
        <f aca="false">IF(B117="","",SUMIF(取込チェック!$C$6:$C$505,B117,取込チェック!$E$6:$E$505))</f>
        <v/>
      </c>
      <c r="I117" s="59" t="str">
        <f aca="false">IF(B117="","",SUMIF(取込チェック!$C$6:$C$505,B117,取込チェック!$F$6:$F$505))</f>
        <v/>
      </c>
      <c r="J117" s="60" t="str">
        <f aca="false">IF(F117&lt;&gt;1,"",IF(H117=0,-1,G117/H117))</f>
        <v/>
      </c>
      <c r="K117" s="58" t="str">
        <f aca="false">IF(F117&lt;&gt;1,"",COUNTIFS($E$5:$E$304,E117,$F$5:$F$304,1,$J$5:$J$304,"&gt;"&amp;J117)+COUNTIFS($E$5:$E$304,E117,$F$5:$F$304,1,$J$5:$J$304,J117,$A$5:$A$304,"&lt;"&amp;A117)+1)</f>
        <v/>
      </c>
      <c r="L117" s="58" t="str">
        <f aca="false">IF(K117="","",E117&amp;"|"&amp;K117)</f>
        <v/>
      </c>
      <c r="M117" s="58" t="str">
        <f aca="false">IF(F117&lt;&gt;1,"",IF(COUNTIFS($C$5:C117,C117,$F$5:F117,1)=1,1,0))</f>
        <v/>
      </c>
      <c r="N117" s="59" t="str">
        <f aca="false">IF(M117&lt;&gt;1,"",SUMIF($C$5:$C$304,C117,$G$5:$G$304))</f>
        <v/>
      </c>
      <c r="O117" s="58" t="str">
        <f aca="false">IF(M117&lt;&gt;1,"",COUNTIFS($M$5:$M$304,1,$N$5:$N$304,"&gt;"&amp;N117)+COUNTIFS($M$5:$M$304,1,$N$5:$N$304,N117,$A$5:$A$304,"&lt;"&amp;A117)+1)</f>
        <v/>
      </c>
    </row>
    <row r="118" customFormat="false" ht="15" hidden="false" customHeight="false" outlineLevel="0" collapsed="false">
      <c r="A118" s="55" t="str">
        <f aca="false">IF(B118="","",ROW()-4)</f>
        <v/>
      </c>
      <c r="B118" s="57"/>
      <c r="C118" s="57"/>
      <c r="D118" s="57"/>
      <c r="E118" s="57"/>
      <c r="F118" s="58" t="str">
        <f aca="false">IF(B118="","",IF(COUNTIF(取込チェック!$C$6:$C$505,B118)&gt;0,1,0))</f>
        <v/>
      </c>
      <c r="G118" s="59" t="str">
        <f aca="false">IF(B118="","",SUMIF(取込チェック!$C$6:$C$505,B118,取込チェック!$D$6:$D$505))</f>
        <v/>
      </c>
      <c r="H118" s="59" t="str">
        <f aca="false">IF(B118="","",SUMIF(取込チェック!$C$6:$C$505,B118,取込チェック!$E$6:$E$505))</f>
        <v/>
      </c>
      <c r="I118" s="59" t="str">
        <f aca="false">IF(B118="","",SUMIF(取込チェック!$C$6:$C$505,B118,取込チェック!$F$6:$F$505))</f>
        <v/>
      </c>
      <c r="J118" s="60" t="str">
        <f aca="false">IF(F118&lt;&gt;1,"",IF(H118=0,-1,G118/H118))</f>
        <v/>
      </c>
      <c r="K118" s="58" t="str">
        <f aca="false">IF(F118&lt;&gt;1,"",COUNTIFS($E$5:$E$304,E118,$F$5:$F$304,1,$J$5:$J$304,"&gt;"&amp;J118)+COUNTIFS($E$5:$E$304,E118,$F$5:$F$304,1,$J$5:$J$304,J118,$A$5:$A$304,"&lt;"&amp;A118)+1)</f>
        <v/>
      </c>
      <c r="L118" s="58" t="str">
        <f aca="false">IF(K118="","",E118&amp;"|"&amp;K118)</f>
        <v/>
      </c>
      <c r="M118" s="58" t="str">
        <f aca="false">IF(F118&lt;&gt;1,"",IF(COUNTIFS($C$5:C118,C118,$F$5:F118,1)=1,1,0))</f>
        <v/>
      </c>
      <c r="N118" s="59" t="str">
        <f aca="false">IF(M118&lt;&gt;1,"",SUMIF($C$5:$C$304,C118,$G$5:$G$304))</f>
        <v/>
      </c>
      <c r="O118" s="58" t="str">
        <f aca="false">IF(M118&lt;&gt;1,"",COUNTIFS($M$5:$M$304,1,$N$5:$N$304,"&gt;"&amp;N118)+COUNTIFS($M$5:$M$304,1,$N$5:$N$304,N118,$A$5:$A$304,"&lt;"&amp;A118)+1)</f>
        <v/>
      </c>
    </row>
    <row r="119" customFormat="false" ht="15" hidden="false" customHeight="false" outlineLevel="0" collapsed="false">
      <c r="A119" s="55" t="str">
        <f aca="false">IF(B119="","",ROW()-4)</f>
        <v/>
      </c>
      <c r="B119" s="57"/>
      <c r="C119" s="57"/>
      <c r="D119" s="57"/>
      <c r="E119" s="57"/>
      <c r="F119" s="58" t="str">
        <f aca="false">IF(B119="","",IF(COUNTIF(取込チェック!$C$6:$C$505,B119)&gt;0,1,0))</f>
        <v/>
      </c>
      <c r="G119" s="59" t="str">
        <f aca="false">IF(B119="","",SUMIF(取込チェック!$C$6:$C$505,B119,取込チェック!$D$6:$D$505))</f>
        <v/>
      </c>
      <c r="H119" s="59" t="str">
        <f aca="false">IF(B119="","",SUMIF(取込チェック!$C$6:$C$505,B119,取込チェック!$E$6:$E$505))</f>
        <v/>
      </c>
      <c r="I119" s="59" t="str">
        <f aca="false">IF(B119="","",SUMIF(取込チェック!$C$6:$C$505,B119,取込チェック!$F$6:$F$505))</f>
        <v/>
      </c>
      <c r="J119" s="60" t="str">
        <f aca="false">IF(F119&lt;&gt;1,"",IF(H119=0,-1,G119/H119))</f>
        <v/>
      </c>
      <c r="K119" s="58" t="str">
        <f aca="false">IF(F119&lt;&gt;1,"",COUNTIFS($E$5:$E$304,E119,$F$5:$F$304,1,$J$5:$J$304,"&gt;"&amp;J119)+COUNTIFS($E$5:$E$304,E119,$F$5:$F$304,1,$J$5:$J$304,J119,$A$5:$A$304,"&lt;"&amp;A119)+1)</f>
        <v/>
      </c>
      <c r="L119" s="58" t="str">
        <f aca="false">IF(K119="","",E119&amp;"|"&amp;K119)</f>
        <v/>
      </c>
      <c r="M119" s="58" t="str">
        <f aca="false">IF(F119&lt;&gt;1,"",IF(COUNTIFS($C$5:C119,C119,$F$5:F119,1)=1,1,0))</f>
        <v/>
      </c>
      <c r="N119" s="59" t="str">
        <f aca="false">IF(M119&lt;&gt;1,"",SUMIF($C$5:$C$304,C119,$G$5:$G$304))</f>
        <v/>
      </c>
      <c r="O119" s="58" t="str">
        <f aca="false">IF(M119&lt;&gt;1,"",COUNTIFS($M$5:$M$304,1,$N$5:$N$304,"&gt;"&amp;N119)+COUNTIFS($M$5:$M$304,1,$N$5:$N$304,N119,$A$5:$A$304,"&lt;"&amp;A119)+1)</f>
        <v/>
      </c>
    </row>
    <row r="120" customFormat="false" ht="15" hidden="false" customHeight="false" outlineLevel="0" collapsed="false">
      <c r="A120" s="55" t="str">
        <f aca="false">IF(B120="","",ROW()-4)</f>
        <v/>
      </c>
      <c r="B120" s="57"/>
      <c r="C120" s="57"/>
      <c r="D120" s="57"/>
      <c r="E120" s="57"/>
      <c r="F120" s="58" t="str">
        <f aca="false">IF(B120="","",IF(COUNTIF(取込チェック!$C$6:$C$505,B120)&gt;0,1,0))</f>
        <v/>
      </c>
      <c r="G120" s="59" t="str">
        <f aca="false">IF(B120="","",SUMIF(取込チェック!$C$6:$C$505,B120,取込チェック!$D$6:$D$505))</f>
        <v/>
      </c>
      <c r="H120" s="59" t="str">
        <f aca="false">IF(B120="","",SUMIF(取込チェック!$C$6:$C$505,B120,取込チェック!$E$6:$E$505))</f>
        <v/>
      </c>
      <c r="I120" s="59" t="str">
        <f aca="false">IF(B120="","",SUMIF(取込チェック!$C$6:$C$505,B120,取込チェック!$F$6:$F$505))</f>
        <v/>
      </c>
      <c r="J120" s="60" t="str">
        <f aca="false">IF(F120&lt;&gt;1,"",IF(H120=0,-1,G120/H120))</f>
        <v/>
      </c>
      <c r="K120" s="58" t="str">
        <f aca="false">IF(F120&lt;&gt;1,"",COUNTIFS($E$5:$E$304,E120,$F$5:$F$304,1,$J$5:$J$304,"&gt;"&amp;J120)+COUNTIFS($E$5:$E$304,E120,$F$5:$F$304,1,$J$5:$J$304,J120,$A$5:$A$304,"&lt;"&amp;A120)+1)</f>
        <v/>
      </c>
      <c r="L120" s="58" t="str">
        <f aca="false">IF(K120="","",E120&amp;"|"&amp;K120)</f>
        <v/>
      </c>
      <c r="M120" s="58" t="str">
        <f aca="false">IF(F120&lt;&gt;1,"",IF(COUNTIFS($C$5:C120,C120,$F$5:F120,1)=1,1,0))</f>
        <v/>
      </c>
      <c r="N120" s="59" t="str">
        <f aca="false">IF(M120&lt;&gt;1,"",SUMIF($C$5:$C$304,C120,$G$5:$G$304))</f>
        <v/>
      </c>
      <c r="O120" s="58" t="str">
        <f aca="false">IF(M120&lt;&gt;1,"",COUNTIFS($M$5:$M$304,1,$N$5:$N$304,"&gt;"&amp;N120)+COUNTIFS($M$5:$M$304,1,$N$5:$N$304,N120,$A$5:$A$304,"&lt;"&amp;A120)+1)</f>
        <v/>
      </c>
    </row>
    <row r="121" customFormat="false" ht="15" hidden="false" customHeight="false" outlineLevel="0" collapsed="false">
      <c r="A121" s="55" t="str">
        <f aca="false">IF(B121="","",ROW()-4)</f>
        <v/>
      </c>
      <c r="B121" s="57"/>
      <c r="C121" s="57"/>
      <c r="D121" s="57"/>
      <c r="E121" s="57"/>
      <c r="F121" s="58" t="str">
        <f aca="false">IF(B121="","",IF(COUNTIF(取込チェック!$C$6:$C$505,B121)&gt;0,1,0))</f>
        <v/>
      </c>
      <c r="G121" s="59" t="str">
        <f aca="false">IF(B121="","",SUMIF(取込チェック!$C$6:$C$505,B121,取込チェック!$D$6:$D$505))</f>
        <v/>
      </c>
      <c r="H121" s="59" t="str">
        <f aca="false">IF(B121="","",SUMIF(取込チェック!$C$6:$C$505,B121,取込チェック!$E$6:$E$505))</f>
        <v/>
      </c>
      <c r="I121" s="59" t="str">
        <f aca="false">IF(B121="","",SUMIF(取込チェック!$C$6:$C$505,B121,取込チェック!$F$6:$F$505))</f>
        <v/>
      </c>
      <c r="J121" s="60" t="str">
        <f aca="false">IF(F121&lt;&gt;1,"",IF(H121=0,-1,G121/H121))</f>
        <v/>
      </c>
      <c r="K121" s="58" t="str">
        <f aca="false">IF(F121&lt;&gt;1,"",COUNTIFS($E$5:$E$304,E121,$F$5:$F$304,1,$J$5:$J$304,"&gt;"&amp;J121)+COUNTIFS($E$5:$E$304,E121,$F$5:$F$304,1,$J$5:$J$304,J121,$A$5:$A$304,"&lt;"&amp;A121)+1)</f>
        <v/>
      </c>
      <c r="L121" s="58" t="str">
        <f aca="false">IF(K121="","",E121&amp;"|"&amp;K121)</f>
        <v/>
      </c>
      <c r="M121" s="58" t="str">
        <f aca="false">IF(F121&lt;&gt;1,"",IF(COUNTIFS($C$5:C121,C121,$F$5:F121,1)=1,1,0))</f>
        <v/>
      </c>
      <c r="N121" s="59" t="str">
        <f aca="false">IF(M121&lt;&gt;1,"",SUMIF($C$5:$C$304,C121,$G$5:$G$304))</f>
        <v/>
      </c>
      <c r="O121" s="58" t="str">
        <f aca="false">IF(M121&lt;&gt;1,"",COUNTIFS($M$5:$M$304,1,$N$5:$N$304,"&gt;"&amp;N121)+COUNTIFS($M$5:$M$304,1,$N$5:$N$304,N121,$A$5:$A$304,"&lt;"&amp;A121)+1)</f>
        <v/>
      </c>
    </row>
    <row r="122" customFormat="false" ht="15" hidden="false" customHeight="false" outlineLevel="0" collapsed="false">
      <c r="A122" s="55" t="str">
        <f aca="false">IF(B122="","",ROW()-4)</f>
        <v/>
      </c>
      <c r="B122" s="57"/>
      <c r="C122" s="57"/>
      <c r="D122" s="57"/>
      <c r="E122" s="57"/>
      <c r="F122" s="58" t="str">
        <f aca="false">IF(B122="","",IF(COUNTIF(取込チェック!$C$6:$C$505,B122)&gt;0,1,0))</f>
        <v/>
      </c>
      <c r="G122" s="59" t="str">
        <f aca="false">IF(B122="","",SUMIF(取込チェック!$C$6:$C$505,B122,取込チェック!$D$6:$D$505))</f>
        <v/>
      </c>
      <c r="H122" s="59" t="str">
        <f aca="false">IF(B122="","",SUMIF(取込チェック!$C$6:$C$505,B122,取込チェック!$E$6:$E$505))</f>
        <v/>
      </c>
      <c r="I122" s="59" t="str">
        <f aca="false">IF(B122="","",SUMIF(取込チェック!$C$6:$C$505,B122,取込チェック!$F$6:$F$505))</f>
        <v/>
      </c>
      <c r="J122" s="60" t="str">
        <f aca="false">IF(F122&lt;&gt;1,"",IF(H122=0,-1,G122/H122))</f>
        <v/>
      </c>
      <c r="K122" s="58" t="str">
        <f aca="false">IF(F122&lt;&gt;1,"",COUNTIFS($E$5:$E$304,E122,$F$5:$F$304,1,$J$5:$J$304,"&gt;"&amp;J122)+COUNTIFS($E$5:$E$304,E122,$F$5:$F$304,1,$J$5:$J$304,J122,$A$5:$A$304,"&lt;"&amp;A122)+1)</f>
        <v/>
      </c>
      <c r="L122" s="58" t="str">
        <f aca="false">IF(K122="","",E122&amp;"|"&amp;K122)</f>
        <v/>
      </c>
      <c r="M122" s="58" t="str">
        <f aca="false">IF(F122&lt;&gt;1,"",IF(COUNTIFS($C$5:C122,C122,$F$5:F122,1)=1,1,0))</f>
        <v/>
      </c>
      <c r="N122" s="59" t="str">
        <f aca="false">IF(M122&lt;&gt;1,"",SUMIF($C$5:$C$304,C122,$G$5:$G$304))</f>
        <v/>
      </c>
      <c r="O122" s="58" t="str">
        <f aca="false">IF(M122&lt;&gt;1,"",COUNTIFS($M$5:$M$304,1,$N$5:$N$304,"&gt;"&amp;N122)+COUNTIFS($M$5:$M$304,1,$N$5:$N$304,N122,$A$5:$A$304,"&lt;"&amp;A122)+1)</f>
        <v/>
      </c>
    </row>
    <row r="123" customFormat="false" ht="15" hidden="false" customHeight="false" outlineLevel="0" collapsed="false">
      <c r="A123" s="55" t="str">
        <f aca="false">IF(B123="","",ROW()-4)</f>
        <v/>
      </c>
      <c r="B123" s="57"/>
      <c r="C123" s="57"/>
      <c r="D123" s="57"/>
      <c r="E123" s="57"/>
      <c r="F123" s="58" t="str">
        <f aca="false">IF(B123="","",IF(COUNTIF(取込チェック!$C$6:$C$505,B123)&gt;0,1,0))</f>
        <v/>
      </c>
      <c r="G123" s="59" t="str">
        <f aca="false">IF(B123="","",SUMIF(取込チェック!$C$6:$C$505,B123,取込チェック!$D$6:$D$505))</f>
        <v/>
      </c>
      <c r="H123" s="59" t="str">
        <f aca="false">IF(B123="","",SUMIF(取込チェック!$C$6:$C$505,B123,取込チェック!$E$6:$E$505))</f>
        <v/>
      </c>
      <c r="I123" s="59" t="str">
        <f aca="false">IF(B123="","",SUMIF(取込チェック!$C$6:$C$505,B123,取込チェック!$F$6:$F$505))</f>
        <v/>
      </c>
      <c r="J123" s="60" t="str">
        <f aca="false">IF(F123&lt;&gt;1,"",IF(H123=0,-1,G123/H123))</f>
        <v/>
      </c>
      <c r="K123" s="58" t="str">
        <f aca="false">IF(F123&lt;&gt;1,"",COUNTIFS($E$5:$E$304,E123,$F$5:$F$304,1,$J$5:$J$304,"&gt;"&amp;J123)+COUNTIFS($E$5:$E$304,E123,$F$5:$F$304,1,$J$5:$J$304,J123,$A$5:$A$304,"&lt;"&amp;A123)+1)</f>
        <v/>
      </c>
      <c r="L123" s="58" t="str">
        <f aca="false">IF(K123="","",E123&amp;"|"&amp;K123)</f>
        <v/>
      </c>
      <c r="M123" s="58" t="str">
        <f aca="false">IF(F123&lt;&gt;1,"",IF(COUNTIFS($C$5:C123,C123,$F$5:F123,1)=1,1,0))</f>
        <v/>
      </c>
      <c r="N123" s="59" t="str">
        <f aca="false">IF(M123&lt;&gt;1,"",SUMIF($C$5:$C$304,C123,$G$5:$G$304))</f>
        <v/>
      </c>
      <c r="O123" s="58" t="str">
        <f aca="false">IF(M123&lt;&gt;1,"",COUNTIFS($M$5:$M$304,1,$N$5:$N$304,"&gt;"&amp;N123)+COUNTIFS($M$5:$M$304,1,$N$5:$N$304,N123,$A$5:$A$304,"&lt;"&amp;A123)+1)</f>
        <v/>
      </c>
    </row>
    <row r="124" customFormat="false" ht="15" hidden="false" customHeight="false" outlineLevel="0" collapsed="false">
      <c r="A124" s="55" t="str">
        <f aca="false">IF(B124="","",ROW()-4)</f>
        <v/>
      </c>
      <c r="B124" s="57"/>
      <c r="C124" s="57"/>
      <c r="D124" s="57"/>
      <c r="E124" s="57"/>
      <c r="F124" s="58" t="str">
        <f aca="false">IF(B124="","",IF(COUNTIF(取込チェック!$C$6:$C$505,B124)&gt;0,1,0))</f>
        <v/>
      </c>
      <c r="G124" s="59" t="str">
        <f aca="false">IF(B124="","",SUMIF(取込チェック!$C$6:$C$505,B124,取込チェック!$D$6:$D$505))</f>
        <v/>
      </c>
      <c r="H124" s="59" t="str">
        <f aca="false">IF(B124="","",SUMIF(取込チェック!$C$6:$C$505,B124,取込チェック!$E$6:$E$505))</f>
        <v/>
      </c>
      <c r="I124" s="59" t="str">
        <f aca="false">IF(B124="","",SUMIF(取込チェック!$C$6:$C$505,B124,取込チェック!$F$6:$F$505))</f>
        <v/>
      </c>
      <c r="J124" s="60" t="str">
        <f aca="false">IF(F124&lt;&gt;1,"",IF(H124=0,-1,G124/H124))</f>
        <v/>
      </c>
      <c r="K124" s="58" t="str">
        <f aca="false">IF(F124&lt;&gt;1,"",COUNTIFS($E$5:$E$304,E124,$F$5:$F$304,1,$J$5:$J$304,"&gt;"&amp;J124)+COUNTIFS($E$5:$E$304,E124,$F$5:$F$304,1,$J$5:$J$304,J124,$A$5:$A$304,"&lt;"&amp;A124)+1)</f>
        <v/>
      </c>
      <c r="L124" s="58" t="str">
        <f aca="false">IF(K124="","",E124&amp;"|"&amp;K124)</f>
        <v/>
      </c>
      <c r="M124" s="58" t="str">
        <f aca="false">IF(F124&lt;&gt;1,"",IF(COUNTIFS($C$5:C124,C124,$F$5:F124,1)=1,1,0))</f>
        <v/>
      </c>
      <c r="N124" s="59" t="str">
        <f aca="false">IF(M124&lt;&gt;1,"",SUMIF($C$5:$C$304,C124,$G$5:$G$304))</f>
        <v/>
      </c>
      <c r="O124" s="58" t="str">
        <f aca="false">IF(M124&lt;&gt;1,"",COUNTIFS($M$5:$M$304,1,$N$5:$N$304,"&gt;"&amp;N124)+COUNTIFS($M$5:$M$304,1,$N$5:$N$304,N124,$A$5:$A$304,"&lt;"&amp;A124)+1)</f>
        <v/>
      </c>
    </row>
    <row r="125" customFormat="false" ht="15" hidden="false" customHeight="false" outlineLevel="0" collapsed="false">
      <c r="A125" s="55" t="str">
        <f aca="false">IF(B125="","",ROW()-4)</f>
        <v/>
      </c>
      <c r="B125" s="57"/>
      <c r="C125" s="57"/>
      <c r="D125" s="57"/>
      <c r="E125" s="57"/>
      <c r="F125" s="58" t="str">
        <f aca="false">IF(B125="","",IF(COUNTIF(取込チェック!$C$6:$C$505,B125)&gt;0,1,0))</f>
        <v/>
      </c>
      <c r="G125" s="59" t="str">
        <f aca="false">IF(B125="","",SUMIF(取込チェック!$C$6:$C$505,B125,取込チェック!$D$6:$D$505))</f>
        <v/>
      </c>
      <c r="H125" s="59" t="str">
        <f aca="false">IF(B125="","",SUMIF(取込チェック!$C$6:$C$505,B125,取込チェック!$E$6:$E$505))</f>
        <v/>
      </c>
      <c r="I125" s="59" t="str">
        <f aca="false">IF(B125="","",SUMIF(取込チェック!$C$6:$C$505,B125,取込チェック!$F$6:$F$505))</f>
        <v/>
      </c>
      <c r="J125" s="60" t="str">
        <f aca="false">IF(F125&lt;&gt;1,"",IF(H125=0,-1,G125/H125))</f>
        <v/>
      </c>
      <c r="K125" s="58" t="str">
        <f aca="false">IF(F125&lt;&gt;1,"",COUNTIFS($E$5:$E$304,E125,$F$5:$F$304,1,$J$5:$J$304,"&gt;"&amp;J125)+COUNTIFS($E$5:$E$304,E125,$F$5:$F$304,1,$J$5:$J$304,J125,$A$5:$A$304,"&lt;"&amp;A125)+1)</f>
        <v/>
      </c>
      <c r="L125" s="58" t="str">
        <f aca="false">IF(K125="","",E125&amp;"|"&amp;K125)</f>
        <v/>
      </c>
      <c r="M125" s="58" t="str">
        <f aca="false">IF(F125&lt;&gt;1,"",IF(COUNTIFS($C$5:C125,C125,$F$5:F125,1)=1,1,0))</f>
        <v/>
      </c>
      <c r="N125" s="59" t="str">
        <f aca="false">IF(M125&lt;&gt;1,"",SUMIF($C$5:$C$304,C125,$G$5:$G$304))</f>
        <v/>
      </c>
      <c r="O125" s="58" t="str">
        <f aca="false">IF(M125&lt;&gt;1,"",COUNTIFS($M$5:$M$304,1,$N$5:$N$304,"&gt;"&amp;N125)+COUNTIFS($M$5:$M$304,1,$N$5:$N$304,N125,$A$5:$A$304,"&lt;"&amp;A125)+1)</f>
        <v/>
      </c>
    </row>
    <row r="126" customFormat="false" ht="15" hidden="false" customHeight="false" outlineLevel="0" collapsed="false">
      <c r="A126" s="55" t="str">
        <f aca="false">IF(B126="","",ROW()-4)</f>
        <v/>
      </c>
      <c r="B126" s="57"/>
      <c r="C126" s="57"/>
      <c r="D126" s="57"/>
      <c r="E126" s="57"/>
      <c r="F126" s="58" t="str">
        <f aca="false">IF(B126="","",IF(COUNTIF(取込チェック!$C$6:$C$505,B126)&gt;0,1,0))</f>
        <v/>
      </c>
      <c r="G126" s="59" t="str">
        <f aca="false">IF(B126="","",SUMIF(取込チェック!$C$6:$C$505,B126,取込チェック!$D$6:$D$505))</f>
        <v/>
      </c>
      <c r="H126" s="59" t="str">
        <f aca="false">IF(B126="","",SUMIF(取込チェック!$C$6:$C$505,B126,取込チェック!$E$6:$E$505))</f>
        <v/>
      </c>
      <c r="I126" s="59" t="str">
        <f aca="false">IF(B126="","",SUMIF(取込チェック!$C$6:$C$505,B126,取込チェック!$F$6:$F$505))</f>
        <v/>
      </c>
      <c r="J126" s="60" t="str">
        <f aca="false">IF(F126&lt;&gt;1,"",IF(H126=0,-1,G126/H126))</f>
        <v/>
      </c>
      <c r="K126" s="58" t="str">
        <f aca="false">IF(F126&lt;&gt;1,"",COUNTIFS($E$5:$E$304,E126,$F$5:$F$304,1,$J$5:$J$304,"&gt;"&amp;J126)+COUNTIFS($E$5:$E$304,E126,$F$5:$F$304,1,$J$5:$J$304,J126,$A$5:$A$304,"&lt;"&amp;A126)+1)</f>
        <v/>
      </c>
      <c r="L126" s="58" t="str">
        <f aca="false">IF(K126="","",E126&amp;"|"&amp;K126)</f>
        <v/>
      </c>
      <c r="M126" s="58" t="str">
        <f aca="false">IF(F126&lt;&gt;1,"",IF(COUNTIFS($C$5:C126,C126,$F$5:F126,1)=1,1,0))</f>
        <v/>
      </c>
      <c r="N126" s="59" t="str">
        <f aca="false">IF(M126&lt;&gt;1,"",SUMIF($C$5:$C$304,C126,$G$5:$G$304))</f>
        <v/>
      </c>
      <c r="O126" s="58" t="str">
        <f aca="false">IF(M126&lt;&gt;1,"",COUNTIFS($M$5:$M$304,1,$N$5:$N$304,"&gt;"&amp;N126)+COUNTIFS($M$5:$M$304,1,$N$5:$N$304,N126,$A$5:$A$304,"&lt;"&amp;A126)+1)</f>
        <v/>
      </c>
    </row>
    <row r="127" customFormat="false" ht="15" hidden="false" customHeight="false" outlineLevel="0" collapsed="false">
      <c r="A127" s="55" t="str">
        <f aca="false">IF(B127="","",ROW()-4)</f>
        <v/>
      </c>
      <c r="B127" s="57"/>
      <c r="C127" s="57"/>
      <c r="D127" s="57"/>
      <c r="E127" s="57"/>
      <c r="F127" s="58" t="str">
        <f aca="false">IF(B127="","",IF(COUNTIF(取込チェック!$C$6:$C$505,B127)&gt;0,1,0))</f>
        <v/>
      </c>
      <c r="G127" s="59" t="str">
        <f aca="false">IF(B127="","",SUMIF(取込チェック!$C$6:$C$505,B127,取込チェック!$D$6:$D$505))</f>
        <v/>
      </c>
      <c r="H127" s="59" t="str">
        <f aca="false">IF(B127="","",SUMIF(取込チェック!$C$6:$C$505,B127,取込チェック!$E$6:$E$505))</f>
        <v/>
      </c>
      <c r="I127" s="59" t="str">
        <f aca="false">IF(B127="","",SUMIF(取込チェック!$C$6:$C$505,B127,取込チェック!$F$6:$F$505))</f>
        <v/>
      </c>
      <c r="J127" s="60" t="str">
        <f aca="false">IF(F127&lt;&gt;1,"",IF(H127=0,-1,G127/H127))</f>
        <v/>
      </c>
      <c r="K127" s="58" t="str">
        <f aca="false">IF(F127&lt;&gt;1,"",COUNTIFS($E$5:$E$304,E127,$F$5:$F$304,1,$J$5:$J$304,"&gt;"&amp;J127)+COUNTIFS($E$5:$E$304,E127,$F$5:$F$304,1,$J$5:$J$304,J127,$A$5:$A$304,"&lt;"&amp;A127)+1)</f>
        <v/>
      </c>
      <c r="L127" s="58" t="str">
        <f aca="false">IF(K127="","",E127&amp;"|"&amp;K127)</f>
        <v/>
      </c>
      <c r="M127" s="58" t="str">
        <f aca="false">IF(F127&lt;&gt;1,"",IF(COUNTIFS($C$5:C127,C127,$F$5:F127,1)=1,1,0))</f>
        <v/>
      </c>
      <c r="N127" s="59" t="str">
        <f aca="false">IF(M127&lt;&gt;1,"",SUMIF($C$5:$C$304,C127,$G$5:$G$304))</f>
        <v/>
      </c>
      <c r="O127" s="58" t="str">
        <f aca="false">IF(M127&lt;&gt;1,"",COUNTIFS($M$5:$M$304,1,$N$5:$N$304,"&gt;"&amp;N127)+COUNTIFS($M$5:$M$304,1,$N$5:$N$304,N127,$A$5:$A$304,"&lt;"&amp;A127)+1)</f>
        <v/>
      </c>
    </row>
    <row r="128" customFormat="false" ht="15" hidden="false" customHeight="false" outlineLevel="0" collapsed="false">
      <c r="A128" s="55" t="str">
        <f aca="false">IF(B128="","",ROW()-4)</f>
        <v/>
      </c>
      <c r="B128" s="57"/>
      <c r="C128" s="57"/>
      <c r="D128" s="57"/>
      <c r="E128" s="57"/>
      <c r="F128" s="58" t="str">
        <f aca="false">IF(B128="","",IF(COUNTIF(取込チェック!$C$6:$C$505,B128)&gt;0,1,0))</f>
        <v/>
      </c>
      <c r="G128" s="59" t="str">
        <f aca="false">IF(B128="","",SUMIF(取込チェック!$C$6:$C$505,B128,取込チェック!$D$6:$D$505))</f>
        <v/>
      </c>
      <c r="H128" s="59" t="str">
        <f aca="false">IF(B128="","",SUMIF(取込チェック!$C$6:$C$505,B128,取込チェック!$E$6:$E$505))</f>
        <v/>
      </c>
      <c r="I128" s="59" t="str">
        <f aca="false">IF(B128="","",SUMIF(取込チェック!$C$6:$C$505,B128,取込チェック!$F$6:$F$505))</f>
        <v/>
      </c>
      <c r="J128" s="60" t="str">
        <f aca="false">IF(F128&lt;&gt;1,"",IF(H128=0,-1,G128/H128))</f>
        <v/>
      </c>
      <c r="K128" s="58" t="str">
        <f aca="false">IF(F128&lt;&gt;1,"",COUNTIFS($E$5:$E$304,E128,$F$5:$F$304,1,$J$5:$J$304,"&gt;"&amp;J128)+COUNTIFS($E$5:$E$304,E128,$F$5:$F$304,1,$J$5:$J$304,J128,$A$5:$A$304,"&lt;"&amp;A128)+1)</f>
        <v/>
      </c>
      <c r="L128" s="58" t="str">
        <f aca="false">IF(K128="","",E128&amp;"|"&amp;K128)</f>
        <v/>
      </c>
      <c r="M128" s="58" t="str">
        <f aca="false">IF(F128&lt;&gt;1,"",IF(COUNTIFS($C$5:C128,C128,$F$5:F128,1)=1,1,0))</f>
        <v/>
      </c>
      <c r="N128" s="59" t="str">
        <f aca="false">IF(M128&lt;&gt;1,"",SUMIF($C$5:$C$304,C128,$G$5:$G$304))</f>
        <v/>
      </c>
      <c r="O128" s="58" t="str">
        <f aca="false">IF(M128&lt;&gt;1,"",COUNTIFS($M$5:$M$304,1,$N$5:$N$304,"&gt;"&amp;N128)+COUNTIFS($M$5:$M$304,1,$N$5:$N$304,N128,$A$5:$A$304,"&lt;"&amp;A128)+1)</f>
        <v/>
      </c>
    </row>
    <row r="129" customFormat="false" ht="15" hidden="false" customHeight="false" outlineLevel="0" collapsed="false">
      <c r="A129" s="55" t="str">
        <f aca="false">IF(B129="","",ROW()-4)</f>
        <v/>
      </c>
      <c r="B129" s="57"/>
      <c r="C129" s="57"/>
      <c r="D129" s="57"/>
      <c r="E129" s="57"/>
      <c r="F129" s="58" t="str">
        <f aca="false">IF(B129="","",IF(COUNTIF(取込チェック!$C$6:$C$505,B129)&gt;0,1,0))</f>
        <v/>
      </c>
      <c r="G129" s="59" t="str">
        <f aca="false">IF(B129="","",SUMIF(取込チェック!$C$6:$C$505,B129,取込チェック!$D$6:$D$505))</f>
        <v/>
      </c>
      <c r="H129" s="59" t="str">
        <f aca="false">IF(B129="","",SUMIF(取込チェック!$C$6:$C$505,B129,取込チェック!$E$6:$E$505))</f>
        <v/>
      </c>
      <c r="I129" s="59" t="str">
        <f aca="false">IF(B129="","",SUMIF(取込チェック!$C$6:$C$505,B129,取込チェック!$F$6:$F$505))</f>
        <v/>
      </c>
      <c r="J129" s="60" t="str">
        <f aca="false">IF(F129&lt;&gt;1,"",IF(H129=0,-1,G129/H129))</f>
        <v/>
      </c>
      <c r="K129" s="58" t="str">
        <f aca="false">IF(F129&lt;&gt;1,"",COUNTIFS($E$5:$E$304,E129,$F$5:$F$304,1,$J$5:$J$304,"&gt;"&amp;J129)+COUNTIFS($E$5:$E$304,E129,$F$5:$F$304,1,$J$5:$J$304,J129,$A$5:$A$304,"&lt;"&amp;A129)+1)</f>
        <v/>
      </c>
      <c r="L129" s="58" t="str">
        <f aca="false">IF(K129="","",E129&amp;"|"&amp;K129)</f>
        <v/>
      </c>
      <c r="M129" s="58" t="str">
        <f aca="false">IF(F129&lt;&gt;1,"",IF(COUNTIFS($C$5:C129,C129,$F$5:F129,1)=1,1,0))</f>
        <v/>
      </c>
      <c r="N129" s="59" t="str">
        <f aca="false">IF(M129&lt;&gt;1,"",SUMIF($C$5:$C$304,C129,$G$5:$G$304))</f>
        <v/>
      </c>
      <c r="O129" s="58" t="str">
        <f aca="false">IF(M129&lt;&gt;1,"",COUNTIFS($M$5:$M$304,1,$N$5:$N$304,"&gt;"&amp;N129)+COUNTIFS($M$5:$M$304,1,$N$5:$N$304,N129,$A$5:$A$304,"&lt;"&amp;A129)+1)</f>
        <v/>
      </c>
    </row>
    <row r="130" customFormat="false" ht="15" hidden="false" customHeight="false" outlineLevel="0" collapsed="false">
      <c r="A130" s="55" t="str">
        <f aca="false">IF(B130="","",ROW()-4)</f>
        <v/>
      </c>
      <c r="B130" s="57"/>
      <c r="C130" s="57"/>
      <c r="D130" s="57"/>
      <c r="E130" s="57"/>
      <c r="F130" s="58" t="str">
        <f aca="false">IF(B130="","",IF(COUNTIF(取込チェック!$C$6:$C$505,B130)&gt;0,1,0))</f>
        <v/>
      </c>
      <c r="G130" s="59" t="str">
        <f aca="false">IF(B130="","",SUMIF(取込チェック!$C$6:$C$505,B130,取込チェック!$D$6:$D$505))</f>
        <v/>
      </c>
      <c r="H130" s="59" t="str">
        <f aca="false">IF(B130="","",SUMIF(取込チェック!$C$6:$C$505,B130,取込チェック!$E$6:$E$505))</f>
        <v/>
      </c>
      <c r="I130" s="59" t="str">
        <f aca="false">IF(B130="","",SUMIF(取込チェック!$C$6:$C$505,B130,取込チェック!$F$6:$F$505))</f>
        <v/>
      </c>
      <c r="J130" s="60" t="str">
        <f aca="false">IF(F130&lt;&gt;1,"",IF(H130=0,-1,G130/H130))</f>
        <v/>
      </c>
      <c r="K130" s="58" t="str">
        <f aca="false">IF(F130&lt;&gt;1,"",COUNTIFS($E$5:$E$304,E130,$F$5:$F$304,1,$J$5:$J$304,"&gt;"&amp;J130)+COUNTIFS($E$5:$E$304,E130,$F$5:$F$304,1,$J$5:$J$304,J130,$A$5:$A$304,"&lt;"&amp;A130)+1)</f>
        <v/>
      </c>
      <c r="L130" s="58" t="str">
        <f aca="false">IF(K130="","",E130&amp;"|"&amp;K130)</f>
        <v/>
      </c>
      <c r="M130" s="58" t="str">
        <f aca="false">IF(F130&lt;&gt;1,"",IF(COUNTIFS($C$5:C130,C130,$F$5:F130,1)=1,1,0))</f>
        <v/>
      </c>
      <c r="N130" s="59" t="str">
        <f aca="false">IF(M130&lt;&gt;1,"",SUMIF($C$5:$C$304,C130,$G$5:$G$304))</f>
        <v/>
      </c>
      <c r="O130" s="58" t="str">
        <f aca="false">IF(M130&lt;&gt;1,"",COUNTIFS($M$5:$M$304,1,$N$5:$N$304,"&gt;"&amp;N130)+COUNTIFS($M$5:$M$304,1,$N$5:$N$304,N130,$A$5:$A$304,"&lt;"&amp;A130)+1)</f>
        <v/>
      </c>
    </row>
    <row r="131" customFormat="false" ht="15" hidden="false" customHeight="false" outlineLevel="0" collapsed="false">
      <c r="A131" s="55" t="str">
        <f aca="false">IF(B131="","",ROW()-4)</f>
        <v/>
      </c>
      <c r="B131" s="57"/>
      <c r="C131" s="57"/>
      <c r="D131" s="57"/>
      <c r="E131" s="57"/>
      <c r="F131" s="58" t="str">
        <f aca="false">IF(B131="","",IF(COUNTIF(取込チェック!$C$6:$C$505,B131)&gt;0,1,0))</f>
        <v/>
      </c>
      <c r="G131" s="59" t="str">
        <f aca="false">IF(B131="","",SUMIF(取込チェック!$C$6:$C$505,B131,取込チェック!$D$6:$D$505))</f>
        <v/>
      </c>
      <c r="H131" s="59" t="str">
        <f aca="false">IF(B131="","",SUMIF(取込チェック!$C$6:$C$505,B131,取込チェック!$E$6:$E$505))</f>
        <v/>
      </c>
      <c r="I131" s="59" t="str">
        <f aca="false">IF(B131="","",SUMIF(取込チェック!$C$6:$C$505,B131,取込チェック!$F$6:$F$505))</f>
        <v/>
      </c>
      <c r="J131" s="60" t="str">
        <f aca="false">IF(F131&lt;&gt;1,"",IF(H131=0,-1,G131/H131))</f>
        <v/>
      </c>
      <c r="K131" s="58" t="str">
        <f aca="false">IF(F131&lt;&gt;1,"",COUNTIFS($E$5:$E$304,E131,$F$5:$F$304,1,$J$5:$J$304,"&gt;"&amp;J131)+COUNTIFS($E$5:$E$304,E131,$F$5:$F$304,1,$J$5:$J$304,J131,$A$5:$A$304,"&lt;"&amp;A131)+1)</f>
        <v/>
      </c>
      <c r="L131" s="58" t="str">
        <f aca="false">IF(K131="","",E131&amp;"|"&amp;K131)</f>
        <v/>
      </c>
      <c r="M131" s="58" t="str">
        <f aca="false">IF(F131&lt;&gt;1,"",IF(COUNTIFS($C$5:C131,C131,$F$5:F131,1)=1,1,0))</f>
        <v/>
      </c>
      <c r="N131" s="59" t="str">
        <f aca="false">IF(M131&lt;&gt;1,"",SUMIF($C$5:$C$304,C131,$G$5:$G$304))</f>
        <v/>
      </c>
      <c r="O131" s="58" t="str">
        <f aca="false">IF(M131&lt;&gt;1,"",COUNTIFS($M$5:$M$304,1,$N$5:$N$304,"&gt;"&amp;N131)+COUNTIFS($M$5:$M$304,1,$N$5:$N$304,N131,$A$5:$A$304,"&lt;"&amp;A131)+1)</f>
        <v/>
      </c>
    </row>
    <row r="132" customFormat="false" ht="15" hidden="false" customHeight="false" outlineLevel="0" collapsed="false">
      <c r="A132" s="55" t="str">
        <f aca="false">IF(B132="","",ROW()-4)</f>
        <v/>
      </c>
      <c r="B132" s="57"/>
      <c r="C132" s="57"/>
      <c r="D132" s="57"/>
      <c r="E132" s="57"/>
      <c r="F132" s="58" t="str">
        <f aca="false">IF(B132="","",IF(COUNTIF(取込チェック!$C$6:$C$505,B132)&gt;0,1,0))</f>
        <v/>
      </c>
      <c r="G132" s="59" t="str">
        <f aca="false">IF(B132="","",SUMIF(取込チェック!$C$6:$C$505,B132,取込チェック!$D$6:$D$505))</f>
        <v/>
      </c>
      <c r="H132" s="59" t="str">
        <f aca="false">IF(B132="","",SUMIF(取込チェック!$C$6:$C$505,B132,取込チェック!$E$6:$E$505))</f>
        <v/>
      </c>
      <c r="I132" s="59" t="str">
        <f aca="false">IF(B132="","",SUMIF(取込チェック!$C$6:$C$505,B132,取込チェック!$F$6:$F$505))</f>
        <v/>
      </c>
      <c r="J132" s="60" t="str">
        <f aca="false">IF(F132&lt;&gt;1,"",IF(H132=0,-1,G132/H132))</f>
        <v/>
      </c>
      <c r="K132" s="58" t="str">
        <f aca="false">IF(F132&lt;&gt;1,"",COUNTIFS($E$5:$E$304,E132,$F$5:$F$304,1,$J$5:$J$304,"&gt;"&amp;J132)+COUNTIFS($E$5:$E$304,E132,$F$5:$F$304,1,$J$5:$J$304,J132,$A$5:$A$304,"&lt;"&amp;A132)+1)</f>
        <v/>
      </c>
      <c r="L132" s="58" t="str">
        <f aca="false">IF(K132="","",E132&amp;"|"&amp;K132)</f>
        <v/>
      </c>
      <c r="M132" s="58" t="str">
        <f aca="false">IF(F132&lt;&gt;1,"",IF(COUNTIFS($C$5:C132,C132,$F$5:F132,1)=1,1,0))</f>
        <v/>
      </c>
      <c r="N132" s="59" t="str">
        <f aca="false">IF(M132&lt;&gt;1,"",SUMIF($C$5:$C$304,C132,$G$5:$G$304))</f>
        <v/>
      </c>
      <c r="O132" s="58" t="str">
        <f aca="false">IF(M132&lt;&gt;1,"",COUNTIFS($M$5:$M$304,1,$N$5:$N$304,"&gt;"&amp;N132)+COUNTIFS($M$5:$M$304,1,$N$5:$N$304,N132,$A$5:$A$304,"&lt;"&amp;A132)+1)</f>
        <v/>
      </c>
    </row>
    <row r="133" customFormat="false" ht="15" hidden="false" customHeight="false" outlineLevel="0" collapsed="false">
      <c r="A133" s="55" t="str">
        <f aca="false">IF(B133="","",ROW()-4)</f>
        <v/>
      </c>
      <c r="B133" s="57"/>
      <c r="C133" s="57"/>
      <c r="D133" s="57"/>
      <c r="E133" s="57"/>
      <c r="F133" s="58" t="str">
        <f aca="false">IF(B133="","",IF(COUNTIF(取込チェック!$C$6:$C$505,B133)&gt;0,1,0))</f>
        <v/>
      </c>
      <c r="G133" s="59" t="str">
        <f aca="false">IF(B133="","",SUMIF(取込チェック!$C$6:$C$505,B133,取込チェック!$D$6:$D$505))</f>
        <v/>
      </c>
      <c r="H133" s="59" t="str">
        <f aca="false">IF(B133="","",SUMIF(取込チェック!$C$6:$C$505,B133,取込チェック!$E$6:$E$505))</f>
        <v/>
      </c>
      <c r="I133" s="59" t="str">
        <f aca="false">IF(B133="","",SUMIF(取込チェック!$C$6:$C$505,B133,取込チェック!$F$6:$F$505))</f>
        <v/>
      </c>
      <c r="J133" s="60" t="str">
        <f aca="false">IF(F133&lt;&gt;1,"",IF(H133=0,-1,G133/H133))</f>
        <v/>
      </c>
      <c r="K133" s="58" t="str">
        <f aca="false">IF(F133&lt;&gt;1,"",COUNTIFS($E$5:$E$304,E133,$F$5:$F$304,1,$J$5:$J$304,"&gt;"&amp;J133)+COUNTIFS($E$5:$E$304,E133,$F$5:$F$304,1,$J$5:$J$304,J133,$A$5:$A$304,"&lt;"&amp;A133)+1)</f>
        <v/>
      </c>
      <c r="L133" s="58" t="str">
        <f aca="false">IF(K133="","",E133&amp;"|"&amp;K133)</f>
        <v/>
      </c>
      <c r="M133" s="58" t="str">
        <f aca="false">IF(F133&lt;&gt;1,"",IF(COUNTIFS($C$5:C133,C133,$F$5:F133,1)=1,1,0))</f>
        <v/>
      </c>
      <c r="N133" s="59" t="str">
        <f aca="false">IF(M133&lt;&gt;1,"",SUMIF($C$5:$C$304,C133,$G$5:$G$304))</f>
        <v/>
      </c>
      <c r="O133" s="58" t="str">
        <f aca="false">IF(M133&lt;&gt;1,"",COUNTIFS($M$5:$M$304,1,$N$5:$N$304,"&gt;"&amp;N133)+COUNTIFS($M$5:$M$304,1,$N$5:$N$304,N133,$A$5:$A$304,"&lt;"&amp;A133)+1)</f>
        <v/>
      </c>
    </row>
    <row r="134" customFormat="false" ht="15" hidden="false" customHeight="false" outlineLevel="0" collapsed="false">
      <c r="A134" s="55" t="str">
        <f aca="false">IF(B134="","",ROW()-4)</f>
        <v/>
      </c>
      <c r="B134" s="57"/>
      <c r="C134" s="57"/>
      <c r="D134" s="57"/>
      <c r="E134" s="57"/>
      <c r="F134" s="58" t="str">
        <f aca="false">IF(B134="","",IF(COUNTIF(取込チェック!$C$6:$C$505,B134)&gt;0,1,0))</f>
        <v/>
      </c>
      <c r="G134" s="59" t="str">
        <f aca="false">IF(B134="","",SUMIF(取込チェック!$C$6:$C$505,B134,取込チェック!$D$6:$D$505))</f>
        <v/>
      </c>
      <c r="H134" s="59" t="str">
        <f aca="false">IF(B134="","",SUMIF(取込チェック!$C$6:$C$505,B134,取込チェック!$E$6:$E$505))</f>
        <v/>
      </c>
      <c r="I134" s="59" t="str">
        <f aca="false">IF(B134="","",SUMIF(取込チェック!$C$6:$C$505,B134,取込チェック!$F$6:$F$505))</f>
        <v/>
      </c>
      <c r="J134" s="60" t="str">
        <f aca="false">IF(F134&lt;&gt;1,"",IF(H134=0,-1,G134/H134))</f>
        <v/>
      </c>
      <c r="K134" s="58" t="str">
        <f aca="false">IF(F134&lt;&gt;1,"",COUNTIFS($E$5:$E$304,E134,$F$5:$F$304,1,$J$5:$J$304,"&gt;"&amp;J134)+COUNTIFS($E$5:$E$304,E134,$F$5:$F$304,1,$J$5:$J$304,J134,$A$5:$A$304,"&lt;"&amp;A134)+1)</f>
        <v/>
      </c>
      <c r="L134" s="58" t="str">
        <f aca="false">IF(K134="","",E134&amp;"|"&amp;K134)</f>
        <v/>
      </c>
      <c r="M134" s="58" t="str">
        <f aca="false">IF(F134&lt;&gt;1,"",IF(COUNTIFS($C$5:C134,C134,$F$5:F134,1)=1,1,0))</f>
        <v/>
      </c>
      <c r="N134" s="59" t="str">
        <f aca="false">IF(M134&lt;&gt;1,"",SUMIF($C$5:$C$304,C134,$G$5:$G$304))</f>
        <v/>
      </c>
      <c r="O134" s="58" t="str">
        <f aca="false">IF(M134&lt;&gt;1,"",COUNTIFS($M$5:$M$304,1,$N$5:$N$304,"&gt;"&amp;N134)+COUNTIFS($M$5:$M$304,1,$N$5:$N$304,N134,$A$5:$A$304,"&lt;"&amp;A134)+1)</f>
        <v/>
      </c>
    </row>
    <row r="135" customFormat="false" ht="15" hidden="false" customHeight="false" outlineLevel="0" collapsed="false">
      <c r="A135" s="55" t="str">
        <f aca="false">IF(B135="","",ROW()-4)</f>
        <v/>
      </c>
      <c r="B135" s="57"/>
      <c r="C135" s="57"/>
      <c r="D135" s="57"/>
      <c r="E135" s="57"/>
      <c r="F135" s="58" t="str">
        <f aca="false">IF(B135="","",IF(COUNTIF(取込チェック!$C$6:$C$505,B135)&gt;0,1,0))</f>
        <v/>
      </c>
      <c r="G135" s="59" t="str">
        <f aca="false">IF(B135="","",SUMIF(取込チェック!$C$6:$C$505,B135,取込チェック!$D$6:$D$505))</f>
        <v/>
      </c>
      <c r="H135" s="59" t="str">
        <f aca="false">IF(B135="","",SUMIF(取込チェック!$C$6:$C$505,B135,取込チェック!$E$6:$E$505))</f>
        <v/>
      </c>
      <c r="I135" s="59" t="str">
        <f aca="false">IF(B135="","",SUMIF(取込チェック!$C$6:$C$505,B135,取込チェック!$F$6:$F$505))</f>
        <v/>
      </c>
      <c r="J135" s="60" t="str">
        <f aca="false">IF(F135&lt;&gt;1,"",IF(H135=0,-1,G135/H135))</f>
        <v/>
      </c>
      <c r="K135" s="58" t="str">
        <f aca="false">IF(F135&lt;&gt;1,"",COUNTIFS($E$5:$E$304,E135,$F$5:$F$304,1,$J$5:$J$304,"&gt;"&amp;J135)+COUNTIFS($E$5:$E$304,E135,$F$5:$F$304,1,$J$5:$J$304,J135,$A$5:$A$304,"&lt;"&amp;A135)+1)</f>
        <v/>
      </c>
      <c r="L135" s="58" t="str">
        <f aca="false">IF(K135="","",E135&amp;"|"&amp;K135)</f>
        <v/>
      </c>
      <c r="M135" s="58" t="str">
        <f aca="false">IF(F135&lt;&gt;1,"",IF(COUNTIFS($C$5:C135,C135,$F$5:F135,1)=1,1,0))</f>
        <v/>
      </c>
      <c r="N135" s="59" t="str">
        <f aca="false">IF(M135&lt;&gt;1,"",SUMIF($C$5:$C$304,C135,$G$5:$G$304))</f>
        <v/>
      </c>
      <c r="O135" s="58" t="str">
        <f aca="false">IF(M135&lt;&gt;1,"",COUNTIFS($M$5:$M$304,1,$N$5:$N$304,"&gt;"&amp;N135)+COUNTIFS($M$5:$M$304,1,$N$5:$N$304,N135,$A$5:$A$304,"&lt;"&amp;A135)+1)</f>
        <v/>
      </c>
    </row>
    <row r="136" customFormat="false" ht="15" hidden="false" customHeight="false" outlineLevel="0" collapsed="false">
      <c r="A136" s="55" t="str">
        <f aca="false">IF(B136="","",ROW()-4)</f>
        <v/>
      </c>
      <c r="B136" s="57"/>
      <c r="C136" s="57"/>
      <c r="D136" s="57"/>
      <c r="E136" s="57"/>
      <c r="F136" s="58" t="str">
        <f aca="false">IF(B136="","",IF(COUNTIF(取込チェック!$C$6:$C$505,B136)&gt;0,1,0))</f>
        <v/>
      </c>
      <c r="G136" s="59" t="str">
        <f aca="false">IF(B136="","",SUMIF(取込チェック!$C$6:$C$505,B136,取込チェック!$D$6:$D$505))</f>
        <v/>
      </c>
      <c r="H136" s="59" t="str">
        <f aca="false">IF(B136="","",SUMIF(取込チェック!$C$6:$C$505,B136,取込チェック!$E$6:$E$505))</f>
        <v/>
      </c>
      <c r="I136" s="59" t="str">
        <f aca="false">IF(B136="","",SUMIF(取込チェック!$C$6:$C$505,B136,取込チェック!$F$6:$F$505))</f>
        <v/>
      </c>
      <c r="J136" s="60" t="str">
        <f aca="false">IF(F136&lt;&gt;1,"",IF(H136=0,-1,G136/H136))</f>
        <v/>
      </c>
      <c r="K136" s="58" t="str">
        <f aca="false">IF(F136&lt;&gt;1,"",COUNTIFS($E$5:$E$304,E136,$F$5:$F$304,1,$J$5:$J$304,"&gt;"&amp;J136)+COUNTIFS($E$5:$E$304,E136,$F$5:$F$304,1,$J$5:$J$304,J136,$A$5:$A$304,"&lt;"&amp;A136)+1)</f>
        <v/>
      </c>
      <c r="L136" s="58" t="str">
        <f aca="false">IF(K136="","",E136&amp;"|"&amp;K136)</f>
        <v/>
      </c>
      <c r="M136" s="58" t="str">
        <f aca="false">IF(F136&lt;&gt;1,"",IF(COUNTIFS($C$5:C136,C136,$F$5:F136,1)=1,1,0))</f>
        <v/>
      </c>
      <c r="N136" s="59" t="str">
        <f aca="false">IF(M136&lt;&gt;1,"",SUMIF($C$5:$C$304,C136,$G$5:$G$304))</f>
        <v/>
      </c>
      <c r="O136" s="58" t="str">
        <f aca="false">IF(M136&lt;&gt;1,"",COUNTIFS($M$5:$M$304,1,$N$5:$N$304,"&gt;"&amp;N136)+COUNTIFS($M$5:$M$304,1,$N$5:$N$304,N136,$A$5:$A$304,"&lt;"&amp;A136)+1)</f>
        <v/>
      </c>
    </row>
    <row r="137" customFormat="false" ht="15" hidden="false" customHeight="false" outlineLevel="0" collapsed="false">
      <c r="A137" s="55" t="str">
        <f aca="false">IF(B137="","",ROW()-4)</f>
        <v/>
      </c>
      <c r="B137" s="57"/>
      <c r="C137" s="57"/>
      <c r="D137" s="57"/>
      <c r="E137" s="57"/>
      <c r="F137" s="58" t="str">
        <f aca="false">IF(B137="","",IF(COUNTIF(取込チェック!$C$6:$C$505,B137)&gt;0,1,0))</f>
        <v/>
      </c>
      <c r="G137" s="59" t="str">
        <f aca="false">IF(B137="","",SUMIF(取込チェック!$C$6:$C$505,B137,取込チェック!$D$6:$D$505))</f>
        <v/>
      </c>
      <c r="H137" s="59" t="str">
        <f aca="false">IF(B137="","",SUMIF(取込チェック!$C$6:$C$505,B137,取込チェック!$E$6:$E$505))</f>
        <v/>
      </c>
      <c r="I137" s="59" t="str">
        <f aca="false">IF(B137="","",SUMIF(取込チェック!$C$6:$C$505,B137,取込チェック!$F$6:$F$505))</f>
        <v/>
      </c>
      <c r="J137" s="60" t="str">
        <f aca="false">IF(F137&lt;&gt;1,"",IF(H137=0,-1,G137/H137))</f>
        <v/>
      </c>
      <c r="K137" s="58" t="str">
        <f aca="false">IF(F137&lt;&gt;1,"",COUNTIFS($E$5:$E$304,E137,$F$5:$F$304,1,$J$5:$J$304,"&gt;"&amp;J137)+COUNTIFS($E$5:$E$304,E137,$F$5:$F$304,1,$J$5:$J$304,J137,$A$5:$A$304,"&lt;"&amp;A137)+1)</f>
        <v/>
      </c>
      <c r="L137" s="58" t="str">
        <f aca="false">IF(K137="","",E137&amp;"|"&amp;K137)</f>
        <v/>
      </c>
      <c r="M137" s="58" t="str">
        <f aca="false">IF(F137&lt;&gt;1,"",IF(COUNTIFS($C$5:C137,C137,$F$5:F137,1)=1,1,0))</f>
        <v/>
      </c>
      <c r="N137" s="59" t="str">
        <f aca="false">IF(M137&lt;&gt;1,"",SUMIF($C$5:$C$304,C137,$G$5:$G$304))</f>
        <v/>
      </c>
      <c r="O137" s="58" t="str">
        <f aca="false">IF(M137&lt;&gt;1,"",COUNTIFS($M$5:$M$304,1,$N$5:$N$304,"&gt;"&amp;N137)+COUNTIFS($M$5:$M$304,1,$N$5:$N$304,N137,$A$5:$A$304,"&lt;"&amp;A137)+1)</f>
        <v/>
      </c>
    </row>
    <row r="138" customFormat="false" ht="15" hidden="false" customHeight="false" outlineLevel="0" collapsed="false">
      <c r="A138" s="55" t="str">
        <f aca="false">IF(B138="","",ROW()-4)</f>
        <v/>
      </c>
      <c r="B138" s="57"/>
      <c r="C138" s="57"/>
      <c r="D138" s="57"/>
      <c r="E138" s="57"/>
      <c r="F138" s="58" t="str">
        <f aca="false">IF(B138="","",IF(COUNTIF(取込チェック!$C$6:$C$505,B138)&gt;0,1,0))</f>
        <v/>
      </c>
      <c r="G138" s="59" t="str">
        <f aca="false">IF(B138="","",SUMIF(取込チェック!$C$6:$C$505,B138,取込チェック!$D$6:$D$505))</f>
        <v/>
      </c>
      <c r="H138" s="59" t="str">
        <f aca="false">IF(B138="","",SUMIF(取込チェック!$C$6:$C$505,B138,取込チェック!$E$6:$E$505))</f>
        <v/>
      </c>
      <c r="I138" s="59" t="str">
        <f aca="false">IF(B138="","",SUMIF(取込チェック!$C$6:$C$505,B138,取込チェック!$F$6:$F$505))</f>
        <v/>
      </c>
      <c r="J138" s="60" t="str">
        <f aca="false">IF(F138&lt;&gt;1,"",IF(H138=0,-1,G138/H138))</f>
        <v/>
      </c>
      <c r="K138" s="58" t="str">
        <f aca="false">IF(F138&lt;&gt;1,"",COUNTIFS($E$5:$E$304,E138,$F$5:$F$304,1,$J$5:$J$304,"&gt;"&amp;J138)+COUNTIFS($E$5:$E$304,E138,$F$5:$F$304,1,$J$5:$J$304,J138,$A$5:$A$304,"&lt;"&amp;A138)+1)</f>
        <v/>
      </c>
      <c r="L138" s="58" t="str">
        <f aca="false">IF(K138="","",E138&amp;"|"&amp;K138)</f>
        <v/>
      </c>
      <c r="M138" s="58" t="str">
        <f aca="false">IF(F138&lt;&gt;1,"",IF(COUNTIFS($C$5:C138,C138,$F$5:F138,1)=1,1,0))</f>
        <v/>
      </c>
      <c r="N138" s="59" t="str">
        <f aca="false">IF(M138&lt;&gt;1,"",SUMIF($C$5:$C$304,C138,$G$5:$G$304))</f>
        <v/>
      </c>
      <c r="O138" s="58" t="str">
        <f aca="false">IF(M138&lt;&gt;1,"",COUNTIFS($M$5:$M$304,1,$N$5:$N$304,"&gt;"&amp;N138)+COUNTIFS($M$5:$M$304,1,$N$5:$N$304,N138,$A$5:$A$304,"&lt;"&amp;A138)+1)</f>
        <v/>
      </c>
    </row>
    <row r="139" customFormat="false" ht="15" hidden="false" customHeight="false" outlineLevel="0" collapsed="false">
      <c r="A139" s="55" t="str">
        <f aca="false">IF(B139="","",ROW()-4)</f>
        <v/>
      </c>
      <c r="B139" s="57"/>
      <c r="C139" s="57"/>
      <c r="D139" s="57"/>
      <c r="E139" s="57"/>
      <c r="F139" s="58" t="str">
        <f aca="false">IF(B139="","",IF(COUNTIF(取込チェック!$C$6:$C$505,B139)&gt;0,1,0))</f>
        <v/>
      </c>
      <c r="G139" s="59" t="str">
        <f aca="false">IF(B139="","",SUMIF(取込チェック!$C$6:$C$505,B139,取込チェック!$D$6:$D$505))</f>
        <v/>
      </c>
      <c r="H139" s="59" t="str">
        <f aca="false">IF(B139="","",SUMIF(取込チェック!$C$6:$C$505,B139,取込チェック!$E$6:$E$505))</f>
        <v/>
      </c>
      <c r="I139" s="59" t="str">
        <f aca="false">IF(B139="","",SUMIF(取込チェック!$C$6:$C$505,B139,取込チェック!$F$6:$F$505))</f>
        <v/>
      </c>
      <c r="J139" s="60" t="str">
        <f aca="false">IF(F139&lt;&gt;1,"",IF(H139=0,-1,G139/H139))</f>
        <v/>
      </c>
      <c r="K139" s="58" t="str">
        <f aca="false">IF(F139&lt;&gt;1,"",COUNTIFS($E$5:$E$304,E139,$F$5:$F$304,1,$J$5:$J$304,"&gt;"&amp;J139)+COUNTIFS($E$5:$E$304,E139,$F$5:$F$304,1,$J$5:$J$304,J139,$A$5:$A$304,"&lt;"&amp;A139)+1)</f>
        <v/>
      </c>
      <c r="L139" s="58" t="str">
        <f aca="false">IF(K139="","",E139&amp;"|"&amp;K139)</f>
        <v/>
      </c>
      <c r="M139" s="58" t="str">
        <f aca="false">IF(F139&lt;&gt;1,"",IF(COUNTIFS($C$5:C139,C139,$F$5:F139,1)=1,1,0))</f>
        <v/>
      </c>
      <c r="N139" s="59" t="str">
        <f aca="false">IF(M139&lt;&gt;1,"",SUMIF($C$5:$C$304,C139,$G$5:$G$304))</f>
        <v/>
      </c>
      <c r="O139" s="58" t="str">
        <f aca="false">IF(M139&lt;&gt;1,"",COUNTIFS($M$5:$M$304,1,$N$5:$N$304,"&gt;"&amp;N139)+COUNTIFS($M$5:$M$304,1,$N$5:$N$304,N139,$A$5:$A$304,"&lt;"&amp;A139)+1)</f>
        <v/>
      </c>
    </row>
    <row r="140" customFormat="false" ht="15" hidden="false" customHeight="false" outlineLevel="0" collapsed="false">
      <c r="A140" s="55" t="str">
        <f aca="false">IF(B140="","",ROW()-4)</f>
        <v/>
      </c>
      <c r="B140" s="57"/>
      <c r="C140" s="57"/>
      <c r="D140" s="57"/>
      <c r="E140" s="57"/>
      <c r="F140" s="58" t="str">
        <f aca="false">IF(B140="","",IF(COUNTIF(取込チェック!$C$6:$C$505,B140)&gt;0,1,0))</f>
        <v/>
      </c>
      <c r="G140" s="59" t="str">
        <f aca="false">IF(B140="","",SUMIF(取込チェック!$C$6:$C$505,B140,取込チェック!$D$6:$D$505))</f>
        <v/>
      </c>
      <c r="H140" s="59" t="str">
        <f aca="false">IF(B140="","",SUMIF(取込チェック!$C$6:$C$505,B140,取込チェック!$E$6:$E$505))</f>
        <v/>
      </c>
      <c r="I140" s="59" t="str">
        <f aca="false">IF(B140="","",SUMIF(取込チェック!$C$6:$C$505,B140,取込チェック!$F$6:$F$505))</f>
        <v/>
      </c>
      <c r="J140" s="60" t="str">
        <f aca="false">IF(F140&lt;&gt;1,"",IF(H140=0,-1,G140/H140))</f>
        <v/>
      </c>
      <c r="K140" s="58" t="str">
        <f aca="false">IF(F140&lt;&gt;1,"",COUNTIFS($E$5:$E$304,E140,$F$5:$F$304,1,$J$5:$J$304,"&gt;"&amp;J140)+COUNTIFS($E$5:$E$304,E140,$F$5:$F$304,1,$J$5:$J$304,J140,$A$5:$A$304,"&lt;"&amp;A140)+1)</f>
        <v/>
      </c>
      <c r="L140" s="58" t="str">
        <f aca="false">IF(K140="","",E140&amp;"|"&amp;K140)</f>
        <v/>
      </c>
      <c r="M140" s="58" t="str">
        <f aca="false">IF(F140&lt;&gt;1,"",IF(COUNTIFS($C$5:C140,C140,$F$5:F140,1)=1,1,0))</f>
        <v/>
      </c>
      <c r="N140" s="59" t="str">
        <f aca="false">IF(M140&lt;&gt;1,"",SUMIF($C$5:$C$304,C140,$G$5:$G$304))</f>
        <v/>
      </c>
      <c r="O140" s="58" t="str">
        <f aca="false">IF(M140&lt;&gt;1,"",COUNTIFS($M$5:$M$304,1,$N$5:$N$304,"&gt;"&amp;N140)+COUNTIFS($M$5:$M$304,1,$N$5:$N$304,N140,$A$5:$A$304,"&lt;"&amp;A140)+1)</f>
        <v/>
      </c>
    </row>
    <row r="141" customFormat="false" ht="15" hidden="false" customHeight="false" outlineLevel="0" collapsed="false">
      <c r="A141" s="55" t="str">
        <f aca="false">IF(B141="","",ROW()-4)</f>
        <v/>
      </c>
      <c r="B141" s="57"/>
      <c r="C141" s="57"/>
      <c r="D141" s="57"/>
      <c r="E141" s="57"/>
      <c r="F141" s="58" t="str">
        <f aca="false">IF(B141="","",IF(COUNTIF(取込チェック!$C$6:$C$505,B141)&gt;0,1,0))</f>
        <v/>
      </c>
      <c r="G141" s="59" t="str">
        <f aca="false">IF(B141="","",SUMIF(取込チェック!$C$6:$C$505,B141,取込チェック!$D$6:$D$505))</f>
        <v/>
      </c>
      <c r="H141" s="59" t="str">
        <f aca="false">IF(B141="","",SUMIF(取込チェック!$C$6:$C$505,B141,取込チェック!$E$6:$E$505))</f>
        <v/>
      </c>
      <c r="I141" s="59" t="str">
        <f aca="false">IF(B141="","",SUMIF(取込チェック!$C$6:$C$505,B141,取込チェック!$F$6:$F$505))</f>
        <v/>
      </c>
      <c r="J141" s="60" t="str">
        <f aca="false">IF(F141&lt;&gt;1,"",IF(H141=0,-1,G141/H141))</f>
        <v/>
      </c>
      <c r="K141" s="58" t="str">
        <f aca="false">IF(F141&lt;&gt;1,"",COUNTIFS($E$5:$E$304,E141,$F$5:$F$304,1,$J$5:$J$304,"&gt;"&amp;J141)+COUNTIFS($E$5:$E$304,E141,$F$5:$F$304,1,$J$5:$J$304,J141,$A$5:$A$304,"&lt;"&amp;A141)+1)</f>
        <v/>
      </c>
      <c r="L141" s="58" t="str">
        <f aca="false">IF(K141="","",E141&amp;"|"&amp;K141)</f>
        <v/>
      </c>
      <c r="M141" s="58" t="str">
        <f aca="false">IF(F141&lt;&gt;1,"",IF(COUNTIFS($C$5:C141,C141,$F$5:F141,1)=1,1,0))</f>
        <v/>
      </c>
      <c r="N141" s="59" t="str">
        <f aca="false">IF(M141&lt;&gt;1,"",SUMIF($C$5:$C$304,C141,$G$5:$G$304))</f>
        <v/>
      </c>
      <c r="O141" s="58" t="str">
        <f aca="false">IF(M141&lt;&gt;1,"",COUNTIFS($M$5:$M$304,1,$N$5:$N$304,"&gt;"&amp;N141)+COUNTIFS($M$5:$M$304,1,$N$5:$N$304,N141,$A$5:$A$304,"&lt;"&amp;A141)+1)</f>
        <v/>
      </c>
    </row>
    <row r="142" customFormat="false" ht="15" hidden="false" customHeight="false" outlineLevel="0" collapsed="false">
      <c r="A142" s="55" t="str">
        <f aca="false">IF(B142="","",ROW()-4)</f>
        <v/>
      </c>
      <c r="B142" s="57"/>
      <c r="C142" s="57"/>
      <c r="D142" s="57"/>
      <c r="E142" s="57"/>
      <c r="F142" s="58" t="str">
        <f aca="false">IF(B142="","",IF(COUNTIF(取込チェック!$C$6:$C$505,B142)&gt;0,1,0))</f>
        <v/>
      </c>
      <c r="G142" s="59" t="str">
        <f aca="false">IF(B142="","",SUMIF(取込チェック!$C$6:$C$505,B142,取込チェック!$D$6:$D$505))</f>
        <v/>
      </c>
      <c r="H142" s="59" t="str">
        <f aca="false">IF(B142="","",SUMIF(取込チェック!$C$6:$C$505,B142,取込チェック!$E$6:$E$505))</f>
        <v/>
      </c>
      <c r="I142" s="59" t="str">
        <f aca="false">IF(B142="","",SUMIF(取込チェック!$C$6:$C$505,B142,取込チェック!$F$6:$F$505))</f>
        <v/>
      </c>
      <c r="J142" s="60" t="str">
        <f aca="false">IF(F142&lt;&gt;1,"",IF(H142=0,-1,G142/H142))</f>
        <v/>
      </c>
      <c r="K142" s="58" t="str">
        <f aca="false">IF(F142&lt;&gt;1,"",COUNTIFS($E$5:$E$304,E142,$F$5:$F$304,1,$J$5:$J$304,"&gt;"&amp;J142)+COUNTIFS($E$5:$E$304,E142,$F$5:$F$304,1,$J$5:$J$304,J142,$A$5:$A$304,"&lt;"&amp;A142)+1)</f>
        <v/>
      </c>
      <c r="L142" s="58" t="str">
        <f aca="false">IF(K142="","",E142&amp;"|"&amp;K142)</f>
        <v/>
      </c>
      <c r="M142" s="58" t="str">
        <f aca="false">IF(F142&lt;&gt;1,"",IF(COUNTIFS($C$5:C142,C142,$F$5:F142,1)=1,1,0))</f>
        <v/>
      </c>
      <c r="N142" s="59" t="str">
        <f aca="false">IF(M142&lt;&gt;1,"",SUMIF($C$5:$C$304,C142,$G$5:$G$304))</f>
        <v/>
      </c>
      <c r="O142" s="58" t="str">
        <f aca="false">IF(M142&lt;&gt;1,"",COUNTIFS($M$5:$M$304,1,$N$5:$N$304,"&gt;"&amp;N142)+COUNTIFS($M$5:$M$304,1,$N$5:$N$304,N142,$A$5:$A$304,"&lt;"&amp;A142)+1)</f>
        <v/>
      </c>
    </row>
    <row r="143" customFormat="false" ht="15" hidden="false" customHeight="false" outlineLevel="0" collapsed="false">
      <c r="A143" s="55" t="str">
        <f aca="false">IF(B143="","",ROW()-4)</f>
        <v/>
      </c>
      <c r="B143" s="57"/>
      <c r="C143" s="57"/>
      <c r="D143" s="57"/>
      <c r="E143" s="57"/>
      <c r="F143" s="58" t="str">
        <f aca="false">IF(B143="","",IF(COUNTIF(取込チェック!$C$6:$C$505,B143)&gt;0,1,0))</f>
        <v/>
      </c>
      <c r="G143" s="59" t="str">
        <f aca="false">IF(B143="","",SUMIF(取込チェック!$C$6:$C$505,B143,取込チェック!$D$6:$D$505))</f>
        <v/>
      </c>
      <c r="H143" s="59" t="str">
        <f aca="false">IF(B143="","",SUMIF(取込チェック!$C$6:$C$505,B143,取込チェック!$E$6:$E$505))</f>
        <v/>
      </c>
      <c r="I143" s="59" t="str">
        <f aca="false">IF(B143="","",SUMIF(取込チェック!$C$6:$C$505,B143,取込チェック!$F$6:$F$505))</f>
        <v/>
      </c>
      <c r="J143" s="60" t="str">
        <f aca="false">IF(F143&lt;&gt;1,"",IF(H143=0,-1,G143/H143))</f>
        <v/>
      </c>
      <c r="K143" s="58" t="str">
        <f aca="false">IF(F143&lt;&gt;1,"",COUNTIFS($E$5:$E$304,E143,$F$5:$F$304,1,$J$5:$J$304,"&gt;"&amp;J143)+COUNTIFS($E$5:$E$304,E143,$F$5:$F$304,1,$J$5:$J$304,J143,$A$5:$A$304,"&lt;"&amp;A143)+1)</f>
        <v/>
      </c>
      <c r="L143" s="58" t="str">
        <f aca="false">IF(K143="","",E143&amp;"|"&amp;K143)</f>
        <v/>
      </c>
      <c r="M143" s="58" t="str">
        <f aca="false">IF(F143&lt;&gt;1,"",IF(COUNTIFS($C$5:C143,C143,$F$5:F143,1)=1,1,0))</f>
        <v/>
      </c>
      <c r="N143" s="59" t="str">
        <f aca="false">IF(M143&lt;&gt;1,"",SUMIF($C$5:$C$304,C143,$G$5:$G$304))</f>
        <v/>
      </c>
      <c r="O143" s="58" t="str">
        <f aca="false">IF(M143&lt;&gt;1,"",COUNTIFS($M$5:$M$304,1,$N$5:$N$304,"&gt;"&amp;N143)+COUNTIFS($M$5:$M$304,1,$N$5:$N$304,N143,$A$5:$A$304,"&lt;"&amp;A143)+1)</f>
        <v/>
      </c>
    </row>
    <row r="144" customFormat="false" ht="15" hidden="false" customHeight="false" outlineLevel="0" collapsed="false">
      <c r="A144" s="55" t="str">
        <f aca="false">IF(B144="","",ROW()-4)</f>
        <v/>
      </c>
      <c r="B144" s="57"/>
      <c r="C144" s="57"/>
      <c r="D144" s="57"/>
      <c r="E144" s="57"/>
      <c r="F144" s="58" t="str">
        <f aca="false">IF(B144="","",IF(COUNTIF(取込チェック!$C$6:$C$505,B144)&gt;0,1,0))</f>
        <v/>
      </c>
      <c r="G144" s="59" t="str">
        <f aca="false">IF(B144="","",SUMIF(取込チェック!$C$6:$C$505,B144,取込チェック!$D$6:$D$505))</f>
        <v/>
      </c>
      <c r="H144" s="59" t="str">
        <f aca="false">IF(B144="","",SUMIF(取込チェック!$C$6:$C$505,B144,取込チェック!$E$6:$E$505))</f>
        <v/>
      </c>
      <c r="I144" s="59" t="str">
        <f aca="false">IF(B144="","",SUMIF(取込チェック!$C$6:$C$505,B144,取込チェック!$F$6:$F$505))</f>
        <v/>
      </c>
      <c r="J144" s="60" t="str">
        <f aca="false">IF(F144&lt;&gt;1,"",IF(H144=0,-1,G144/H144))</f>
        <v/>
      </c>
      <c r="K144" s="58" t="str">
        <f aca="false">IF(F144&lt;&gt;1,"",COUNTIFS($E$5:$E$304,E144,$F$5:$F$304,1,$J$5:$J$304,"&gt;"&amp;J144)+COUNTIFS($E$5:$E$304,E144,$F$5:$F$304,1,$J$5:$J$304,J144,$A$5:$A$304,"&lt;"&amp;A144)+1)</f>
        <v/>
      </c>
      <c r="L144" s="58" t="str">
        <f aca="false">IF(K144="","",E144&amp;"|"&amp;K144)</f>
        <v/>
      </c>
      <c r="M144" s="58" t="str">
        <f aca="false">IF(F144&lt;&gt;1,"",IF(COUNTIFS($C$5:C144,C144,$F$5:F144,1)=1,1,0))</f>
        <v/>
      </c>
      <c r="N144" s="59" t="str">
        <f aca="false">IF(M144&lt;&gt;1,"",SUMIF($C$5:$C$304,C144,$G$5:$G$304))</f>
        <v/>
      </c>
      <c r="O144" s="58" t="str">
        <f aca="false">IF(M144&lt;&gt;1,"",COUNTIFS($M$5:$M$304,1,$N$5:$N$304,"&gt;"&amp;N144)+COUNTIFS($M$5:$M$304,1,$N$5:$N$304,N144,$A$5:$A$304,"&lt;"&amp;A144)+1)</f>
        <v/>
      </c>
    </row>
    <row r="145" customFormat="false" ht="15" hidden="false" customHeight="false" outlineLevel="0" collapsed="false">
      <c r="A145" s="55" t="str">
        <f aca="false">IF(B145="","",ROW()-4)</f>
        <v/>
      </c>
      <c r="B145" s="57"/>
      <c r="C145" s="57"/>
      <c r="D145" s="57"/>
      <c r="E145" s="57"/>
      <c r="F145" s="58" t="str">
        <f aca="false">IF(B145="","",IF(COUNTIF(取込チェック!$C$6:$C$505,B145)&gt;0,1,0))</f>
        <v/>
      </c>
      <c r="G145" s="59" t="str">
        <f aca="false">IF(B145="","",SUMIF(取込チェック!$C$6:$C$505,B145,取込チェック!$D$6:$D$505))</f>
        <v/>
      </c>
      <c r="H145" s="59" t="str">
        <f aca="false">IF(B145="","",SUMIF(取込チェック!$C$6:$C$505,B145,取込チェック!$E$6:$E$505))</f>
        <v/>
      </c>
      <c r="I145" s="59" t="str">
        <f aca="false">IF(B145="","",SUMIF(取込チェック!$C$6:$C$505,B145,取込チェック!$F$6:$F$505))</f>
        <v/>
      </c>
      <c r="J145" s="60" t="str">
        <f aca="false">IF(F145&lt;&gt;1,"",IF(H145=0,-1,G145/H145))</f>
        <v/>
      </c>
      <c r="K145" s="58" t="str">
        <f aca="false">IF(F145&lt;&gt;1,"",COUNTIFS($E$5:$E$304,E145,$F$5:$F$304,1,$J$5:$J$304,"&gt;"&amp;J145)+COUNTIFS($E$5:$E$304,E145,$F$5:$F$304,1,$J$5:$J$304,J145,$A$5:$A$304,"&lt;"&amp;A145)+1)</f>
        <v/>
      </c>
      <c r="L145" s="58" t="str">
        <f aca="false">IF(K145="","",E145&amp;"|"&amp;K145)</f>
        <v/>
      </c>
      <c r="M145" s="58" t="str">
        <f aca="false">IF(F145&lt;&gt;1,"",IF(COUNTIFS($C$5:C145,C145,$F$5:F145,1)=1,1,0))</f>
        <v/>
      </c>
      <c r="N145" s="59" t="str">
        <f aca="false">IF(M145&lt;&gt;1,"",SUMIF($C$5:$C$304,C145,$G$5:$G$304))</f>
        <v/>
      </c>
      <c r="O145" s="58" t="str">
        <f aca="false">IF(M145&lt;&gt;1,"",COUNTIFS($M$5:$M$304,1,$N$5:$N$304,"&gt;"&amp;N145)+COUNTIFS($M$5:$M$304,1,$N$5:$N$304,N145,$A$5:$A$304,"&lt;"&amp;A145)+1)</f>
        <v/>
      </c>
    </row>
    <row r="146" customFormat="false" ht="15" hidden="false" customHeight="false" outlineLevel="0" collapsed="false">
      <c r="A146" s="55" t="str">
        <f aca="false">IF(B146="","",ROW()-4)</f>
        <v/>
      </c>
      <c r="B146" s="57"/>
      <c r="C146" s="57"/>
      <c r="D146" s="57"/>
      <c r="E146" s="57"/>
      <c r="F146" s="58" t="str">
        <f aca="false">IF(B146="","",IF(COUNTIF(取込チェック!$C$6:$C$505,B146)&gt;0,1,0))</f>
        <v/>
      </c>
      <c r="G146" s="59" t="str">
        <f aca="false">IF(B146="","",SUMIF(取込チェック!$C$6:$C$505,B146,取込チェック!$D$6:$D$505))</f>
        <v/>
      </c>
      <c r="H146" s="59" t="str">
        <f aca="false">IF(B146="","",SUMIF(取込チェック!$C$6:$C$505,B146,取込チェック!$E$6:$E$505))</f>
        <v/>
      </c>
      <c r="I146" s="59" t="str">
        <f aca="false">IF(B146="","",SUMIF(取込チェック!$C$6:$C$505,B146,取込チェック!$F$6:$F$505))</f>
        <v/>
      </c>
      <c r="J146" s="60" t="str">
        <f aca="false">IF(F146&lt;&gt;1,"",IF(H146=0,-1,G146/H146))</f>
        <v/>
      </c>
      <c r="K146" s="58" t="str">
        <f aca="false">IF(F146&lt;&gt;1,"",COUNTIFS($E$5:$E$304,E146,$F$5:$F$304,1,$J$5:$J$304,"&gt;"&amp;J146)+COUNTIFS($E$5:$E$304,E146,$F$5:$F$304,1,$J$5:$J$304,J146,$A$5:$A$304,"&lt;"&amp;A146)+1)</f>
        <v/>
      </c>
      <c r="L146" s="58" t="str">
        <f aca="false">IF(K146="","",E146&amp;"|"&amp;K146)</f>
        <v/>
      </c>
      <c r="M146" s="58" t="str">
        <f aca="false">IF(F146&lt;&gt;1,"",IF(COUNTIFS($C$5:C146,C146,$F$5:F146,1)=1,1,0))</f>
        <v/>
      </c>
      <c r="N146" s="59" t="str">
        <f aca="false">IF(M146&lt;&gt;1,"",SUMIF($C$5:$C$304,C146,$G$5:$G$304))</f>
        <v/>
      </c>
      <c r="O146" s="58" t="str">
        <f aca="false">IF(M146&lt;&gt;1,"",COUNTIFS($M$5:$M$304,1,$N$5:$N$304,"&gt;"&amp;N146)+COUNTIFS($M$5:$M$304,1,$N$5:$N$304,N146,$A$5:$A$304,"&lt;"&amp;A146)+1)</f>
        <v/>
      </c>
    </row>
    <row r="147" customFormat="false" ht="15" hidden="false" customHeight="false" outlineLevel="0" collapsed="false">
      <c r="A147" s="55" t="str">
        <f aca="false">IF(B147="","",ROW()-4)</f>
        <v/>
      </c>
      <c r="B147" s="57"/>
      <c r="C147" s="57"/>
      <c r="D147" s="57"/>
      <c r="E147" s="57"/>
      <c r="F147" s="58" t="str">
        <f aca="false">IF(B147="","",IF(COUNTIF(取込チェック!$C$6:$C$505,B147)&gt;0,1,0))</f>
        <v/>
      </c>
      <c r="G147" s="59" t="str">
        <f aca="false">IF(B147="","",SUMIF(取込チェック!$C$6:$C$505,B147,取込チェック!$D$6:$D$505))</f>
        <v/>
      </c>
      <c r="H147" s="59" t="str">
        <f aca="false">IF(B147="","",SUMIF(取込チェック!$C$6:$C$505,B147,取込チェック!$E$6:$E$505))</f>
        <v/>
      </c>
      <c r="I147" s="59" t="str">
        <f aca="false">IF(B147="","",SUMIF(取込チェック!$C$6:$C$505,B147,取込チェック!$F$6:$F$505))</f>
        <v/>
      </c>
      <c r="J147" s="60" t="str">
        <f aca="false">IF(F147&lt;&gt;1,"",IF(H147=0,-1,G147/H147))</f>
        <v/>
      </c>
      <c r="K147" s="58" t="str">
        <f aca="false">IF(F147&lt;&gt;1,"",COUNTIFS($E$5:$E$304,E147,$F$5:$F$304,1,$J$5:$J$304,"&gt;"&amp;J147)+COUNTIFS($E$5:$E$304,E147,$F$5:$F$304,1,$J$5:$J$304,J147,$A$5:$A$304,"&lt;"&amp;A147)+1)</f>
        <v/>
      </c>
      <c r="L147" s="58" t="str">
        <f aca="false">IF(K147="","",E147&amp;"|"&amp;K147)</f>
        <v/>
      </c>
      <c r="M147" s="58" t="str">
        <f aca="false">IF(F147&lt;&gt;1,"",IF(COUNTIFS($C$5:C147,C147,$F$5:F147,1)=1,1,0))</f>
        <v/>
      </c>
      <c r="N147" s="59" t="str">
        <f aca="false">IF(M147&lt;&gt;1,"",SUMIF($C$5:$C$304,C147,$G$5:$G$304))</f>
        <v/>
      </c>
      <c r="O147" s="58" t="str">
        <f aca="false">IF(M147&lt;&gt;1,"",COUNTIFS($M$5:$M$304,1,$N$5:$N$304,"&gt;"&amp;N147)+COUNTIFS($M$5:$M$304,1,$N$5:$N$304,N147,$A$5:$A$304,"&lt;"&amp;A147)+1)</f>
        <v/>
      </c>
    </row>
    <row r="148" customFormat="false" ht="15" hidden="false" customHeight="false" outlineLevel="0" collapsed="false">
      <c r="A148" s="55" t="str">
        <f aca="false">IF(B148="","",ROW()-4)</f>
        <v/>
      </c>
      <c r="B148" s="57"/>
      <c r="C148" s="57"/>
      <c r="D148" s="57"/>
      <c r="E148" s="57"/>
      <c r="F148" s="58" t="str">
        <f aca="false">IF(B148="","",IF(COUNTIF(取込チェック!$C$6:$C$505,B148)&gt;0,1,0))</f>
        <v/>
      </c>
      <c r="G148" s="59" t="str">
        <f aca="false">IF(B148="","",SUMIF(取込チェック!$C$6:$C$505,B148,取込チェック!$D$6:$D$505))</f>
        <v/>
      </c>
      <c r="H148" s="59" t="str">
        <f aca="false">IF(B148="","",SUMIF(取込チェック!$C$6:$C$505,B148,取込チェック!$E$6:$E$505))</f>
        <v/>
      </c>
      <c r="I148" s="59" t="str">
        <f aca="false">IF(B148="","",SUMIF(取込チェック!$C$6:$C$505,B148,取込チェック!$F$6:$F$505))</f>
        <v/>
      </c>
      <c r="J148" s="60" t="str">
        <f aca="false">IF(F148&lt;&gt;1,"",IF(H148=0,-1,G148/H148))</f>
        <v/>
      </c>
      <c r="K148" s="58" t="str">
        <f aca="false">IF(F148&lt;&gt;1,"",COUNTIFS($E$5:$E$304,E148,$F$5:$F$304,1,$J$5:$J$304,"&gt;"&amp;J148)+COUNTIFS($E$5:$E$304,E148,$F$5:$F$304,1,$J$5:$J$304,J148,$A$5:$A$304,"&lt;"&amp;A148)+1)</f>
        <v/>
      </c>
      <c r="L148" s="58" t="str">
        <f aca="false">IF(K148="","",E148&amp;"|"&amp;K148)</f>
        <v/>
      </c>
      <c r="M148" s="58" t="str">
        <f aca="false">IF(F148&lt;&gt;1,"",IF(COUNTIFS($C$5:C148,C148,$F$5:F148,1)=1,1,0))</f>
        <v/>
      </c>
      <c r="N148" s="59" t="str">
        <f aca="false">IF(M148&lt;&gt;1,"",SUMIF($C$5:$C$304,C148,$G$5:$G$304))</f>
        <v/>
      </c>
      <c r="O148" s="58" t="str">
        <f aca="false">IF(M148&lt;&gt;1,"",COUNTIFS($M$5:$M$304,1,$N$5:$N$304,"&gt;"&amp;N148)+COUNTIFS($M$5:$M$304,1,$N$5:$N$304,N148,$A$5:$A$304,"&lt;"&amp;A148)+1)</f>
        <v/>
      </c>
    </row>
    <row r="149" customFormat="false" ht="15" hidden="false" customHeight="false" outlineLevel="0" collapsed="false">
      <c r="A149" s="55" t="str">
        <f aca="false">IF(B149="","",ROW()-4)</f>
        <v/>
      </c>
      <c r="B149" s="57"/>
      <c r="C149" s="57"/>
      <c r="D149" s="57"/>
      <c r="E149" s="57"/>
      <c r="F149" s="58" t="str">
        <f aca="false">IF(B149="","",IF(COUNTIF(取込チェック!$C$6:$C$505,B149)&gt;0,1,0))</f>
        <v/>
      </c>
      <c r="G149" s="59" t="str">
        <f aca="false">IF(B149="","",SUMIF(取込チェック!$C$6:$C$505,B149,取込チェック!$D$6:$D$505))</f>
        <v/>
      </c>
      <c r="H149" s="59" t="str">
        <f aca="false">IF(B149="","",SUMIF(取込チェック!$C$6:$C$505,B149,取込チェック!$E$6:$E$505))</f>
        <v/>
      </c>
      <c r="I149" s="59" t="str">
        <f aca="false">IF(B149="","",SUMIF(取込チェック!$C$6:$C$505,B149,取込チェック!$F$6:$F$505))</f>
        <v/>
      </c>
      <c r="J149" s="60" t="str">
        <f aca="false">IF(F149&lt;&gt;1,"",IF(H149=0,-1,G149/H149))</f>
        <v/>
      </c>
      <c r="K149" s="58" t="str">
        <f aca="false">IF(F149&lt;&gt;1,"",COUNTIFS($E$5:$E$304,E149,$F$5:$F$304,1,$J$5:$J$304,"&gt;"&amp;J149)+COUNTIFS($E$5:$E$304,E149,$F$5:$F$304,1,$J$5:$J$304,J149,$A$5:$A$304,"&lt;"&amp;A149)+1)</f>
        <v/>
      </c>
      <c r="L149" s="58" t="str">
        <f aca="false">IF(K149="","",E149&amp;"|"&amp;K149)</f>
        <v/>
      </c>
      <c r="M149" s="58" t="str">
        <f aca="false">IF(F149&lt;&gt;1,"",IF(COUNTIFS($C$5:C149,C149,$F$5:F149,1)=1,1,0))</f>
        <v/>
      </c>
      <c r="N149" s="59" t="str">
        <f aca="false">IF(M149&lt;&gt;1,"",SUMIF($C$5:$C$304,C149,$G$5:$G$304))</f>
        <v/>
      </c>
      <c r="O149" s="58" t="str">
        <f aca="false">IF(M149&lt;&gt;1,"",COUNTIFS($M$5:$M$304,1,$N$5:$N$304,"&gt;"&amp;N149)+COUNTIFS($M$5:$M$304,1,$N$5:$N$304,N149,$A$5:$A$304,"&lt;"&amp;A149)+1)</f>
        <v/>
      </c>
    </row>
    <row r="150" customFormat="false" ht="15" hidden="false" customHeight="false" outlineLevel="0" collapsed="false">
      <c r="A150" s="55" t="str">
        <f aca="false">IF(B150="","",ROW()-4)</f>
        <v/>
      </c>
      <c r="B150" s="57"/>
      <c r="C150" s="57"/>
      <c r="D150" s="57"/>
      <c r="E150" s="57"/>
      <c r="F150" s="58" t="str">
        <f aca="false">IF(B150="","",IF(COUNTIF(取込チェック!$C$6:$C$505,B150)&gt;0,1,0))</f>
        <v/>
      </c>
      <c r="G150" s="59" t="str">
        <f aca="false">IF(B150="","",SUMIF(取込チェック!$C$6:$C$505,B150,取込チェック!$D$6:$D$505))</f>
        <v/>
      </c>
      <c r="H150" s="59" t="str">
        <f aca="false">IF(B150="","",SUMIF(取込チェック!$C$6:$C$505,B150,取込チェック!$E$6:$E$505))</f>
        <v/>
      </c>
      <c r="I150" s="59" t="str">
        <f aca="false">IF(B150="","",SUMIF(取込チェック!$C$6:$C$505,B150,取込チェック!$F$6:$F$505))</f>
        <v/>
      </c>
      <c r="J150" s="60" t="str">
        <f aca="false">IF(F150&lt;&gt;1,"",IF(H150=0,-1,G150/H150))</f>
        <v/>
      </c>
      <c r="K150" s="58" t="str">
        <f aca="false">IF(F150&lt;&gt;1,"",COUNTIFS($E$5:$E$304,E150,$F$5:$F$304,1,$J$5:$J$304,"&gt;"&amp;J150)+COUNTIFS($E$5:$E$304,E150,$F$5:$F$304,1,$J$5:$J$304,J150,$A$5:$A$304,"&lt;"&amp;A150)+1)</f>
        <v/>
      </c>
      <c r="L150" s="58" t="str">
        <f aca="false">IF(K150="","",E150&amp;"|"&amp;K150)</f>
        <v/>
      </c>
      <c r="M150" s="58" t="str">
        <f aca="false">IF(F150&lt;&gt;1,"",IF(COUNTIFS($C$5:C150,C150,$F$5:F150,1)=1,1,0))</f>
        <v/>
      </c>
      <c r="N150" s="59" t="str">
        <f aca="false">IF(M150&lt;&gt;1,"",SUMIF($C$5:$C$304,C150,$G$5:$G$304))</f>
        <v/>
      </c>
      <c r="O150" s="58" t="str">
        <f aca="false">IF(M150&lt;&gt;1,"",COUNTIFS($M$5:$M$304,1,$N$5:$N$304,"&gt;"&amp;N150)+COUNTIFS($M$5:$M$304,1,$N$5:$N$304,N150,$A$5:$A$304,"&lt;"&amp;A150)+1)</f>
        <v/>
      </c>
    </row>
    <row r="151" customFormat="false" ht="15" hidden="false" customHeight="false" outlineLevel="0" collapsed="false">
      <c r="A151" s="55" t="str">
        <f aca="false">IF(B151="","",ROW()-4)</f>
        <v/>
      </c>
      <c r="B151" s="57"/>
      <c r="C151" s="57"/>
      <c r="D151" s="57"/>
      <c r="E151" s="57"/>
      <c r="F151" s="58" t="str">
        <f aca="false">IF(B151="","",IF(COUNTIF(取込チェック!$C$6:$C$505,B151)&gt;0,1,0))</f>
        <v/>
      </c>
      <c r="G151" s="59" t="str">
        <f aca="false">IF(B151="","",SUMIF(取込チェック!$C$6:$C$505,B151,取込チェック!$D$6:$D$505))</f>
        <v/>
      </c>
      <c r="H151" s="59" t="str">
        <f aca="false">IF(B151="","",SUMIF(取込チェック!$C$6:$C$505,B151,取込チェック!$E$6:$E$505))</f>
        <v/>
      </c>
      <c r="I151" s="59" t="str">
        <f aca="false">IF(B151="","",SUMIF(取込チェック!$C$6:$C$505,B151,取込チェック!$F$6:$F$505))</f>
        <v/>
      </c>
      <c r="J151" s="60" t="str">
        <f aca="false">IF(F151&lt;&gt;1,"",IF(H151=0,-1,G151/H151))</f>
        <v/>
      </c>
      <c r="K151" s="58" t="str">
        <f aca="false">IF(F151&lt;&gt;1,"",COUNTIFS($E$5:$E$304,E151,$F$5:$F$304,1,$J$5:$J$304,"&gt;"&amp;J151)+COUNTIFS($E$5:$E$304,E151,$F$5:$F$304,1,$J$5:$J$304,J151,$A$5:$A$304,"&lt;"&amp;A151)+1)</f>
        <v/>
      </c>
      <c r="L151" s="58" t="str">
        <f aca="false">IF(K151="","",E151&amp;"|"&amp;K151)</f>
        <v/>
      </c>
      <c r="M151" s="58" t="str">
        <f aca="false">IF(F151&lt;&gt;1,"",IF(COUNTIFS($C$5:C151,C151,$F$5:F151,1)=1,1,0))</f>
        <v/>
      </c>
      <c r="N151" s="59" t="str">
        <f aca="false">IF(M151&lt;&gt;1,"",SUMIF($C$5:$C$304,C151,$G$5:$G$304))</f>
        <v/>
      </c>
      <c r="O151" s="58" t="str">
        <f aca="false">IF(M151&lt;&gt;1,"",COUNTIFS($M$5:$M$304,1,$N$5:$N$304,"&gt;"&amp;N151)+COUNTIFS($M$5:$M$304,1,$N$5:$N$304,N151,$A$5:$A$304,"&lt;"&amp;A151)+1)</f>
        <v/>
      </c>
    </row>
    <row r="152" customFormat="false" ht="15" hidden="false" customHeight="false" outlineLevel="0" collapsed="false">
      <c r="A152" s="55" t="str">
        <f aca="false">IF(B152="","",ROW()-4)</f>
        <v/>
      </c>
      <c r="B152" s="57"/>
      <c r="C152" s="57"/>
      <c r="D152" s="57"/>
      <c r="E152" s="57"/>
      <c r="F152" s="58" t="str">
        <f aca="false">IF(B152="","",IF(COUNTIF(取込チェック!$C$6:$C$505,B152)&gt;0,1,0))</f>
        <v/>
      </c>
      <c r="G152" s="59" t="str">
        <f aca="false">IF(B152="","",SUMIF(取込チェック!$C$6:$C$505,B152,取込チェック!$D$6:$D$505))</f>
        <v/>
      </c>
      <c r="H152" s="59" t="str">
        <f aca="false">IF(B152="","",SUMIF(取込チェック!$C$6:$C$505,B152,取込チェック!$E$6:$E$505))</f>
        <v/>
      </c>
      <c r="I152" s="59" t="str">
        <f aca="false">IF(B152="","",SUMIF(取込チェック!$C$6:$C$505,B152,取込チェック!$F$6:$F$505))</f>
        <v/>
      </c>
      <c r="J152" s="60" t="str">
        <f aca="false">IF(F152&lt;&gt;1,"",IF(H152=0,-1,G152/H152))</f>
        <v/>
      </c>
      <c r="K152" s="58" t="str">
        <f aca="false">IF(F152&lt;&gt;1,"",COUNTIFS($E$5:$E$304,E152,$F$5:$F$304,1,$J$5:$J$304,"&gt;"&amp;J152)+COUNTIFS($E$5:$E$304,E152,$F$5:$F$304,1,$J$5:$J$304,J152,$A$5:$A$304,"&lt;"&amp;A152)+1)</f>
        <v/>
      </c>
      <c r="L152" s="58" t="str">
        <f aca="false">IF(K152="","",E152&amp;"|"&amp;K152)</f>
        <v/>
      </c>
      <c r="M152" s="58" t="str">
        <f aca="false">IF(F152&lt;&gt;1,"",IF(COUNTIFS($C$5:C152,C152,$F$5:F152,1)=1,1,0))</f>
        <v/>
      </c>
      <c r="N152" s="59" t="str">
        <f aca="false">IF(M152&lt;&gt;1,"",SUMIF($C$5:$C$304,C152,$G$5:$G$304))</f>
        <v/>
      </c>
      <c r="O152" s="58" t="str">
        <f aca="false">IF(M152&lt;&gt;1,"",COUNTIFS($M$5:$M$304,1,$N$5:$N$304,"&gt;"&amp;N152)+COUNTIFS($M$5:$M$304,1,$N$5:$N$304,N152,$A$5:$A$304,"&lt;"&amp;A152)+1)</f>
        <v/>
      </c>
    </row>
    <row r="153" customFormat="false" ht="15" hidden="false" customHeight="false" outlineLevel="0" collapsed="false">
      <c r="A153" s="55" t="str">
        <f aca="false">IF(B153="","",ROW()-4)</f>
        <v/>
      </c>
      <c r="B153" s="57"/>
      <c r="C153" s="57"/>
      <c r="D153" s="57"/>
      <c r="E153" s="57"/>
      <c r="F153" s="58" t="str">
        <f aca="false">IF(B153="","",IF(COUNTIF(取込チェック!$C$6:$C$505,B153)&gt;0,1,0))</f>
        <v/>
      </c>
      <c r="G153" s="59" t="str">
        <f aca="false">IF(B153="","",SUMIF(取込チェック!$C$6:$C$505,B153,取込チェック!$D$6:$D$505))</f>
        <v/>
      </c>
      <c r="H153" s="59" t="str">
        <f aca="false">IF(B153="","",SUMIF(取込チェック!$C$6:$C$505,B153,取込チェック!$E$6:$E$505))</f>
        <v/>
      </c>
      <c r="I153" s="59" t="str">
        <f aca="false">IF(B153="","",SUMIF(取込チェック!$C$6:$C$505,B153,取込チェック!$F$6:$F$505))</f>
        <v/>
      </c>
      <c r="J153" s="60" t="str">
        <f aca="false">IF(F153&lt;&gt;1,"",IF(H153=0,-1,G153/H153))</f>
        <v/>
      </c>
      <c r="K153" s="58" t="str">
        <f aca="false">IF(F153&lt;&gt;1,"",COUNTIFS($E$5:$E$304,E153,$F$5:$F$304,1,$J$5:$J$304,"&gt;"&amp;J153)+COUNTIFS($E$5:$E$304,E153,$F$5:$F$304,1,$J$5:$J$304,J153,$A$5:$A$304,"&lt;"&amp;A153)+1)</f>
        <v/>
      </c>
      <c r="L153" s="58" t="str">
        <f aca="false">IF(K153="","",E153&amp;"|"&amp;K153)</f>
        <v/>
      </c>
      <c r="M153" s="58" t="str">
        <f aca="false">IF(F153&lt;&gt;1,"",IF(COUNTIFS($C$5:C153,C153,$F$5:F153,1)=1,1,0))</f>
        <v/>
      </c>
      <c r="N153" s="59" t="str">
        <f aca="false">IF(M153&lt;&gt;1,"",SUMIF($C$5:$C$304,C153,$G$5:$G$304))</f>
        <v/>
      </c>
      <c r="O153" s="58" t="str">
        <f aca="false">IF(M153&lt;&gt;1,"",COUNTIFS($M$5:$M$304,1,$N$5:$N$304,"&gt;"&amp;N153)+COUNTIFS($M$5:$M$304,1,$N$5:$N$304,N153,$A$5:$A$304,"&lt;"&amp;A153)+1)</f>
        <v/>
      </c>
    </row>
    <row r="154" customFormat="false" ht="15" hidden="false" customHeight="false" outlineLevel="0" collapsed="false">
      <c r="A154" s="55" t="str">
        <f aca="false">IF(B154="","",ROW()-4)</f>
        <v/>
      </c>
      <c r="B154" s="57"/>
      <c r="C154" s="57"/>
      <c r="D154" s="57"/>
      <c r="E154" s="57"/>
      <c r="F154" s="58" t="str">
        <f aca="false">IF(B154="","",IF(COUNTIF(取込チェック!$C$6:$C$505,B154)&gt;0,1,0))</f>
        <v/>
      </c>
      <c r="G154" s="59" t="str">
        <f aca="false">IF(B154="","",SUMIF(取込チェック!$C$6:$C$505,B154,取込チェック!$D$6:$D$505))</f>
        <v/>
      </c>
      <c r="H154" s="59" t="str">
        <f aca="false">IF(B154="","",SUMIF(取込チェック!$C$6:$C$505,B154,取込チェック!$E$6:$E$505))</f>
        <v/>
      </c>
      <c r="I154" s="59" t="str">
        <f aca="false">IF(B154="","",SUMIF(取込チェック!$C$6:$C$505,B154,取込チェック!$F$6:$F$505))</f>
        <v/>
      </c>
      <c r="J154" s="60" t="str">
        <f aca="false">IF(F154&lt;&gt;1,"",IF(H154=0,-1,G154/H154))</f>
        <v/>
      </c>
      <c r="K154" s="58" t="str">
        <f aca="false">IF(F154&lt;&gt;1,"",COUNTIFS($E$5:$E$304,E154,$F$5:$F$304,1,$J$5:$J$304,"&gt;"&amp;J154)+COUNTIFS($E$5:$E$304,E154,$F$5:$F$304,1,$J$5:$J$304,J154,$A$5:$A$304,"&lt;"&amp;A154)+1)</f>
        <v/>
      </c>
      <c r="L154" s="58" t="str">
        <f aca="false">IF(K154="","",E154&amp;"|"&amp;K154)</f>
        <v/>
      </c>
      <c r="M154" s="58" t="str">
        <f aca="false">IF(F154&lt;&gt;1,"",IF(COUNTIFS($C$5:C154,C154,$F$5:F154,1)=1,1,0))</f>
        <v/>
      </c>
      <c r="N154" s="59" t="str">
        <f aca="false">IF(M154&lt;&gt;1,"",SUMIF($C$5:$C$304,C154,$G$5:$G$304))</f>
        <v/>
      </c>
      <c r="O154" s="58" t="str">
        <f aca="false">IF(M154&lt;&gt;1,"",COUNTIFS($M$5:$M$304,1,$N$5:$N$304,"&gt;"&amp;N154)+COUNTIFS($M$5:$M$304,1,$N$5:$N$304,N154,$A$5:$A$304,"&lt;"&amp;A154)+1)</f>
        <v/>
      </c>
    </row>
    <row r="155" customFormat="false" ht="15" hidden="false" customHeight="false" outlineLevel="0" collapsed="false">
      <c r="A155" s="55" t="str">
        <f aca="false">IF(B155="","",ROW()-4)</f>
        <v/>
      </c>
      <c r="B155" s="57"/>
      <c r="C155" s="57"/>
      <c r="D155" s="57"/>
      <c r="E155" s="57"/>
      <c r="F155" s="58" t="str">
        <f aca="false">IF(B155="","",IF(COUNTIF(取込チェック!$C$6:$C$505,B155)&gt;0,1,0))</f>
        <v/>
      </c>
      <c r="G155" s="59" t="str">
        <f aca="false">IF(B155="","",SUMIF(取込チェック!$C$6:$C$505,B155,取込チェック!$D$6:$D$505))</f>
        <v/>
      </c>
      <c r="H155" s="59" t="str">
        <f aca="false">IF(B155="","",SUMIF(取込チェック!$C$6:$C$505,B155,取込チェック!$E$6:$E$505))</f>
        <v/>
      </c>
      <c r="I155" s="59" t="str">
        <f aca="false">IF(B155="","",SUMIF(取込チェック!$C$6:$C$505,B155,取込チェック!$F$6:$F$505))</f>
        <v/>
      </c>
      <c r="J155" s="60" t="str">
        <f aca="false">IF(F155&lt;&gt;1,"",IF(H155=0,-1,G155/H155))</f>
        <v/>
      </c>
      <c r="K155" s="58" t="str">
        <f aca="false">IF(F155&lt;&gt;1,"",COUNTIFS($E$5:$E$304,E155,$F$5:$F$304,1,$J$5:$J$304,"&gt;"&amp;J155)+COUNTIFS($E$5:$E$304,E155,$F$5:$F$304,1,$J$5:$J$304,J155,$A$5:$A$304,"&lt;"&amp;A155)+1)</f>
        <v/>
      </c>
      <c r="L155" s="58" t="str">
        <f aca="false">IF(K155="","",E155&amp;"|"&amp;K155)</f>
        <v/>
      </c>
      <c r="M155" s="58" t="str">
        <f aca="false">IF(F155&lt;&gt;1,"",IF(COUNTIFS($C$5:C155,C155,$F$5:F155,1)=1,1,0))</f>
        <v/>
      </c>
      <c r="N155" s="59" t="str">
        <f aca="false">IF(M155&lt;&gt;1,"",SUMIF($C$5:$C$304,C155,$G$5:$G$304))</f>
        <v/>
      </c>
      <c r="O155" s="58" t="str">
        <f aca="false">IF(M155&lt;&gt;1,"",COUNTIFS($M$5:$M$304,1,$N$5:$N$304,"&gt;"&amp;N155)+COUNTIFS($M$5:$M$304,1,$N$5:$N$304,N155,$A$5:$A$304,"&lt;"&amp;A155)+1)</f>
        <v/>
      </c>
    </row>
    <row r="156" customFormat="false" ht="15" hidden="false" customHeight="false" outlineLevel="0" collapsed="false">
      <c r="A156" s="55" t="str">
        <f aca="false">IF(B156="","",ROW()-4)</f>
        <v/>
      </c>
      <c r="B156" s="57"/>
      <c r="C156" s="57"/>
      <c r="D156" s="57"/>
      <c r="E156" s="57"/>
      <c r="F156" s="58" t="str">
        <f aca="false">IF(B156="","",IF(COUNTIF(取込チェック!$C$6:$C$505,B156)&gt;0,1,0))</f>
        <v/>
      </c>
      <c r="G156" s="59" t="str">
        <f aca="false">IF(B156="","",SUMIF(取込チェック!$C$6:$C$505,B156,取込チェック!$D$6:$D$505))</f>
        <v/>
      </c>
      <c r="H156" s="59" t="str">
        <f aca="false">IF(B156="","",SUMIF(取込チェック!$C$6:$C$505,B156,取込チェック!$E$6:$E$505))</f>
        <v/>
      </c>
      <c r="I156" s="59" t="str">
        <f aca="false">IF(B156="","",SUMIF(取込チェック!$C$6:$C$505,B156,取込チェック!$F$6:$F$505))</f>
        <v/>
      </c>
      <c r="J156" s="60" t="str">
        <f aca="false">IF(F156&lt;&gt;1,"",IF(H156=0,-1,G156/H156))</f>
        <v/>
      </c>
      <c r="K156" s="58" t="str">
        <f aca="false">IF(F156&lt;&gt;1,"",COUNTIFS($E$5:$E$304,E156,$F$5:$F$304,1,$J$5:$J$304,"&gt;"&amp;J156)+COUNTIFS($E$5:$E$304,E156,$F$5:$F$304,1,$J$5:$J$304,J156,$A$5:$A$304,"&lt;"&amp;A156)+1)</f>
        <v/>
      </c>
      <c r="L156" s="58" t="str">
        <f aca="false">IF(K156="","",E156&amp;"|"&amp;K156)</f>
        <v/>
      </c>
      <c r="M156" s="58" t="str">
        <f aca="false">IF(F156&lt;&gt;1,"",IF(COUNTIFS($C$5:C156,C156,$F$5:F156,1)=1,1,0))</f>
        <v/>
      </c>
      <c r="N156" s="59" t="str">
        <f aca="false">IF(M156&lt;&gt;1,"",SUMIF($C$5:$C$304,C156,$G$5:$G$304))</f>
        <v/>
      </c>
      <c r="O156" s="58" t="str">
        <f aca="false">IF(M156&lt;&gt;1,"",COUNTIFS($M$5:$M$304,1,$N$5:$N$304,"&gt;"&amp;N156)+COUNTIFS($M$5:$M$304,1,$N$5:$N$304,N156,$A$5:$A$304,"&lt;"&amp;A156)+1)</f>
        <v/>
      </c>
    </row>
    <row r="157" customFormat="false" ht="15" hidden="false" customHeight="false" outlineLevel="0" collapsed="false">
      <c r="A157" s="55" t="str">
        <f aca="false">IF(B157="","",ROW()-4)</f>
        <v/>
      </c>
      <c r="B157" s="57"/>
      <c r="C157" s="57"/>
      <c r="D157" s="57"/>
      <c r="E157" s="57"/>
      <c r="F157" s="58" t="str">
        <f aca="false">IF(B157="","",IF(COUNTIF(取込チェック!$C$6:$C$505,B157)&gt;0,1,0))</f>
        <v/>
      </c>
      <c r="G157" s="59" t="str">
        <f aca="false">IF(B157="","",SUMIF(取込チェック!$C$6:$C$505,B157,取込チェック!$D$6:$D$505))</f>
        <v/>
      </c>
      <c r="H157" s="59" t="str">
        <f aca="false">IF(B157="","",SUMIF(取込チェック!$C$6:$C$505,B157,取込チェック!$E$6:$E$505))</f>
        <v/>
      </c>
      <c r="I157" s="59" t="str">
        <f aca="false">IF(B157="","",SUMIF(取込チェック!$C$6:$C$505,B157,取込チェック!$F$6:$F$505))</f>
        <v/>
      </c>
      <c r="J157" s="60" t="str">
        <f aca="false">IF(F157&lt;&gt;1,"",IF(H157=0,-1,G157/H157))</f>
        <v/>
      </c>
      <c r="K157" s="58" t="str">
        <f aca="false">IF(F157&lt;&gt;1,"",COUNTIFS($E$5:$E$304,E157,$F$5:$F$304,1,$J$5:$J$304,"&gt;"&amp;J157)+COUNTIFS($E$5:$E$304,E157,$F$5:$F$304,1,$J$5:$J$304,J157,$A$5:$A$304,"&lt;"&amp;A157)+1)</f>
        <v/>
      </c>
      <c r="L157" s="58" t="str">
        <f aca="false">IF(K157="","",E157&amp;"|"&amp;K157)</f>
        <v/>
      </c>
      <c r="M157" s="58" t="str">
        <f aca="false">IF(F157&lt;&gt;1,"",IF(COUNTIFS($C$5:C157,C157,$F$5:F157,1)=1,1,0))</f>
        <v/>
      </c>
      <c r="N157" s="59" t="str">
        <f aca="false">IF(M157&lt;&gt;1,"",SUMIF($C$5:$C$304,C157,$G$5:$G$304))</f>
        <v/>
      </c>
      <c r="O157" s="58" t="str">
        <f aca="false">IF(M157&lt;&gt;1,"",COUNTIFS($M$5:$M$304,1,$N$5:$N$304,"&gt;"&amp;N157)+COUNTIFS($M$5:$M$304,1,$N$5:$N$304,N157,$A$5:$A$304,"&lt;"&amp;A157)+1)</f>
        <v/>
      </c>
    </row>
    <row r="158" customFormat="false" ht="15" hidden="false" customHeight="false" outlineLevel="0" collapsed="false">
      <c r="A158" s="55" t="str">
        <f aca="false">IF(B158="","",ROW()-4)</f>
        <v/>
      </c>
      <c r="B158" s="57"/>
      <c r="C158" s="57"/>
      <c r="D158" s="57"/>
      <c r="E158" s="57"/>
      <c r="F158" s="58" t="str">
        <f aca="false">IF(B158="","",IF(COUNTIF(取込チェック!$C$6:$C$505,B158)&gt;0,1,0))</f>
        <v/>
      </c>
      <c r="G158" s="59" t="str">
        <f aca="false">IF(B158="","",SUMIF(取込チェック!$C$6:$C$505,B158,取込チェック!$D$6:$D$505))</f>
        <v/>
      </c>
      <c r="H158" s="59" t="str">
        <f aca="false">IF(B158="","",SUMIF(取込チェック!$C$6:$C$505,B158,取込チェック!$E$6:$E$505))</f>
        <v/>
      </c>
      <c r="I158" s="59" t="str">
        <f aca="false">IF(B158="","",SUMIF(取込チェック!$C$6:$C$505,B158,取込チェック!$F$6:$F$505))</f>
        <v/>
      </c>
      <c r="J158" s="60" t="str">
        <f aca="false">IF(F158&lt;&gt;1,"",IF(H158=0,-1,G158/H158))</f>
        <v/>
      </c>
      <c r="K158" s="58" t="str">
        <f aca="false">IF(F158&lt;&gt;1,"",COUNTIFS($E$5:$E$304,E158,$F$5:$F$304,1,$J$5:$J$304,"&gt;"&amp;J158)+COUNTIFS($E$5:$E$304,E158,$F$5:$F$304,1,$J$5:$J$304,J158,$A$5:$A$304,"&lt;"&amp;A158)+1)</f>
        <v/>
      </c>
      <c r="L158" s="58" t="str">
        <f aca="false">IF(K158="","",E158&amp;"|"&amp;K158)</f>
        <v/>
      </c>
      <c r="M158" s="58" t="str">
        <f aca="false">IF(F158&lt;&gt;1,"",IF(COUNTIFS($C$5:C158,C158,$F$5:F158,1)=1,1,0))</f>
        <v/>
      </c>
      <c r="N158" s="59" t="str">
        <f aca="false">IF(M158&lt;&gt;1,"",SUMIF($C$5:$C$304,C158,$G$5:$G$304))</f>
        <v/>
      </c>
      <c r="O158" s="58" t="str">
        <f aca="false">IF(M158&lt;&gt;1,"",COUNTIFS($M$5:$M$304,1,$N$5:$N$304,"&gt;"&amp;N158)+COUNTIFS($M$5:$M$304,1,$N$5:$N$304,N158,$A$5:$A$304,"&lt;"&amp;A158)+1)</f>
        <v/>
      </c>
    </row>
    <row r="159" customFormat="false" ht="15" hidden="false" customHeight="false" outlineLevel="0" collapsed="false">
      <c r="A159" s="55" t="str">
        <f aca="false">IF(B159="","",ROW()-4)</f>
        <v/>
      </c>
      <c r="B159" s="57"/>
      <c r="C159" s="57"/>
      <c r="D159" s="57"/>
      <c r="E159" s="57"/>
      <c r="F159" s="58" t="str">
        <f aca="false">IF(B159="","",IF(COUNTIF(取込チェック!$C$6:$C$505,B159)&gt;0,1,0))</f>
        <v/>
      </c>
      <c r="G159" s="59" t="str">
        <f aca="false">IF(B159="","",SUMIF(取込チェック!$C$6:$C$505,B159,取込チェック!$D$6:$D$505))</f>
        <v/>
      </c>
      <c r="H159" s="59" t="str">
        <f aca="false">IF(B159="","",SUMIF(取込チェック!$C$6:$C$505,B159,取込チェック!$E$6:$E$505))</f>
        <v/>
      </c>
      <c r="I159" s="59" t="str">
        <f aca="false">IF(B159="","",SUMIF(取込チェック!$C$6:$C$505,B159,取込チェック!$F$6:$F$505))</f>
        <v/>
      </c>
      <c r="J159" s="60" t="str">
        <f aca="false">IF(F159&lt;&gt;1,"",IF(H159=0,-1,G159/H159))</f>
        <v/>
      </c>
      <c r="K159" s="58" t="str">
        <f aca="false">IF(F159&lt;&gt;1,"",COUNTIFS($E$5:$E$304,E159,$F$5:$F$304,1,$J$5:$J$304,"&gt;"&amp;J159)+COUNTIFS($E$5:$E$304,E159,$F$5:$F$304,1,$J$5:$J$304,J159,$A$5:$A$304,"&lt;"&amp;A159)+1)</f>
        <v/>
      </c>
      <c r="L159" s="58" t="str">
        <f aca="false">IF(K159="","",E159&amp;"|"&amp;K159)</f>
        <v/>
      </c>
      <c r="M159" s="58" t="str">
        <f aca="false">IF(F159&lt;&gt;1,"",IF(COUNTIFS($C$5:C159,C159,$F$5:F159,1)=1,1,0))</f>
        <v/>
      </c>
      <c r="N159" s="59" t="str">
        <f aca="false">IF(M159&lt;&gt;1,"",SUMIF($C$5:$C$304,C159,$G$5:$G$304))</f>
        <v/>
      </c>
      <c r="O159" s="58" t="str">
        <f aca="false">IF(M159&lt;&gt;1,"",COUNTIFS($M$5:$M$304,1,$N$5:$N$304,"&gt;"&amp;N159)+COUNTIFS($M$5:$M$304,1,$N$5:$N$304,N159,$A$5:$A$304,"&lt;"&amp;A159)+1)</f>
        <v/>
      </c>
    </row>
    <row r="160" customFormat="false" ht="15" hidden="false" customHeight="false" outlineLevel="0" collapsed="false">
      <c r="A160" s="55" t="str">
        <f aca="false">IF(B160="","",ROW()-4)</f>
        <v/>
      </c>
      <c r="B160" s="57"/>
      <c r="C160" s="57"/>
      <c r="D160" s="57"/>
      <c r="E160" s="57"/>
      <c r="F160" s="58" t="str">
        <f aca="false">IF(B160="","",IF(COUNTIF(取込チェック!$C$6:$C$505,B160)&gt;0,1,0))</f>
        <v/>
      </c>
      <c r="G160" s="59" t="str">
        <f aca="false">IF(B160="","",SUMIF(取込チェック!$C$6:$C$505,B160,取込チェック!$D$6:$D$505))</f>
        <v/>
      </c>
      <c r="H160" s="59" t="str">
        <f aca="false">IF(B160="","",SUMIF(取込チェック!$C$6:$C$505,B160,取込チェック!$E$6:$E$505))</f>
        <v/>
      </c>
      <c r="I160" s="59" t="str">
        <f aca="false">IF(B160="","",SUMIF(取込チェック!$C$6:$C$505,B160,取込チェック!$F$6:$F$505))</f>
        <v/>
      </c>
      <c r="J160" s="60" t="str">
        <f aca="false">IF(F160&lt;&gt;1,"",IF(H160=0,-1,G160/H160))</f>
        <v/>
      </c>
      <c r="K160" s="58" t="str">
        <f aca="false">IF(F160&lt;&gt;1,"",COUNTIFS($E$5:$E$304,E160,$F$5:$F$304,1,$J$5:$J$304,"&gt;"&amp;J160)+COUNTIFS($E$5:$E$304,E160,$F$5:$F$304,1,$J$5:$J$304,J160,$A$5:$A$304,"&lt;"&amp;A160)+1)</f>
        <v/>
      </c>
      <c r="L160" s="58" t="str">
        <f aca="false">IF(K160="","",E160&amp;"|"&amp;K160)</f>
        <v/>
      </c>
      <c r="M160" s="58" t="str">
        <f aca="false">IF(F160&lt;&gt;1,"",IF(COUNTIFS($C$5:C160,C160,$F$5:F160,1)=1,1,0))</f>
        <v/>
      </c>
      <c r="N160" s="59" t="str">
        <f aca="false">IF(M160&lt;&gt;1,"",SUMIF($C$5:$C$304,C160,$G$5:$G$304))</f>
        <v/>
      </c>
      <c r="O160" s="58" t="str">
        <f aca="false">IF(M160&lt;&gt;1,"",COUNTIFS($M$5:$M$304,1,$N$5:$N$304,"&gt;"&amp;N160)+COUNTIFS($M$5:$M$304,1,$N$5:$N$304,N160,$A$5:$A$304,"&lt;"&amp;A160)+1)</f>
        <v/>
      </c>
    </row>
    <row r="161" customFormat="false" ht="15" hidden="false" customHeight="false" outlineLevel="0" collapsed="false">
      <c r="A161" s="55" t="str">
        <f aca="false">IF(B161="","",ROW()-4)</f>
        <v/>
      </c>
      <c r="B161" s="57"/>
      <c r="C161" s="57"/>
      <c r="D161" s="57"/>
      <c r="E161" s="57"/>
      <c r="F161" s="58" t="str">
        <f aca="false">IF(B161="","",IF(COUNTIF(取込チェック!$C$6:$C$505,B161)&gt;0,1,0))</f>
        <v/>
      </c>
      <c r="G161" s="59" t="str">
        <f aca="false">IF(B161="","",SUMIF(取込チェック!$C$6:$C$505,B161,取込チェック!$D$6:$D$505))</f>
        <v/>
      </c>
      <c r="H161" s="59" t="str">
        <f aca="false">IF(B161="","",SUMIF(取込チェック!$C$6:$C$505,B161,取込チェック!$E$6:$E$505))</f>
        <v/>
      </c>
      <c r="I161" s="59" t="str">
        <f aca="false">IF(B161="","",SUMIF(取込チェック!$C$6:$C$505,B161,取込チェック!$F$6:$F$505))</f>
        <v/>
      </c>
      <c r="J161" s="60" t="str">
        <f aca="false">IF(F161&lt;&gt;1,"",IF(H161=0,-1,G161/H161))</f>
        <v/>
      </c>
      <c r="K161" s="58" t="str">
        <f aca="false">IF(F161&lt;&gt;1,"",COUNTIFS($E$5:$E$304,E161,$F$5:$F$304,1,$J$5:$J$304,"&gt;"&amp;J161)+COUNTIFS($E$5:$E$304,E161,$F$5:$F$304,1,$J$5:$J$304,J161,$A$5:$A$304,"&lt;"&amp;A161)+1)</f>
        <v/>
      </c>
      <c r="L161" s="58" t="str">
        <f aca="false">IF(K161="","",E161&amp;"|"&amp;K161)</f>
        <v/>
      </c>
      <c r="M161" s="58" t="str">
        <f aca="false">IF(F161&lt;&gt;1,"",IF(COUNTIFS($C$5:C161,C161,$F$5:F161,1)=1,1,0))</f>
        <v/>
      </c>
      <c r="N161" s="59" t="str">
        <f aca="false">IF(M161&lt;&gt;1,"",SUMIF($C$5:$C$304,C161,$G$5:$G$304))</f>
        <v/>
      </c>
      <c r="O161" s="58" t="str">
        <f aca="false">IF(M161&lt;&gt;1,"",COUNTIFS($M$5:$M$304,1,$N$5:$N$304,"&gt;"&amp;N161)+COUNTIFS($M$5:$M$304,1,$N$5:$N$304,N161,$A$5:$A$304,"&lt;"&amp;A161)+1)</f>
        <v/>
      </c>
    </row>
    <row r="162" customFormat="false" ht="15" hidden="false" customHeight="false" outlineLevel="0" collapsed="false">
      <c r="A162" s="55" t="str">
        <f aca="false">IF(B162="","",ROW()-4)</f>
        <v/>
      </c>
      <c r="B162" s="57"/>
      <c r="C162" s="57"/>
      <c r="D162" s="57"/>
      <c r="E162" s="57"/>
      <c r="F162" s="58" t="str">
        <f aca="false">IF(B162="","",IF(COUNTIF(取込チェック!$C$6:$C$505,B162)&gt;0,1,0))</f>
        <v/>
      </c>
      <c r="G162" s="59" t="str">
        <f aca="false">IF(B162="","",SUMIF(取込チェック!$C$6:$C$505,B162,取込チェック!$D$6:$D$505))</f>
        <v/>
      </c>
      <c r="H162" s="59" t="str">
        <f aca="false">IF(B162="","",SUMIF(取込チェック!$C$6:$C$505,B162,取込チェック!$E$6:$E$505))</f>
        <v/>
      </c>
      <c r="I162" s="59" t="str">
        <f aca="false">IF(B162="","",SUMIF(取込チェック!$C$6:$C$505,B162,取込チェック!$F$6:$F$505))</f>
        <v/>
      </c>
      <c r="J162" s="60" t="str">
        <f aca="false">IF(F162&lt;&gt;1,"",IF(H162=0,-1,G162/H162))</f>
        <v/>
      </c>
      <c r="K162" s="58" t="str">
        <f aca="false">IF(F162&lt;&gt;1,"",COUNTIFS($E$5:$E$304,E162,$F$5:$F$304,1,$J$5:$J$304,"&gt;"&amp;J162)+COUNTIFS($E$5:$E$304,E162,$F$5:$F$304,1,$J$5:$J$304,J162,$A$5:$A$304,"&lt;"&amp;A162)+1)</f>
        <v/>
      </c>
      <c r="L162" s="58" t="str">
        <f aca="false">IF(K162="","",E162&amp;"|"&amp;K162)</f>
        <v/>
      </c>
      <c r="M162" s="58" t="str">
        <f aca="false">IF(F162&lt;&gt;1,"",IF(COUNTIFS($C$5:C162,C162,$F$5:F162,1)=1,1,0))</f>
        <v/>
      </c>
      <c r="N162" s="59" t="str">
        <f aca="false">IF(M162&lt;&gt;1,"",SUMIF($C$5:$C$304,C162,$G$5:$G$304))</f>
        <v/>
      </c>
      <c r="O162" s="58" t="str">
        <f aca="false">IF(M162&lt;&gt;1,"",COUNTIFS($M$5:$M$304,1,$N$5:$N$304,"&gt;"&amp;N162)+COUNTIFS($M$5:$M$304,1,$N$5:$N$304,N162,$A$5:$A$304,"&lt;"&amp;A162)+1)</f>
        <v/>
      </c>
    </row>
    <row r="163" customFormat="false" ht="15" hidden="false" customHeight="false" outlineLevel="0" collapsed="false">
      <c r="A163" s="55" t="str">
        <f aca="false">IF(B163="","",ROW()-4)</f>
        <v/>
      </c>
      <c r="B163" s="57"/>
      <c r="C163" s="57"/>
      <c r="D163" s="57"/>
      <c r="E163" s="57"/>
      <c r="F163" s="58" t="str">
        <f aca="false">IF(B163="","",IF(COUNTIF(取込チェック!$C$6:$C$505,B163)&gt;0,1,0))</f>
        <v/>
      </c>
      <c r="G163" s="59" t="str">
        <f aca="false">IF(B163="","",SUMIF(取込チェック!$C$6:$C$505,B163,取込チェック!$D$6:$D$505))</f>
        <v/>
      </c>
      <c r="H163" s="59" t="str">
        <f aca="false">IF(B163="","",SUMIF(取込チェック!$C$6:$C$505,B163,取込チェック!$E$6:$E$505))</f>
        <v/>
      </c>
      <c r="I163" s="59" t="str">
        <f aca="false">IF(B163="","",SUMIF(取込チェック!$C$6:$C$505,B163,取込チェック!$F$6:$F$505))</f>
        <v/>
      </c>
      <c r="J163" s="60" t="str">
        <f aca="false">IF(F163&lt;&gt;1,"",IF(H163=0,-1,G163/H163))</f>
        <v/>
      </c>
      <c r="K163" s="58" t="str">
        <f aca="false">IF(F163&lt;&gt;1,"",COUNTIFS($E$5:$E$304,E163,$F$5:$F$304,1,$J$5:$J$304,"&gt;"&amp;J163)+COUNTIFS($E$5:$E$304,E163,$F$5:$F$304,1,$J$5:$J$304,J163,$A$5:$A$304,"&lt;"&amp;A163)+1)</f>
        <v/>
      </c>
      <c r="L163" s="58" t="str">
        <f aca="false">IF(K163="","",E163&amp;"|"&amp;K163)</f>
        <v/>
      </c>
      <c r="M163" s="58" t="str">
        <f aca="false">IF(F163&lt;&gt;1,"",IF(COUNTIFS($C$5:C163,C163,$F$5:F163,1)=1,1,0))</f>
        <v/>
      </c>
      <c r="N163" s="59" t="str">
        <f aca="false">IF(M163&lt;&gt;1,"",SUMIF($C$5:$C$304,C163,$G$5:$G$304))</f>
        <v/>
      </c>
      <c r="O163" s="58" t="str">
        <f aca="false">IF(M163&lt;&gt;1,"",COUNTIFS($M$5:$M$304,1,$N$5:$N$304,"&gt;"&amp;N163)+COUNTIFS($M$5:$M$304,1,$N$5:$N$304,N163,$A$5:$A$304,"&lt;"&amp;A163)+1)</f>
        <v/>
      </c>
    </row>
    <row r="164" customFormat="false" ht="15" hidden="false" customHeight="false" outlineLevel="0" collapsed="false">
      <c r="A164" s="55" t="str">
        <f aca="false">IF(B164="","",ROW()-4)</f>
        <v/>
      </c>
      <c r="B164" s="57"/>
      <c r="C164" s="57"/>
      <c r="D164" s="57"/>
      <c r="E164" s="57"/>
      <c r="F164" s="58" t="str">
        <f aca="false">IF(B164="","",IF(COUNTIF(取込チェック!$C$6:$C$505,B164)&gt;0,1,0))</f>
        <v/>
      </c>
      <c r="G164" s="59" t="str">
        <f aca="false">IF(B164="","",SUMIF(取込チェック!$C$6:$C$505,B164,取込チェック!$D$6:$D$505))</f>
        <v/>
      </c>
      <c r="H164" s="59" t="str">
        <f aca="false">IF(B164="","",SUMIF(取込チェック!$C$6:$C$505,B164,取込チェック!$E$6:$E$505))</f>
        <v/>
      </c>
      <c r="I164" s="59" t="str">
        <f aca="false">IF(B164="","",SUMIF(取込チェック!$C$6:$C$505,B164,取込チェック!$F$6:$F$505))</f>
        <v/>
      </c>
      <c r="J164" s="60" t="str">
        <f aca="false">IF(F164&lt;&gt;1,"",IF(H164=0,-1,G164/H164))</f>
        <v/>
      </c>
      <c r="K164" s="58" t="str">
        <f aca="false">IF(F164&lt;&gt;1,"",COUNTIFS($E$5:$E$304,E164,$F$5:$F$304,1,$J$5:$J$304,"&gt;"&amp;J164)+COUNTIFS($E$5:$E$304,E164,$F$5:$F$304,1,$J$5:$J$304,J164,$A$5:$A$304,"&lt;"&amp;A164)+1)</f>
        <v/>
      </c>
      <c r="L164" s="58" t="str">
        <f aca="false">IF(K164="","",E164&amp;"|"&amp;K164)</f>
        <v/>
      </c>
      <c r="M164" s="58" t="str">
        <f aca="false">IF(F164&lt;&gt;1,"",IF(COUNTIFS($C$5:C164,C164,$F$5:F164,1)=1,1,0))</f>
        <v/>
      </c>
      <c r="N164" s="59" t="str">
        <f aca="false">IF(M164&lt;&gt;1,"",SUMIF($C$5:$C$304,C164,$G$5:$G$304))</f>
        <v/>
      </c>
      <c r="O164" s="58" t="str">
        <f aca="false">IF(M164&lt;&gt;1,"",COUNTIFS($M$5:$M$304,1,$N$5:$N$304,"&gt;"&amp;N164)+COUNTIFS($M$5:$M$304,1,$N$5:$N$304,N164,$A$5:$A$304,"&lt;"&amp;A164)+1)</f>
        <v/>
      </c>
    </row>
    <row r="165" customFormat="false" ht="15" hidden="false" customHeight="false" outlineLevel="0" collapsed="false">
      <c r="A165" s="55" t="str">
        <f aca="false">IF(B165="","",ROW()-4)</f>
        <v/>
      </c>
      <c r="B165" s="57"/>
      <c r="C165" s="57"/>
      <c r="D165" s="57"/>
      <c r="E165" s="57"/>
      <c r="F165" s="58" t="str">
        <f aca="false">IF(B165="","",IF(COUNTIF(取込チェック!$C$6:$C$505,B165)&gt;0,1,0))</f>
        <v/>
      </c>
      <c r="G165" s="59" t="str">
        <f aca="false">IF(B165="","",SUMIF(取込チェック!$C$6:$C$505,B165,取込チェック!$D$6:$D$505))</f>
        <v/>
      </c>
      <c r="H165" s="59" t="str">
        <f aca="false">IF(B165="","",SUMIF(取込チェック!$C$6:$C$505,B165,取込チェック!$E$6:$E$505))</f>
        <v/>
      </c>
      <c r="I165" s="59" t="str">
        <f aca="false">IF(B165="","",SUMIF(取込チェック!$C$6:$C$505,B165,取込チェック!$F$6:$F$505))</f>
        <v/>
      </c>
      <c r="J165" s="60" t="str">
        <f aca="false">IF(F165&lt;&gt;1,"",IF(H165=0,-1,G165/H165))</f>
        <v/>
      </c>
      <c r="K165" s="58" t="str">
        <f aca="false">IF(F165&lt;&gt;1,"",COUNTIFS($E$5:$E$304,E165,$F$5:$F$304,1,$J$5:$J$304,"&gt;"&amp;J165)+COUNTIFS($E$5:$E$304,E165,$F$5:$F$304,1,$J$5:$J$304,J165,$A$5:$A$304,"&lt;"&amp;A165)+1)</f>
        <v/>
      </c>
      <c r="L165" s="58" t="str">
        <f aca="false">IF(K165="","",E165&amp;"|"&amp;K165)</f>
        <v/>
      </c>
      <c r="M165" s="58" t="str">
        <f aca="false">IF(F165&lt;&gt;1,"",IF(COUNTIFS($C$5:C165,C165,$F$5:F165,1)=1,1,0))</f>
        <v/>
      </c>
      <c r="N165" s="59" t="str">
        <f aca="false">IF(M165&lt;&gt;1,"",SUMIF($C$5:$C$304,C165,$G$5:$G$304))</f>
        <v/>
      </c>
      <c r="O165" s="58" t="str">
        <f aca="false">IF(M165&lt;&gt;1,"",COUNTIFS($M$5:$M$304,1,$N$5:$N$304,"&gt;"&amp;N165)+COUNTIFS($M$5:$M$304,1,$N$5:$N$304,N165,$A$5:$A$304,"&lt;"&amp;A165)+1)</f>
        <v/>
      </c>
    </row>
    <row r="166" customFormat="false" ht="15" hidden="false" customHeight="false" outlineLevel="0" collapsed="false">
      <c r="A166" s="55" t="str">
        <f aca="false">IF(B166="","",ROW()-4)</f>
        <v/>
      </c>
      <c r="B166" s="57"/>
      <c r="C166" s="57"/>
      <c r="D166" s="57"/>
      <c r="E166" s="57"/>
      <c r="F166" s="58" t="str">
        <f aca="false">IF(B166="","",IF(COUNTIF(取込チェック!$C$6:$C$505,B166)&gt;0,1,0))</f>
        <v/>
      </c>
      <c r="G166" s="59" t="str">
        <f aca="false">IF(B166="","",SUMIF(取込チェック!$C$6:$C$505,B166,取込チェック!$D$6:$D$505))</f>
        <v/>
      </c>
      <c r="H166" s="59" t="str">
        <f aca="false">IF(B166="","",SUMIF(取込チェック!$C$6:$C$505,B166,取込チェック!$E$6:$E$505))</f>
        <v/>
      </c>
      <c r="I166" s="59" t="str">
        <f aca="false">IF(B166="","",SUMIF(取込チェック!$C$6:$C$505,B166,取込チェック!$F$6:$F$505))</f>
        <v/>
      </c>
      <c r="J166" s="60" t="str">
        <f aca="false">IF(F166&lt;&gt;1,"",IF(H166=0,-1,G166/H166))</f>
        <v/>
      </c>
      <c r="K166" s="58" t="str">
        <f aca="false">IF(F166&lt;&gt;1,"",COUNTIFS($E$5:$E$304,E166,$F$5:$F$304,1,$J$5:$J$304,"&gt;"&amp;J166)+COUNTIFS($E$5:$E$304,E166,$F$5:$F$304,1,$J$5:$J$304,J166,$A$5:$A$304,"&lt;"&amp;A166)+1)</f>
        <v/>
      </c>
      <c r="L166" s="58" t="str">
        <f aca="false">IF(K166="","",E166&amp;"|"&amp;K166)</f>
        <v/>
      </c>
      <c r="M166" s="58" t="str">
        <f aca="false">IF(F166&lt;&gt;1,"",IF(COUNTIFS($C$5:C166,C166,$F$5:F166,1)=1,1,0))</f>
        <v/>
      </c>
      <c r="N166" s="59" t="str">
        <f aca="false">IF(M166&lt;&gt;1,"",SUMIF($C$5:$C$304,C166,$G$5:$G$304))</f>
        <v/>
      </c>
      <c r="O166" s="58" t="str">
        <f aca="false">IF(M166&lt;&gt;1,"",COUNTIFS($M$5:$M$304,1,$N$5:$N$304,"&gt;"&amp;N166)+COUNTIFS($M$5:$M$304,1,$N$5:$N$304,N166,$A$5:$A$304,"&lt;"&amp;A166)+1)</f>
        <v/>
      </c>
    </row>
    <row r="167" customFormat="false" ht="15" hidden="false" customHeight="false" outlineLevel="0" collapsed="false">
      <c r="A167" s="55" t="str">
        <f aca="false">IF(B167="","",ROW()-4)</f>
        <v/>
      </c>
      <c r="B167" s="57"/>
      <c r="C167" s="57"/>
      <c r="D167" s="57"/>
      <c r="E167" s="57"/>
      <c r="F167" s="58" t="str">
        <f aca="false">IF(B167="","",IF(COUNTIF(取込チェック!$C$6:$C$505,B167)&gt;0,1,0))</f>
        <v/>
      </c>
      <c r="G167" s="59" t="str">
        <f aca="false">IF(B167="","",SUMIF(取込チェック!$C$6:$C$505,B167,取込チェック!$D$6:$D$505))</f>
        <v/>
      </c>
      <c r="H167" s="59" t="str">
        <f aca="false">IF(B167="","",SUMIF(取込チェック!$C$6:$C$505,B167,取込チェック!$E$6:$E$505))</f>
        <v/>
      </c>
      <c r="I167" s="59" t="str">
        <f aca="false">IF(B167="","",SUMIF(取込チェック!$C$6:$C$505,B167,取込チェック!$F$6:$F$505))</f>
        <v/>
      </c>
      <c r="J167" s="60" t="str">
        <f aca="false">IF(F167&lt;&gt;1,"",IF(H167=0,-1,G167/H167))</f>
        <v/>
      </c>
      <c r="K167" s="58" t="str">
        <f aca="false">IF(F167&lt;&gt;1,"",COUNTIFS($E$5:$E$304,E167,$F$5:$F$304,1,$J$5:$J$304,"&gt;"&amp;J167)+COUNTIFS($E$5:$E$304,E167,$F$5:$F$304,1,$J$5:$J$304,J167,$A$5:$A$304,"&lt;"&amp;A167)+1)</f>
        <v/>
      </c>
      <c r="L167" s="58" t="str">
        <f aca="false">IF(K167="","",E167&amp;"|"&amp;K167)</f>
        <v/>
      </c>
      <c r="M167" s="58" t="str">
        <f aca="false">IF(F167&lt;&gt;1,"",IF(COUNTIFS($C$5:C167,C167,$F$5:F167,1)=1,1,0))</f>
        <v/>
      </c>
      <c r="N167" s="59" t="str">
        <f aca="false">IF(M167&lt;&gt;1,"",SUMIF($C$5:$C$304,C167,$G$5:$G$304))</f>
        <v/>
      </c>
      <c r="O167" s="58" t="str">
        <f aca="false">IF(M167&lt;&gt;1,"",COUNTIFS($M$5:$M$304,1,$N$5:$N$304,"&gt;"&amp;N167)+COUNTIFS($M$5:$M$304,1,$N$5:$N$304,N167,$A$5:$A$304,"&lt;"&amp;A167)+1)</f>
        <v/>
      </c>
    </row>
    <row r="168" customFormat="false" ht="15" hidden="false" customHeight="false" outlineLevel="0" collapsed="false">
      <c r="A168" s="55" t="str">
        <f aca="false">IF(B168="","",ROW()-4)</f>
        <v/>
      </c>
      <c r="B168" s="57"/>
      <c r="C168" s="57"/>
      <c r="D168" s="57"/>
      <c r="E168" s="57"/>
      <c r="F168" s="58" t="str">
        <f aca="false">IF(B168="","",IF(COUNTIF(取込チェック!$C$6:$C$505,B168)&gt;0,1,0))</f>
        <v/>
      </c>
      <c r="G168" s="59" t="str">
        <f aca="false">IF(B168="","",SUMIF(取込チェック!$C$6:$C$505,B168,取込チェック!$D$6:$D$505))</f>
        <v/>
      </c>
      <c r="H168" s="59" t="str">
        <f aca="false">IF(B168="","",SUMIF(取込チェック!$C$6:$C$505,B168,取込チェック!$E$6:$E$505))</f>
        <v/>
      </c>
      <c r="I168" s="59" t="str">
        <f aca="false">IF(B168="","",SUMIF(取込チェック!$C$6:$C$505,B168,取込チェック!$F$6:$F$505))</f>
        <v/>
      </c>
      <c r="J168" s="60" t="str">
        <f aca="false">IF(F168&lt;&gt;1,"",IF(H168=0,-1,G168/H168))</f>
        <v/>
      </c>
      <c r="K168" s="58" t="str">
        <f aca="false">IF(F168&lt;&gt;1,"",COUNTIFS($E$5:$E$304,E168,$F$5:$F$304,1,$J$5:$J$304,"&gt;"&amp;J168)+COUNTIFS($E$5:$E$304,E168,$F$5:$F$304,1,$J$5:$J$304,J168,$A$5:$A$304,"&lt;"&amp;A168)+1)</f>
        <v/>
      </c>
      <c r="L168" s="58" t="str">
        <f aca="false">IF(K168="","",E168&amp;"|"&amp;K168)</f>
        <v/>
      </c>
      <c r="M168" s="58" t="str">
        <f aca="false">IF(F168&lt;&gt;1,"",IF(COUNTIFS($C$5:C168,C168,$F$5:F168,1)=1,1,0))</f>
        <v/>
      </c>
      <c r="N168" s="59" t="str">
        <f aca="false">IF(M168&lt;&gt;1,"",SUMIF($C$5:$C$304,C168,$G$5:$G$304))</f>
        <v/>
      </c>
      <c r="O168" s="58" t="str">
        <f aca="false">IF(M168&lt;&gt;1,"",COUNTIFS($M$5:$M$304,1,$N$5:$N$304,"&gt;"&amp;N168)+COUNTIFS($M$5:$M$304,1,$N$5:$N$304,N168,$A$5:$A$304,"&lt;"&amp;A168)+1)</f>
        <v/>
      </c>
    </row>
    <row r="169" customFormat="false" ht="15" hidden="false" customHeight="false" outlineLevel="0" collapsed="false">
      <c r="A169" s="55" t="str">
        <f aca="false">IF(B169="","",ROW()-4)</f>
        <v/>
      </c>
      <c r="B169" s="57"/>
      <c r="C169" s="57"/>
      <c r="D169" s="57"/>
      <c r="E169" s="57"/>
      <c r="F169" s="58" t="str">
        <f aca="false">IF(B169="","",IF(COUNTIF(取込チェック!$C$6:$C$505,B169)&gt;0,1,0))</f>
        <v/>
      </c>
      <c r="G169" s="59" t="str">
        <f aca="false">IF(B169="","",SUMIF(取込チェック!$C$6:$C$505,B169,取込チェック!$D$6:$D$505))</f>
        <v/>
      </c>
      <c r="H169" s="59" t="str">
        <f aca="false">IF(B169="","",SUMIF(取込チェック!$C$6:$C$505,B169,取込チェック!$E$6:$E$505))</f>
        <v/>
      </c>
      <c r="I169" s="59" t="str">
        <f aca="false">IF(B169="","",SUMIF(取込チェック!$C$6:$C$505,B169,取込チェック!$F$6:$F$505))</f>
        <v/>
      </c>
      <c r="J169" s="60" t="str">
        <f aca="false">IF(F169&lt;&gt;1,"",IF(H169=0,-1,G169/H169))</f>
        <v/>
      </c>
      <c r="K169" s="58" t="str">
        <f aca="false">IF(F169&lt;&gt;1,"",COUNTIFS($E$5:$E$304,E169,$F$5:$F$304,1,$J$5:$J$304,"&gt;"&amp;J169)+COUNTIFS($E$5:$E$304,E169,$F$5:$F$304,1,$J$5:$J$304,J169,$A$5:$A$304,"&lt;"&amp;A169)+1)</f>
        <v/>
      </c>
      <c r="L169" s="58" t="str">
        <f aca="false">IF(K169="","",E169&amp;"|"&amp;K169)</f>
        <v/>
      </c>
      <c r="M169" s="58" t="str">
        <f aca="false">IF(F169&lt;&gt;1,"",IF(COUNTIFS($C$5:C169,C169,$F$5:F169,1)=1,1,0))</f>
        <v/>
      </c>
      <c r="N169" s="59" t="str">
        <f aca="false">IF(M169&lt;&gt;1,"",SUMIF($C$5:$C$304,C169,$G$5:$G$304))</f>
        <v/>
      </c>
      <c r="O169" s="58" t="str">
        <f aca="false">IF(M169&lt;&gt;1,"",COUNTIFS($M$5:$M$304,1,$N$5:$N$304,"&gt;"&amp;N169)+COUNTIFS($M$5:$M$304,1,$N$5:$N$304,N169,$A$5:$A$304,"&lt;"&amp;A169)+1)</f>
        <v/>
      </c>
    </row>
    <row r="170" customFormat="false" ht="15" hidden="false" customHeight="false" outlineLevel="0" collapsed="false">
      <c r="A170" s="55" t="str">
        <f aca="false">IF(B170="","",ROW()-4)</f>
        <v/>
      </c>
      <c r="B170" s="57"/>
      <c r="C170" s="57"/>
      <c r="D170" s="57"/>
      <c r="E170" s="57"/>
      <c r="F170" s="58" t="str">
        <f aca="false">IF(B170="","",IF(COUNTIF(取込チェック!$C$6:$C$505,B170)&gt;0,1,0))</f>
        <v/>
      </c>
      <c r="G170" s="59" t="str">
        <f aca="false">IF(B170="","",SUMIF(取込チェック!$C$6:$C$505,B170,取込チェック!$D$6:$D$505))</f>
        <v/>
      </c>
      <c r="H170" s="59" t="str">
        <f aca="false">IF(B170="","",SUMIF(取込チェック!$C$6:$C$505,B170,取込チェック!$E$6:$E$505))</f>
        <v/>
      </c>
      <c r="I170" s="59" t="str">
        <f aca="false">IF(B170="","",SUMIF(取込チェック!$C$6:$C$505,B170,取込チェック!$F$6:$F$505))</f>
        <v/>
      </c>
      <c r="J170" s="60" t="str">
        <f aca="false">IF(F170&lt;&gt;1,"",IF(H170=0,-1,G170/H170))</f>
        <v/>
      </c>
      <c r="K170" s="58" t="str">
        <f aca="false">IF(F170&lt;&gt;1,"",COUNTIFS($E$5:$E$304,E170,$F$5:$F$304,1,$J$5:$J$304,"&gt;"&amp;J170)+COUNTIFS($E$5:$E$304,E170,$F$5:$F$304,1,$J$5:$J$304,J170,$A$5:$A$304,"&lt;"&amp;A170)+1)</f>
        <v/>
      </c>
      <c r="L170" s="58" t="str">
        <f aca="false">IF(K170="","",E170&amp;"|"&amp;K170)</f>
        <v/>
      </c>
      <c r="M170" s="58" t="str">
        <f aca="false">IF(F170&lt;&gt;1,"",IF(COUNTIFS($C$5:C170,C170,$F$5:F170,1)=1,1,0))</f>
        <v/>
      </c>
      <c r="N170" s="59" t="str">
        <f aca="false">IF(M170&lt;&gt;1,"",SUMIF($C$5:$C$304,C170,$G$5:$G$304))</f>
        <v/>
      </c>
      <c r="O170" s="58" t="str">
        <f aca="false">IF(M170&lt;&gt;1,"",COUNTIFS($M$5:$M$304,1,$N$5:$N$304,"&gt;"&amp;N170)+COUNTIFS($M$5:$M$304,1,$N$5:$N$304,N170,$A$5:$A$304,"&lt;"&amp;A170)+1)</f>
        <v/>
      </c>
    </row>
    <row r="171" customFormat="false" ht="15" hidden="false" customHeight="false" outlineLevel="0" collapsed="false">
      <c r="A171" s="55" t="str">
        <f aca="false">IF(B171="","",ROW()-4)</f>
        <v/>
      </c>
      <c r="B171" s="57"/>
      <c r="C171" s="57"/>
      <c r="D171" s="57"/>
      <c r="E171" s="57"/>
      <c r="F171" s="58" t="str">
        <f aca="false">IF(B171="","",IF(COUNTIF(取込チェック!$C$6:$C$505,B171)&gt;0,1,0))</f>
        <v/>
      </c>
      <c r="G171" s="59" t="str">
        <f aca="false">IF(B171="","",SUMIF(取込チェック!$C$6:$C$505,B171,取込チェック!$D$6:$D$505))</f>
        <v/>
      </c>
      <c r="H171" s="59" t="str">
        <f aca="false">IF(B171="","",SUMIF(取込チェック!$C$6:$C$505,B171,取込チェック!$E$6:$E$505))</f>
        <v/>
      </c>
      <c r="I171" s="59" t="str">
        <f aca="false">IF(B171="","",SUMIF(取込チェック!$C$6:$C$505,B171,取込チェック!$F$6:$F$505))</f>
        <v/>
      </c>
      <c r="J171" s="60" t="str">
        <f aca="false">IF(F171&lt;&gt;1,"",IF(H171=0,-1,G171/H171))</f>
        <v/>
      </c>
      <c r="K171" s="58" t="str">
        <f aca="false">IF(F171&lt;&gt;1,"",COUNTIFS($E$5:$E$304,E171,$F$5:$F$304,1,$J$5:$J$304,"&gt;"&amp;J171)+COUNTIFS($E$5:$E$304,E171,$F$5:$F$304,1,$J$5:$J$304,J171,$A$5:$A$304,"&lt;"&amp;A171)+1)</f>
        <v/>
      </c>
      <c r="L171" s="58" t="str">
        <f aca="false">IF(K171="","",E171&amp;"|"&amp;K171)</f>
        <v/>
      </c>
      <c r="M171" s="58" t="str">
        <f aca="false">IF(F171&lt;&gt;1,"",IF(COUNTIFS($C$5:C171,C171,$F$5:F171,1)=1,1,0))</f>
        <v/>
      </c>
      <c r="N171" s="59" t="str">
        <f aca="false">IF(M171&lt;&gt;1,"",SUMIF($C$5:$C$304,C171,$G$5:$G$304))</f>
        <v/>
      </c>
      <c r="O171" s="58" t="str">
        <f aca="false">IF(M171&lt;&gt;1,"",COUNTIFS($M$5:$M$304,1,$N$5:$N$304,"&gt;"&amp;N171)+COUNTIFS($M$5:$M$304,1,$N$5:$N$304,N171,$A$5:$A$304,"&lt;"&amp;A171)+1)</f>
        <v/>
      </c>
    </row>
    <row r="172" customFormat="false" ht="15" hidden="false" customHeight="false" outlineLevel="0" collapsed="false">
      <c r="A172" s="55" t="str">
        <f aca="false">IF(B172="","",ROW()-4)</f>
        <v/>
      </c>
      <c r="B172" s="57"/>
      <c r="C172" s="57"/>
      <c r="D172" s="57"/>
      <c r="E172" s="57"/>
      <c r="F172" s="58" t="str">
        <f aca="false">IF(B172="","",IF(COUNTIF(取込チェック!$C$6:$C$505,B172)&gt;0,1,0))</f>
        <v/>
      </c>
      <c r="G172" s="59" t="str">
        <f aca="false">IF(B172="","",SUMIF(取込チェック!$C$6:$C$505,B172,取込チェック!$D$6:$D$505))</f>
        <v/>
      </c>
      <c r="H172" s="59" t="str">
        <f aca="false">IF(B172="","",SUMIF(取込チェック!$C$6:$C$505,B172,取込チェック!$E$6:$E$505))</f>
        <v/>
      </c>
      <c r="I172" s="59" t="str">
        <f aca="false">IF(B172="","",SUMIF(取込チェック!$C$6:$C$505,B172,取込チェック!$F$6:$F$505))</f>
        <v/>
      </c>
      <c r="J172" s="60" t="str">
        <f aca="false">IF(F172&lt;&gt;1,"",IF(H172=0,-1,G172/H172))</f>
        <v/>
      </c>
      <c r="K172" s="58" t="str">
        <f aca="false">IF(F172&lt;&gt;1,"",COUNTIFS($E$5:$E$304,E172,$F$5:$F$304,1,$J$5:$J$304,"&gt;"&amp;J172)+COUNTIFS($E$5:$E$304,E172,$F$5:$F$304,1,$J$5:$J$304,J172,$A$5:$A$304,"&lt;"&amp;A172)+1)</f>
        <v/>
      </c>
      <c r="L172" s="58" t="str">
        <f aca="false">IF(K172="","",E172&amp;"|"&amp;K172)</f>
        <v/>
      </c>
      <c r="M172" s="58" t="str">
        <f aca="false">IF(F172&lt;&gt;1,"",IF(COUNTIFS($C$5:C172,C172,$F$5:F172,1)=1,1,0))</f>
        <v/>
      </c>
      <c r="N172" s="59" t="str">
        <f aca="false">IF(M172&lt;&gt;1,"",SUMIF($C$5:$C$304,C172,$G$5:$G$304))</f>
        <v/>
      </c>
      <c r="O172" s="58" t="str">
        <f aca="false">IF(M172&lt;&gt;1,"",COUNTIFS($M$5:$M$304,1,$N$5:$N$304,"&gt;"&amp;N172)+COUNTIFS($M$5:$M$304,1,$N$5:$N$304,N172,$A$5:$A$304,"&lt;"&amp;A172)+1)</f>
        <v/>
      </c>
    </row>
    <row r="173" customFormat="false" ht="15" hidden="false" customHeight="false" outlineLevel="0" collapsed="false">
      <c r="A173" s="55" t="str">
        <f aca="false">IF(B173="","",ROW()-4)</f>
        <v/>
      </c>
      <c r="B173" s="57"/>
      <c r="C173" s="57"/>
      <c r="D173" s="57"/>
      <c r="E173" s="57"/>
      <c r="F173" s="58" t="str">
        <f aca="false">IF(B173="","",IF(COUNTIF(取込チェック!$C$6:$C$505,B173)&gt;0,1,0))</f>
        <v/>
      </c>
      <c r="G173" s="59" t="str">
        <f aca="false">IF(B173="","",SUMIF(取込チェック!$C$6:$C$505,B173,取込チェック!$D$6:$D$505))</f>
        <v/>
      </c>
      <c r="H173" s="59" t="str">
        <f aca="false">IF(B173="","",SUMIF(取込チェック!$C$6:$C$505,B173,取込チェック!$E$6:$E$505))</f>
        <v/>
      </c>
      <c r="I173" s="59" t="str">
        <f aca="false">IF(B173="","",SUMIF(取込チェック!$C$6:$C$505,B173,取込チェック!$F$6:$F$505))</f>
        <v/>
      </c>
      <c r="J173" s="60" t="str">
        <f aca="false">IF(F173&lt;&gt;1,"",IF(H173=0,-1,G173/H173))</f>
        <v/>
      </c>
      <c r="K173" s="58" t="str">
        <f aca="false">IF(F173&lt;&gt;1,"",COUNTIFS($E$5:$E$304,E173,$F$5:$F$304,1,$J$5:$J$304,"&gt;"&amp;J173)+COUNTIFS($E$5:$E$304,E173,$F$5:$F$304,1,$J$5:$J$304,J173,$A$5:$A$304,"&lt;"&amp;A173)+1)</f>
        <v/>
      </c>
      <c r="L173" s="58" t="str">
        <f aca="false">IF(K173="","",E173&amp;"|"&amp;K173)</f>
        <v/>
      </c>
      <c r="M173" s="58" t="str">
        <f aca="false">IF(F173&lt;&gt;1,"",IF(COUNTIFS($C$5:C173,C173,$F$5:F173,1)=1,1,0))</f>
        <v/>
      </c>
      <c r="N173" s="59" t="str">
        <f aca="false">IF(M173&lt;&gt;1,"",SUMIF($C$5:$C$304,C173,$G$5:$G$304))</f>
        <v/>
      </c>
      <c r="O173" s="58" t="str">
        <f aca="false">IF(M173&lt;&gt;1,"",COUNTIFS($M$5:$M$304,1,$N$5:$N$304,"&gt;"&amp;N173)+COUNTIFS($M$5:$M$304,1,$N$5:$N$304,N173,$A$5:$A$304,"&lt;"&amp;A173)+1)</f>
        <v/>
      </c>
    </row>
    <row r="174" customFormat="false" ht="15" hidden="false" customHeight="false" outlineLevel="0" collapsed="false">
      <c r="A174" s="55" t="str">
        <f aca="false">IF(B174="","",ROW()-4)</f>
        <v/>
      </c>
      <c r="B174" s="57"/>
      <c r="C174" s="57"/>
      <c r="D174" s="57"/>
      <c r="E174" s="57"/>
      <c r="F174" s="58" t="str">
        <f aca="false">IF(B174="","",IF(COUNTIF(取込チェック!$C$6:$C$505,B174)&gt;0,1,0))</f>
        <v/>
      </c>
      <c r="G174" s="59" t="str">
        <f aca="false">IF(B174="","",SUMIF(取込チェック!$C$6:$C$505,B174,取込チェック!$D$6:$D$505))</f>
        <v/>
      </c>
      <c r="H174" s="59" t="str">
        <f aca="false">IF(B174="","",SUMIF(取込チェック!$C$6:$C$505,B174,取込チェック!$E$6:$E$505))</f>
        <v/>
      </c>
      <c r="I174" s="59" t="str">
        <f aca="false">IF(B174="","",SUMIF(取込チェック!$C$6:$C$505,B174,取込チェック!$F$6:$F$505))</f>
        <v/>
      </c>
      <c r="J174" s="60" t="str">
        <f aca="false">IF(F174&lt;&gt;1,"",IF(H174=0,-1,G174/H174))</f>
        <v/>
      </c>
      <c r="K174" s="58" t="str">
        <f aca="false">IF(F174&lt;&gt;1,"",COUNTIFS($E$5:$E$304,E174,$F$5:$F$304,1,$J$5:$J$304,"&gt;"&amp;J174)+COUNTIFS($E$5:$E$304,E174,$F$5:$F$304,1,$J$5:$J$304,J174,$A$5:$A$304,"&lt;"&amp;A174)+1)</f>
        <v/>
      </c>
      <c r="L174" s="58" t="str">
        <f aca="false">IF(K174="","",E174&amp;"|"&amp;K174)</f>
        <v/>
      </c>
      <c r="M174" s="58" t="str">
        <f aca="false">IF(F174&lt;&gt;1,"",IF(COUNTIFS($C$5:C174,C174,$F$5:F174,1)=1,1,0))</f>
        <v/>
      </c>
      <c r="N174" s="59" t="str">
        <f aca="false">IF(M174&lt;&gt;1,"",SUMIF($C$5:$C$304,C174,$G$5:$G$304))</f>
        <v/>
      </c>
      <c r="O174" s="58" t="str">
        <f aca="false">IF(M174&lt;&gt;1,"",COUNTIFS($M$5:$M$304,1,$N$5:$N$304,"&gt;"&amp;N174)+COUNTIFS($M$5:$M$304,1,$N$5:$N$304,N174,$A$5:$A$304,"&lt;"&amp;A174)+1)</f>
        <v/>
      </c>
    </row>
    <row r="175" customFormat="false" ht="15" hidden="false" customHeight="false" outlineLevel="0" collapsed="false">
      <c r="A175" s="55" t="str">
        <f aca="false">IF(B175="","",ROW()-4)</f>
        <v/>
      </c>
      <c r="B175" s="57"/>
      <c r="C175" s="57"/>
      <c r="D175" s="57"/>
      <c r="E175" s="57"/>
      <c r="F175" s="58" t="str">
        <f aca="false">IF(B175="","",IF(COUNTIF(取込チェック!$C$6:$C$505,B175)&gt;0,1,0))</f>
        <v/>
      </c>
      <c r="G175" s="59" t="str">
        <f aca="false">IF(B175="","",SUMIF(取込チェック!$C$6:$C$505,B175,取込チェック!$D$6:$D$505))</f>
        <v/>
      </c>
      <c r="H175" s="59" t="str">
        <f aca="false">IF(B175="","",SUMIF(取込チェック!$C$6:$C$505,B175,取込チェック!$E$6:$E$505))</f>
        <v/>
      </c>
      <c r="I175" s="59" t="str">
        <f aca="false">IF(B175="","",SUMIF(取込チェック!$C$6:$C$505,B175,取込チェック!$F$6:$F$505))</f>
        <v/>
      </c>
      <c r="J175" s="60" t="str">
        <f aca="false">IF(F175&lt;&gt;1,"",IF(H175=0,-1,G175/H175))</f>
        <v/>
      </c>
      <c r="K175" s="58" t="str">
        <f aca="false">IF(F175&lt;&gt;1,"",COUNTIFS($E$5:$E$304,E175,$F$5:$F$304,1,$J$5:$J$304,"&gt;"&amp;J175)+COUNTIFS($E$5:$E$304,E175,$F$5:$F$304,1,$J$5:$J$304,J175,$A$5:$A$304,"&lt;"&amp;A175)+1)</f>
        <v/>
      </c>
      <c r="L175" s="58" t="str">
        <f aca="false">IF(K175="","",E175&amp;"|"&amp;K175)</f>
        <v/>
      </c>
      <c r="M175" s="58" t="str">
        <f aca="false">IF(F175&lt;&gt;1,"",IF(COUNTIFS($C$5:C175,C175,$F$5:F175,1)=1,1,0))</f>
        <v/>
      </c>
      <c r="N175" s="59" t="str">
        <f aca="false">IF(M175&lt;&gt;1,"",SUMIF($C$5:$C$304,C175,$G$5:$G$304))</f>
        <v/>
      </c>
      <c r="O175" s="58" t="str">
        <f aca="false">IF(M175&lt;&gt;1,"",COUNTIFS($M$5:$M$304,1,$N$5:$N$304,"&gt;"&amp;N175)+COUNTIFS($M$5:$M$304,1,$N$5:$N$304,N175,$A$5:$A$304,"&lt;"&amp;A175)+1)</f>
        <v/>
      </c>
    </row>
    <row r="176" customFormat="false" ht="15" hidden="false" customHeight="false" outlineLevel="0" collapsed="false">
      <c r="A176" s="55" t="str">
        <f aca="false">IF(B176="","",ROW()-4)</f>
        <v/>
      </c>
      <c r="B176" s="57"/>
      <c r="C176" s="57"/>
      <c r="D176" s="57"/>
      <c r="E176" s="57"/>
      <c r="F176" s="58" t="str">
        <f aca="false">IF(B176="","",IF(COUNTIF(取込チェック!$C$6:$C$505,B176)&gt;0,1,0))</f>
        <v/>
      </c>
      <c r="G176" s="59" t="str">
        <f aca="false">IF(B176="","",SUMIF(取込チェック!$C$6:$C$505,B176,取込チェック!$D$6:$D$505))</f>
        <v/>
      </c>
      <c r="H176" s="59" t="str">
        <f aca="false">IF(B176="","",SUMIF(取込チェック!$C$6:$C$505,B176,取込チェック!$E$6:$E$505))</f>
        <v/>
      </c>
      <c r="I176" s="59" t="str">
        <f aca="false">IF(B176="","",SUMIF(取込チェック!$C$6:$C$505,B176,取込チェック!$F$6:$F$505))</f>
        <v/>
      </c>
      <c r="J176" s="60" t="str">
        <f aca="false">IF(F176&lt;&gt;1,"",IF(H176=0,-1,G176/H176))</f>
        <v/>
      </c>
      <c r="K176" s="58" t="str">
        <f aca="false">IF(F176&lt;&gt;1,"",COUNTIFS($E$5:$E$304,E176,$F$5:$F$304,1,$J$5:$J$304,"&gt;"&amp;J176)+COUNTIFS($E$5:$E$304,E176,$F$5:$F$304,1,$J$5:$J$304,J176,$A$5:$A$304,"&lt;"&amp;A176)+1)</f>
        <v/>
      </c>
      <c r="L176" s="58" t="str">
        <f aca="false">IF(K176="","",E176&amp;"|"&amp;K176)</f>
        <v/>
      </c>
      <c r="M176" s="58" t="str">
        <f aca="false">IF(F176&lt;&gt;1,"",IF(COUNTIFS($C$5:C176,C176,$F$5:F176,1)=1,1,0))</f>
        <v/>
      </c>
      <c r="N176" s="59" t="str">
        <f aca="false">IF(M176&lt;&gt;1,"",SUMIF($C$5:$C$304,C176,$G$5:$G$304))</f>
        <v/>
      </c>
      <c r="O176" s="58" t="str">
        <f aca="false">IF(M176&lt;&gt;1,"",COUNTIFS($M$5:$M$304,1,$N$5:$N$304,"&gt;"&amp;N176)+COUNTIFS($M$5:$M$304,1,$N$5:$N$304,N176,$A$5:$A$304,"&lt;"&amp;A176)+1)</f>
        <v/>
      </c>
    </row>
    <row r="177" customFormat="false" ht="15" hidden="false" customHeight="false" outlineLevel="0" collapsed="false">
      <c r="A177" s="55" t="str">
        <f aca="false">IF(B177="","",ROW()-4)</f>
        <v/>
      </c>
      <c r="B177" s="57"/>
      <c r="C177" s="57"/>
      <c r="D177" s="57"/>
      <c r="E177" s="57"/>
      <c r="F177" s="58" t="str">
        <f aca="false">IF(B177="","",IF(COUNTIF(取込チェック!$C$6:$C$505,B177)&gt;0,1,0))</f>
        <v/>
      </c>
      <c r="G177" s="59" t="str">
        <f aca="false">IF(B177="","",SUMIF(取込チェック!$C$6:$C$505,B177,取込チェック!$D$6:$D$505))</f>
        <v/>
      </c>
      <c r="H177" s="59" t="str">
        <f aca="false">IF(B177="","",SUMIF(取込チェック!$C$6:$C$505,B177,取込チェック!$E$6:$E$505))</f>
        <v/>
      </c>
      <c r="I177" s="59" t="str">
        <f aca="false">IF(B177="","",SUMIF(取込チェック!$C$6:$C$505,B177,取込チェック!$F$6:$F$505))</f>
        <v/>
      </c>
      <c r="J177" s="60" t="str">
        <f aca="false">IF(F177&lt;&gt;1,"",IF(H177=0,-1,G177/H177))</f>
        <v/>
      </c>
      <c r="K177" s="58" t="str">
        <f aca="false">IF(F177&lt;&gt;1,"",COUNTIFS($E$5:$E$304,E177,$F$5:$F$304,1,$J$5:$J$304,"&gt;"&amp;J177)+COUNTIFS($E$5:$E$304,E177,$F$5:$F$304,1,$J$5:$J$304,J177,$A$5:$A$304,"&lt;"&amp;A177)+1)</f>
        <v/>
      </c>
      <c r="L177" s="58" t="str">
        <f aca="false">IF(K177="","",E177&amp;"|"&amp;K177)</f>
        <v/>
      </c>
      <c r="M177" s="58" t="str">
        <f aca="false">IF(F177&lt;&gt;1,"",IF(COUNTIFS($C$5:C177,C177,$F$5:F177,1)=1,1,0))</f>
        <v/>
      </c>
      <c r="N177" s="59" t="str">
        <f aca="false">IF(M177&lt;&gt;1,"",SUMIF($C$5:$C$304,C177,$G$5:$G$304))</f>
        <v/>
      </c>
      <c r="O177" s="58" t="str">
        <f aca="false">IF(M177&lt;&gt;1,"",COUNTIFS($M$5:$M$304,1,$N$5:$N$304,"&gt;"&amp;N177)+COUNTIFS($M$5:$M$304,1,$N$5:$N$304,N177,$A$5:$A$304,"&lt;"&amp;A177)+1)</f>
        <v/>
      </c>
    </row>
    <row r="178" customFormat="false" ht="15" hidden="false" customHeight="false" outlineLevel="0" collapsed="false">
      <c r="A178" s="55" t="str">
        <f aca="false">IF(B178="","",ROW()-4)</f>
        <v/>
      </c>
      <c r="B178" s="57"/>
      <c r="C178" s="57"/>
      <c r="D178" s="57"/>
      <c r="E178" s="57"/>
      <c r="F178" s="58" t="str">
        <f aca="false">IF(B178="","",IF(COUNTIF(取込チェック!$C$6:$C$505,B178)&gt;0,1,0))</f>
        <v/>
      </c>
      <c r="G178" s="59" t="str">
        <f aca="false">IF(B178="","",SUMIF(取込チェック!$C$6:$C$505,B178,取込チェック!$D$6:$D$505))</f>
        <v/>
      </c>
      <c r="H178" s="59" t="str">
        <f aca="false">IF(B178="","",SUMIF(取込チェック!$C$6:$C$505,B178,取込チェック!$E$6:$E$505))</f>
        <v/>
      </c>
      <c r="I178" s="59" t="str">
        <f aca="false">IF(B178="","",SUMIF(取込チェック!$C$6:$C$505,B178,取込チェック!$F$6:$F$505))</f>
        <v/>
      </c>
      <c r="J178" s="60" t="str">
        <f aca="false">IF(F178&lt;&gt;1,"",IF(H178=0,-1,G178/H178))</f>
        <v/>
      </c>
      <c r="K178" s="58" t="str">
        <f aca="false">IF(F178&lt;&gt;1,"",COUNTIFS($E$5:$E$304,E178,$F$5:$F$304,1,$J$5:$J$304,"&gt;"&amp;J178)+COUNTIFS($E$5:$E$304,E178,$F$5:$F$304,1,$J$5:$J$304,J178,$A$5:$A$304,"&lt;"&amp;A178)+1)</f>
        <v/>
      </c>
      <c r="L178" s="58" t="str">
        <f aca="false">IF(K178="","",E178&amp;"|"&amp;K178)</f>
        <v/>
      </c>
      <c r="M178" s="58" t="str">
        <f aca="false">IF(F178&lt;&gt;1,"",IF(COUNTIFS($C$5:C178,C178,$F$5:F178,1)=1,1,0))</f>
        <v/>
      </c>
      <c r="N178" s="59" t="str">
        <f aca="false">IF(M178&lt;&gt;1,"",SUMIF($C$5:$C$304,C178,$G$5:$G$304))</f>
        <v/>
      </c>
      <c r="O178" s="58" t="str">
        <f aca="false">IF(M178&lt;&gt;1,"",COUNTIFS($M$5:$M$304,1,$N$5:$N$304,"&gt;"&amp;N178)+COUNTIFS($M$5:$M$304,1,$N$5:$N$304,N178,$A$5:$A$304,"&lt;"&amp;A178)+1)</f>
        <v/>
      </c>
    </row>
    <row r="179" customFormat="false" ht="15" hidden="false" customHeight="false" outlineLevel="0" collapsed="false">
      <c r="A179" s="55" t="str">
        <f aca="false">IF(B179="","",ROW()-4)</f>
        <v/>
      </c>
      <c r="B179" s="57"/>
      <c r="C179" s="57"/>
      <c r="D179" s="57"/>
      <c r="E179" s="57"/>
      <c r="F179" s="58" t="str">
        <f aca="false">IF(B179="","",IF(COUNTIF(取込チェック!$C$6:$C$505,B179)&gt;0,1,0))</f>
        <v/>
      </c>
      <c r="G179" s="59" t="str">
        <f aca="false">IF(B179="","",SUMIF(取込チェック!$C$6:$C$505,B179,取込チェック!$D$6:$D$505))</f>
        <v/>
      </c>
      <c r="H179" s="59" t="str">
        <f aca="false">IF(B179="","",SUMIF(取込チェック!$C$6:$C$505,B179,取込チェック!$E$6:$E$505))</f>
        <v/>
      </c>
      <c r="I179" s="59" t="str">
        <f aca="false">IF(B179="","",SUMIF(取込チェック!$C$6:$C$505,B179,取込チェック!$F$6:$F$505))</f>
        <v/>
      </c>
      <c r="J179" s="60" t="str">
        <f aca="false">IF(F179&lt;&gt;1,"",IF(H179=0,-1,G179/H179))</f>
        <v/>
      </c>
      <c r="K179" s="58" t="str">
        <f aca="false">IF(F179&lt;&gt;1,"",COUNTIFS($E$5:$E$304,E179,$F$5:$F$304,1,$J$5:$J$304,"&gt;"&amp;J179)+COUNTIFS($E$5:$E$304,E179,$F$5:$F$304,1,$J$5:$J$304,J179,$A$5:$A$304,"&lt;"&amp;A179)+1)</f>
        <v/>
      </c>
      <c r="L179" s="58" t="str">
        <f aca="false">IF(K179="","",E179&amp;"|"&amp;K179)</f>
        <v/>
      </c>
      <c r="M179" s="58" t="str">
        <f aca="false">IF(F179&lt;&gt;1,"",IF(COUNTIFS($C$5:C179,C179,$F$5:F179,1)=1,1,0))</f>
        <v/>
      </c>
      <c r="N179" s="59" t="str">
        <f aca="false">IF(M179&lt;&gt;1,"",SUMIF($C$5:$C$304,C179,$G$5:$G$304))</f>
        <v/>
      </c>
      <c r="O179" s="58" t="str">
        <f aca="false">IF(M179&lt;&gt;1,"",COUNTIFS($M$5:$M$304,1,$N$5:$N$304,"&gt;"&amp;N179)+COUNTIFS($M$5:$M$304,1,$N$5:$N$304,N179,$A$5:$A$304,"&lt;"&amp;A179)+1)</f>
        <v/>
      </c>
    </row>
    <row r="180" customFormat="false" ht="15" hidden="false" customHeight="false" outlineLevel="0" collapsed="false">
      <c r="A180" s="55" t="str">
        <f aca="false">IF(B180="","",ROW()-4)</f>
        <v/>
      </c>
      <c r="B180" s="57"/>
      <c r="C180" s="57"/>
      <c r="D180" s="57"/>
      <c r="E180" s="57"/>
      <c r="F180" s="58" t="str">
        <f aca="false">IF(B180="","",IF(COUNTIF(取込チェック!$C$6:$C$505,B180)&gt;0,1,0))</f>
        <v/>
      </c>
      <c r="G180" s="59" t="str">
        <f aca="false">IF(B180="","",SUMIF(取込チェック!$C$6:$C$505,B180,取込チェック!$D$6:$D$505))</f>
        <v/>
      </c>
      <c r="H180" s="59" t="str">
        <f aca="false">IF(B180="","",SUMIF(取込チェック!$C$6:$C$505,B180,取込チェック!$E$6:$E$505))</f>
        <v/>
      </c>
      <c r="I180" s="59" t="str">
        <f aca="false">IF(B180="","",SUMIF(取込チェック!$C$6:$C$505,B180,取込チェック!$F$6:$F$505))</f>
        <v/>
      </c>
      <c r="J180" s="60" t="str">
        <f aca="false">IF(F180&lt;&gt;1,"",IF(H180=0,-1,G180/H180))</f>
        <v/>
      </c>
      <c r="K180" s="58" t="str">
        <f aca="false">IF(F180&lt;&gt;1,"",COUNTIFS($E$5:$E$304,E180,$F$5:$F$304,1,$J$5:$J$304,"&gt;"&amp;J180)+COUNTIFS($E$5:$E$304,E180,$F$5:$F$304,1,$J$5:$J$304,J180,$A$5:$A$304,"&lt;"&amp;A180)+1)</f>
        <v/>
      </c>
      <c r="L180" s="58" t="str">
        <f aca="false">IF(K180="","",E180&amp;"|"&amp;K180)</f>
        <v/>
      </c>
      <c r="M180" s="58" t="str">
        <f aca="false">IF(F180&lt;&gt;1,"",IF(COUNTIFS($C$5:C180,C180,$F$5:F180,1)=1,1,0))</f>
        <v/>
      </c>
      <c r="N180" s="59" t="str">
        <f aca="false">IF(M180&lt;&gt;1,"",SUMIF($C$5:$C$304,C180,$G$5:$G$304))</f>
        <v/>
      </c>
      <c r="O180" s="58" t="str">
        <f aca="false">IF(M180&lt;&gt;1,"",COUNTIFS($M$5:$M$304,1,$N$5:$N$304,"&gt;"&amp;N180)+COUNTIFS($M$5:$M$304,1,$N$5:$N$304,N180,$A$5:$A$304,"&lt;"&amp;A180)+1)</f>
        <v/>
      </c>
    </row>
    <row r="181" customFormat="false" ht="15" hidden="false" customHeight="false" outlineLevel="0" collapsed="false">
      <c r="A181" s="55" t="str">
        <f aca="false">IF(B181="","",ROW()-4)</f>
        <v/>
      </c>
      <c r="B181" s="57"/>
      <c r="C181" s="57"/>
      <c r="D181" s="57"/>
      <c r="E181" s="57"/>
      <c r="F181" s="58" t="str">
        <f aca="false">IF(B181="","",IF(COUNTIF(取込チェック!$C$6:$C$505,B181)&gt;0,1,0))</f>
        <v/>
      </c>
      <c r="G181" s="59" t="str">
        <f aca="false">IF(B181="","",SUMIF(取込チェック!$C$6:$C$505,B181,取込チェック!$D$6:$D$505))</f>
        <v/>
      </c>
      <c r="H181" s="59" t="str">
        <f aca="false">IF(B181="","",SUMIF(取込チェック!$C$6:$C$505,B181,取込チェック!$E$6:$E$505))</f>
        <v/>
      </c>
      <c r="I181" s="59" t="str">
        <f aca="false">IF(B181="","",SUMIF(取込チェック!$C$6:$C$505,B181,取込チェック!$F$6:$F$505))</f>
        <v/>
      </c>
      <c r="J181" s="60" t="str">
        <f aca="false">IF(F181&lt;&gt;1,"",IF(H181=0,-1,G181/H181))</f>
        <v/>
      </c>
      <c r="K181" s="58" t="str">
        <f aca="false">IF(F181&lt;&gt;1,"",COUNTIFS($E$5:$E$304,E181,$F$5:$F$304,1,$J$5:$J$304,"&gt;"&amp;J181)+COUNTIFS($E$5:$E$304,E181,$F$5:$F$304,1,$J$5:$J$304,J181,$A$5:$A$304,"&lt;"&amp;A181)+1)</f>
        <v/>
      </c>
      <c r="L181" s="58" t="str">
        <f aca="false">IF(K181="","",E181&amp;"|"&amp;K181)</f>
        <v/>
      </c>
      <c r="M181" s="58" t="str">
        <f aca="false">IF(F181&lt;&gt;1,"",IF(COUNTIFS($C$5:C181,C181,$F$5:F181,1)=1,1,0))</f>
        <v/>
      </c>
      <c r="N181" s="59" t="str">
        <f aca="false">IF(M181&lt;&gt;1,"",SUMIF($C$5:$C$304,C181,$G$5:$G$304))</f>
        <v/>
      </c>
      <c r="O181" s="58" t="str">
        <f aca="false">IF(M181&lt;&gt;1,"",COUNTIFS($M$5:$M$304,1,$N$5:$N$304,"&gt;"&amp;N181)+COUNTIFS($M$5:$M$304,1,$N$5:$N$304,N181,$A$5:$A$304,"&lt;"&amp;A181)+1)</f>
        <v/>
      </c>
    </row>
    <row r="182" customFormat="false" ht="15" hidden="false" customHeight="false" outlineLevel="0" collapsed="false">
      <c r="A182" s="55" t="str">
        <f aca="false">IF(B182="","",ROW()-4)</f>
        <v/>
      </c>
      <c r="B182" s="57"/>
      <c r="C182" s="57"/>
      <c r="D182" s="57"/>
      <c r="E182" s="57"/>
      <c r="F182" s="58" t="str">
        <f aca="false">IF(B182="","",IF(COUNTIF(取込チェック!$C$6:$C$505,B182)&gt;0,1,0))</f>
        <v/>
      </c>
      <c r="G182" s="59" t="str">
        <f aca="false">IF(B182="","",SUMIF(取込チェック!$C$6:$C$505,B182,取込チェック!$D$6:$D$505))</f>
        <v/>
      </c>
      <c r="H182" s="59" t="str">
        <f aca="false">IF(B182="","",SUMIF(取込チェック!$C$6:$C$505,B182,取込チェック!$E$6:$E$505))</f>
        <v/>
      </c>
      <c r="I182" s="59" t="str">
        <f aca="false">IF(B182="","",SUMIF(取込チェック!$C$6:$C$505,B182,取込チェック!$F$6:$F$505))</f>
        <v/>
      </c>
      <c r="J182" s="60" t="str">
        <f aca="false">IF(F182&lt;&gt;1,"",IF(H182=0,-1,G182/H182))</f>
        <v/>
      </c>
      <c r="K182" s="58" t="str">
        <f aca="false">IF(F182&lt;&gt;1,"",COUNTIFS($E$5:$E$304,E182,$F$5:$F$304,1,$J$5:$J$304,"&gt;"&amp;J182)+COUNTIFS($E$5:$E$304,E182,$F$5:$F$304,1,$J$5:$J$304,J182,$A$5:$A$304,"&lt;"&amp;A182)+1)</f>
        <v/>
      </c>
      <c r="L182" s="58" t="str">
        <f aca="false">IF(K182="","",E182&amp;"|"&amp;K182)</f>
        <v/>
      </c>
      <c r="M182" s="58" t="str">
        <f aca="false">IF(F182&lt;&gt;1,"",IF(COUNTIFS($C$5:C182,C182,$F$5:F182,1)=1,1,0))</f>
        <v/>
      </c>
      <c r="N182" s="59" t="str">
        <f aca="false">IF(M182&lt;&gt;1,"",SUMIF($C$5:$C$304,C182,$G$5:$G$304))</f>
        <v/>
      </c>
      <c r="O182" s="58" t="str">
        <f aca="false">IF(M182&lt;&gt;1,"",COUNTIFS($M$5:$M$304,1,$N$5:$N$304,"&gt;"&amp;N182)+COUNTIFS($M$5:$M$304,1,$N$5:$N$304,N182,$A$5:$A$304,"&lt;"&amp;A182)+1)</f>
        <v/>
      </c>
    </row>
    <row r="183" customFormat="false" ht="15" hidden="false" customHeight="false" outlineLevel="0" collapsed="false">
      <c r="A183" s="55" t="str">
        <f aca="false">IF(B183="","",ROW()-4)</f>
        <v/>
      </c>
      <c r="B183" s="57"/>
      <c r="C183" s="57"/>
      <c r="D183" s="57"/>
      <c r="E183" s="57"/>
      <c r="F183" s="58" t="str">
        <f aca="false">IF(B183="","",IF(COUNTIF(取込チェック!$C$6:$C$505,B183)&gt;0,1,0))</f>
        <v/>
      </c>
      <c r="G183" s="59" t="str">
        <f aca="false">IF(B183="","",SUMIF(取込チェック!$C$6:$C$505,B183,取込チェック!$D$6:$D$505))</f>
        <v/>
      </c>
      <c r="H183" s="59" t="str">
        <f aca="false">IF(B183="","",SUMIF(取込チェック!$C$6:$C$505,B183,取込チェック!$E$6:$E$505))</f>
        <v/>
      </c>
      <c r="I183" s="59" t="str">
        <f aca="false">IF(B183="","",SUMIF(取込チェック!$C$6:$C$505,B183,取込チェック!$F$6:$F$505))</f>
        <v/>
      </c>
      <c r="J183" s="60" t="str">
        <f aca="false">IF(F183&lt;&gt;1,"",IF(H183=0,-1,G183/H183))</f>
        <v/>
      </c>
      <c r="K183" s="58" t="str">
        <f aca="false">IF(F183&lt;&gt;1,"",COUNTIFS($E$5:$E$304,E183,$F$5:$F$304,1,$J$5:$J$304,"&gt;"&amp;J183)+COUNTIFS($E$5:$E$304,E183,$F$5:$F$304,1,$J$5:$J$304,J183,$A$5:$A$304,"&lt;"&amp;A183)+1)</f>
        <v/>
      </c>
      <c r="L183" s="58" t="str">
        <f aca="false">IF(K183="","",E183&amp;"|"&amp;K183)</f>
        <v/>
      </c>
      <c r="M183" s="58" t="str">
        <f aca="false">IF(F183&lt;&gt;1,"",IF(COUNTIFS($C$5:C183,C183,$F$5:F183,1)=1,1,0))</f>
        <v/>
      </c>
      <c r="N183" s="59" t="str">
        <f aca="false">IF(M183&lt;&gt;1,"",SUMIF($C$5:$C$304,C183,$G$5:$G$304))</f>
        <v/>
      </c>
      <c r="O183" s="58" t="str">
        <f aca="false">IF(M183&lt;&gt;1,"",COUNTIFS($M$5:$M$304,1,$N$5:$N$304,"&gt;"&amp;N183)+COUNTIFS($M$5:$M$304,1,$N$5:$N$304,N183,$A$5:$A$304,"&lt;"&amp;A183)+1)</f>
        <v/>
      </c>
    </row>
    <row r="184" customFormat="false" ht="15" hidden="false" customHeight="false" outlineLevel="0" collapsed="false">
      <c r="A184" s="55" t="str">
        <f aca="false">IF(B184="","",ROW()-4)</f>
        <v/>
      </c>
      <c r="B184" s="57"/>
      <c r="C184" s="57"/>
      <c r="D184" s="57"/>
      <c r="E184" s="57"/>
      <c r="F184" s="58" t="str">
        <f aca="false">IF(B184="","",IF(COUNTIF(取込チェック!$C$6:$C$505,B184)&gt;0,1,0))</f>
        <v/>
      </c>
      <c r="G184" s="59" t="str">
        <f aca="false">IF(B184="","",SUMIF(取込チェック!$C$6:$C$505,B184,取込チェック!$D$6:$D$505))</f>
        <v/>
      </c>
      <c r="H184" s="59" t="str">
        <f aca="false">IF(B184="","",SUMIF(取込チェック!$C$6:$C$505,B184,取込チェック!$E$6:$E$505))</f>
        <v/>
      </c>
      <c r="I184" s="59" t="str">
        <f aca="false">IF(B184="","",SUMIF(取込チェック!$C$6:$C$505,B184,取込チェック!$F$6:$F$505))</f>
        <v/>
      </c>
      <c r="J184" s="60" t="str">
        <f aca="false">IF(F184&lt;&gt;1,"",IF(H184=0,-1,G184/H184))</f>
        <v/>
      </c>
      <c r="K184" s="58" t="str">
        <f aca="false">IF(F184&lt;&gt;1,"",COUNTIFS($E$5:$E$304,E184,$F$5:$F$304,1,$J$5:$J$304,"&gt;"&amp;J184)+COUNTIFS($E$5:$E$304,E184,$F$5:$F$304,1,$J$5:$J$304,J184,$A$5:$A$304,"&lt;"&amp;A184)+1)</f>
        <v/>
      </c>
      <c r="L184" s="58" t="str">
        <f aca="false">IF(K184="","",E184&amp;"|"&amp;K184)</f>
        <v/>
      </c>
      <c r="M184" s="58" t="str">
        <f aca="false">IF(F184&lt;&gt;1,"",IF(COUNTIFS($C$5:C184,C184,$F$5:F184,1)=1,1,0))</f>
        <v/>
      </c>
      <c r="N184" s="59" t="str">
        <f aca="false">IF(M184&lt;&gt;1,"",SUMIF($C$5:$C$304,C184,$G$5:$G$304))</f>
        <v/>
      </c>
      <c r="O184" s="58" t="str">
        <f aca="false">IF(M184&lt;&gt;1,"",COUNTIFS($M$5:$M$304,1,$N$5:$N$304,"&gt;"&amp;N184)+COUNTIFS($M$5:$M$304,1,$N$5:$N$304,N184,$A$5:$A$304,"&lt;"&amp;A184)+1)</f>
        <v/>
      </c>
    </row>
    <row r="185" customFormat="false" ht="15" hidden="false" customHeight="false" outlineLevel="0" collapsed="false">
      <c r="A185" s="55" t="str">
        <f aca="false">IF(B185="","",ROW()-4)</f>
        <v/>
      </c>
      <c r="B185" s="57"/>
      <c r="C185" s="57"/>
      <c r="D185" s="57"/>
      <c r="E185" s="57"/>
      <c r="F185" s="58" t="str">
        <f aca="false">IF(B185="","",IF(COUNTIF(取込チェック!$C$6:$C$505,B185)&gt;0,1,0))</f>
        <v/>
      </c>
      <c r="G185" s="59" t="str">
        <f aca="false">IF(B185="","",SUMIF(取込チェック!$C$6:$C$505,B185,取込チェック!$D$6:$D$505))</f>
        <v/>
      </c>
      <c r="H185" s="59" t="str">
        <f aca="false">IF(B185="","",SUMIF(取込チェック!$C$6:$C$505,B185,取込チェック!$E$6:$E$505))</f>
        <v/>
      </c>
      <c r="I185" s="59" t="str">
        <f aca="false">IF(B185="","",SUMIF(取込チェック!$C$6:$C$505,B185,取込チェック!$F$6:$F$505))</f>
        <v/>
      </c>
      <c r="J185" s="60" t="str">
        <f aca="false">IF(F185&lt;&gt;1,"",IF(H185=0,-1,G185/H185))</f>
        <v/>
      </c>
      <c r="K185" s="58" t="str">
        <f aca="false">IF(F185&lt;&gt;1,"",COUNTIFS($E$5:$E$304,E185,$F$5:$F$304,1,$J$5:$J$304,"&gt;"&amp;J185)+COUNTIFS($E$5:$E$304,E185,$F$5:$F$304,1,$J$5:$J$304,J185,$A$5:$A$304,"&lt;"&amp;A185)+1)</f>
        <v/>
      </c>
      <c r="L185" s="58" t="str">
        <f aca="false">IF(K185="","",E185&amp;"|"&amp;K185)</f>
        <v/>
      </c>
      <c r="M185" s="58" t="str">
        <f aca="false">IF(F185&lt;&gt;1,"",IF(COUNTIFS($C$5:C185,C185,$F$5:F185,1)=1,1,0))</f>
        <v/>
      </c>
      <c r="N185" s="59" t="str">
        <f aca="false">IF(M185&lt;&gt;1,"",SUMIF($C$5:$C$304,C185,$G$5:$G$304))</f>
        <v/>
      </c>
      <c r="O185" s="58" t="str">
        <f aca="false">IF(M185&lt;&gt;1,"",COUNTIFS($M$5:$M$304,1,$N$5:$N$304,"&gt;"&amp;N185)+COUNTIFS($M$5:$M$304,1,$N$5:$N$304,N185,$A$5:$A$304,"&lt;"&amp;A185)+1)</f>
        <v/>
      </c>
    </row>
    <row r="186" customFormat="false" ht="15" hidden="false" customHeight="false" outlineLevel="0" collapsed="false">
      <c r="A186" s="55" t="str">
        <f aca="false">IF(B186="","",ROW()-4)</f>
        <v/>
      </c>
      <c r="B186" s="57"/>
      <c r="C186" s="57"/>
      <c r="D186" s="57"/>
      <c r="E186" s="57"/>
      <c r="F186" s="58" t="str">
        <f aca="false">IF(B186="","",IF(COUNTIF(取込チェック!$C$6:$C$505,B186)&gt;0,1,0))</f>
        <v/>
      </c>
      <c r="G186" s="59" t="str">
        <f aca="false">IF(B186="","",SUMIF(取込チェック!$C$6:$C$505,B186,取込チェック!$D$6:$D$505))</f>
        <v/>
      </c>
      <c r="H186" s="59" t="str">
        <f aca="false">IF(B186="","",SUMIF(取込チェック!$C$6:$C$505,B186,取込チェック!$E$6:$E$505))</f>
        <v/>
      </c>
      <c r="I186" s="59" t="str">
        <f aca="false">IF(B186="","",SUMIF(取込チェック!$C$6:$C$505,B186,取込チェック!$F$6:$F$505))</f>
        <v/>
      </c>
      <c r="J186" s="60" t="str">
        <f aca="false">IF(F186&lt;&gt;1,"",IF(H186=0,-1,G186/H186))</f>
        <v/>
      </c>
      <c r="K186" s="58" t="str">
        <f aca="false">IF(F186&lt;&gt;1,"",COUNTIFS($E$5:$E$304,E186,$F$5:$F$304,1,$J$5:$J$304,"&gt;"&amp;J186)+COUNTIFS($E$5:$E$304,E186,$F$5:$F$304,1,$J$5:$J$304,J186,$A$5:$A$304,"&lt;"&amp;A186)+1)</f>
        <v/>
      </c>
      <c r="L186" s="58" t="str">
        <f aca="false">IF(K186="","",E186&amp;"|"&amp;K186)</f>
        <v/>
      </c>
      <c r="M186" s="58" t="str">
        <f aca="false">IF(F186&lt;&gt;1,"",IF(COUNTIFS($C$5:C186,C186,$F$5:F186,1)=1,1,0))</f>
        <v/>
      </c>
      <c r="N186" s="59" t="str">
        <f aca="false">IF(M186&lt;&gt;1,"",SUMIF($C$5:$C$304,C186,$G$5:$G$304))</f>
        <v/>
      </c>
      <c r="O186" s="58" t="str">
        <f aca="false">IF(M186&lt;&gt;1,"",COUNTIFS($M$5:$M$304,1,$N$5:$N$304,"&gt;"&amp;N186)+COUNTIFS($M$5:$M$304,1,$N$5:$N$304,N186,$A$5:$A$304,"&lt;"&amp;A186)+1)</f>
        <v/>
      </c>
    </row>
    <row r="187" customFormat="false" ht="15" hidden="false" customHeight="false" outlineLevel="0" collapsed="false">
      <c r="A187" s="55" t="str">
        <f aca="false">IF(B187="","",ROW()-4)</f>
        <v/>
      </c>
      <c r="B187" s="57"/>
      <c r="C187" s="57"/>
      <c r="D187" s="57"/>
      <c r="E187" s="57"/>
      <c r="F187" s="58" t="str">
        <f aca="false">IF(B187="","",IF(COUNTIF(取込チェック!$C$6:$C$505,B187)&gt;0,1,0))</f>
        <v/>
      </c>
      <c r="G187" s="59" t="str">
        <f aca="false">IF(B187="","",SUMIF(取込チェック!$C$6:$C$505,B187,取込チェック!$D$6:$D$505))</f>
        <v/>
      </c>
      <c r="H187" s="59" t="str">
        <f aca="false">IF(B187="","",SUMIF(取込チェック!$C$6:$C$505,B187,取込チェック!$E$6:$E$505))</f>
        <v/>
      </c>
      <c r="I187" s="59" t="str">
        <f aca="false">IF(B187="","",SUMIF(取込チェック!$C$6:$C$505,B187,取込チェック!$F$6:$F$505))</f>
        <v/>
      </c>
      <c r="J187" s="60" t="str">
        <f aca="false">IF(F187&lt;&gt;1,"",IF(H187=0,-1,G187/H187))</f>
        <v/>
      </c>
      <c r="K187" s="58" t="str">
        <f aca="false">IF(F187&lt;&gt;1,"",COUNTIFS($E$5:$E$304,E187,$F$5:$F$304,1,$J$5:$J$304,"&gt;"&amp;J187)+COUNTIFS($E$5:$E$304,E187,$F$5:$F$304,1,$J$5:$J$304,J187,$A$5:$A$304,"&lt;"&amp;A187)+1)</f>
        <v/>
      </c>
      <c r="L187" s="58" t="str">
        <f aca="false">IF(K187="","",E187&amp;"|"&amp;K187)</f>
        <v/>
      </c>
      <c r="M187" s="58" t="str">
        <f aca="false">IF(F187&lt;&gt;1,"",IF(COUNTIFS($C$5:C187,C187,$F$5:F187,1)=1,1,0))</f>
        <v/>
      </c>
      <c r="N187" s="59" t="str">
        <f aca="false">IF(M187&lt;&gt;1,"",SUMIF($C$5:$C$304,C187,$G$5:$G$304))</f>
        <v/>
      </c>
      <c r="O187" s="58" t="str">
        <f aca="false">IF(M187&lt;&gt;1,"",COUNTIFS($M$5:$M$304,1,$N$5:$N$304,"&gt;"&amp;N187)+COUNTIFS($M$5:$M$304,1,$N$5:$N$304,N187,$A$5:$A$304,"&lt;"&amp;A187)+1)</f>
        <v/>
      </c>
    </row>
    <row r="188" customFormat="false" ht="15" hidden="false" customHeight="false" outlineLevel="0" collapsed="false">
      <c r="A188" s="55" t="str">
        <f aca="false">IF(B188="","",ROW()-4)</f>
        <v/>
      </c>
      <c r="B188" s="57"/>
      <c r="C188" s="57"/>
      <c r="D188" s="57"/>
      <c r="E188" s="57"/>
      <c r="F188" s="58" t="str">
        <f aca="false">IF(B188="","",IF(COUNTIF(取込チェック!$C$6:$C$505,B188)&gt;0,1,0))</f>
        <v/>
      </c>
      <c r="G188" s="59" t="str">
        <f aca="false">IF(B188="","",SUMIF(取込チェック!$C$6:$C$505,B188,取込チェック!$D$6:$D$505))</f>
        <v/>
      </c>
      <c r="H188" s="59" t="str">
        <f aca="false">IF(B188="","",SUMIF(取込チェック!$C$6:$C$505,B188,取込チェック!$E$6:$E$505))</f>
        <v/>
      </c>
      <c r="I188" s="59" t="str">
        <f aca="false">IF(B188="","",SUMIF(取込チェック!$C$6:$C$505,B188,取込チェック!$F$6:$F$505))</f>
        <v/>
      </c>
      <c r="J188" s="60" t="str">
        <f aca="false">IF(F188&lt;&gt;1,"",IF(H188=0,-1,G188/H188))</f>
        <v/>
      </c>
      <c r="K188" s="58" t="str">
        <f aca="false">IF(F188&lt;&gt;1,"",COUNTIFS($E$5:$E$304,E188,$F$5:$F$304,1,$J$5:$J$304,"&gt;"&amp;J188)+COUNTIFS($E$5:$E$304,E188,$F$5:$F$304,1,$J$5:$J$304,J188,$A$5:$A$304,"&lt;"&amp;A188)+1)</f>
        <v/>
      </c>
      <c r="L188" s="58" t="str">
        <f aca="false">IF(K188="","",E188&amp;"|"&amp;K188)</f>
        <v/>
      </c>
      <c r="M188" s="58" t="str">
        <f aca="false">IF(F188&lt;&gt;1,"",IF(COUNTIFS($C$5:C188,C188,$F$5:F188,1)=1,1,0))</f>
        <v/>
      </c>
      <c r="N188" s="59" t="str">
        <f aca="false">IF(M188&lt;&gt;1,"",SUMIF($C$5:$C$304,C188,$G$5:$G$304))</f>
        <v/>
      </c>
      <c r="O188" s="58" t="str">
        <f aca="false">IF(M188&lt;&gt;1,"",COUNTIFS($M$5:$M$304,1,$N$5:$N$304,"&gt;"&amp;N188)+COUNTIFS($M$5:$M$304,1,$N$5:$N$304,N188,$A$5:$A$304,"&lt;"&amp;A188)+1)</f>
        <v/>
      </c>
    </row>
    <row r="189" customFormat="false" ht="15" hidden="false" customHeight="false" outlineLevel="0" collapsed="false">
      <c r="A189" s="55" t="str">
        <f aca="false">IF(B189="","",ROW()-4)</f>
        <v/>
      </c>
      <c r="B189" s="57"/>
      <c r="C189" s="57"/>
      <c r="D189" s="57"/>
      <c r="E189" s="57"/>
      <c r="F189" s="58" t="str">
        <f aca="false">IF(B189="","",IF(COUNTIF(取込チェック!$C$6:$C$505,B189)&gt;0,1,0))</f>
        <v/>
      </c>
      <c r="G189" s="59" t="str">
        <f aca="false">IF(B189="","",SUMIF(取込チェック!$C$6:$C$505,B189,取込チェック!$D$6:$D$505))</f>
        <v/>
      </c>
      <c r="H189" s="59" t="str">
        <f aca="false">IF(B189="","",SUMIF(取込チェック!$C$6:$C$505,B189,取込チェック!$E$6:$E$505))</f>
        <v/>
      </c>
      <c r="I189" s="59" t="str">
        <f aca="false">IF(B189="","",SUMIF(取込チェック!$C$6:$C$505,B189,取込チェック!$F$6:$F$505))</f>
        <v/>
      </c>
      <c r="J189" s="60" t="str">
        <f aca="false">IF(F189&lt;&gt;1,"",IF(H189=0,-1,G189/H189))</f>
        <v/>
      </c>
      <c r="K189" s="58" t="str">
        <f aca="false">IF(F189&lt;&gt;1,"",COUNTIFS($E$5:$E$304,E189,$F$5:$F$304,1,$J$5:$J$304,"&gt;"&amp;J189)+COUNTIFS($E$5:$E$304,E189,$F$5:$F$304,1,$J$5:$J$304,J189,$A$5:$A$304,"&lt;"&amp;A189)+1)</f>
        <v/>
      </c>
      <c r="L189" s="58" t="str">
        <f aca="false">IF(K189="","",E189&amp;"|"&amp;K189)</f>
        <v/>
      </c>
      <c r="M189" s="58" t="str">
        <f aca="false">IF(F189&lt;&gt;1,"",IF(COUNTIFS($C$5:C189,C189,$F$5:F189,1)=1,1,0))</f>
        <v/>
      </c>
      <c r="N189" s="59" t="str">
        <f aca="false">IF(M189&lt;&gt;1,"",SUMIF($C$5:$C$304,C189,$G$5:$G$304))</f>
        <v/>
      </c>
      <c r="O189" s="58" t="str">
        <f aca="false">IF(M189&lt;&gt;1,"",COUNTIFS($M$5:$M$304,1,$N$5:$N$304,"&gt;"&amp;N189)+COUNTIFS($M$5:$M$304,1,$N$5:$N$304,N189,$A$5:$A$304,"&lt;"&amp;A189)+1)</f>
        <v/>
      </c>
    </row>
    <row r="190" customFormat="false" ht="15" hidden="false" customHeight="false" outlineLevel="0" collapsed="false">
      <c r="A190" s="55" t="str">
        <f aca="false">IF(B190="","",ROW()-4)</f>
        <v/>
      </c>
      <c r="B190" s="57"/>
      <c r="C190" s="57"/>
      <c r="D190" s="57"/>
      <c r="E190" s="57"/>
      <c r="F190" s="58" t="str">
        <f aca="false">IF(B190="","",IF(COUNTIF(取込チェック!$C$6:$C$505,B190)&gt;0,1,0))</f>
        <v/>
      </c>
      <c r="G190" s="59" t="str">
        <f aca="false">IF(B190="","",SUMIF(取込チェック!$C$6:$C$505,B190,取込チェック!$D$6:$D$505))</f>
        <v/>
      </c>
      <c r="H190" s="59" t="str">
        <f aca="false">IF(B190="","",SUMIF(取込チェック!$C$6:$C$505,B190,取込チェック!$E$6:$E$505))</f>
        <v/>
      </c>
      <c r="I190" s="59" t="str">
        <f aca="false">IF(B190="","",SUMIF(取込チェック!$C$6:$C$505,B190,取込チェック!$F$6:$F$505))</f>
        <v/>
      </c>
      <c r="J190" s="60" t="str">
        <f aca="false">IF(F190&lt;&gt;1,"",IF(H190=0,-1,G190/H190))</f>
        <v/>
      </c>
      <c r="K190" s="58" t="str">
        <f aca="false">IF(F190&lt;&gt;1,"",COUNTIFS($E$5:$E$304,E190,$F$5:$F$304,1,$J$5:$J$304,"&gt;"&amp;J190)+COUNTIFS($E$5:$E$304,E190,$F$5:$F$304,1,$J$5:$J$304,J190,$A$5:$A$304,"&lt;"&amp;A190)+1)</f>
        <v/>
      </c>
      <c r="L190" s="58" t="str">
        <f aca="false">IF(K190="","",E190&amp;"|"&amp;K190)</f>
        <v/>
      </c>
      <c r="M190" s="58" t="str">
        <f aca="false">IF(F190&lt;&gt;1,"",IF(COUNTIFS($C$5:C190,C190,$F$5:F190,1)=1,1,0))</f>
        <v/>
      </c>
      <c r="N190" s="59" t="str">
        <f aca="false">IF(M190&lt;&gt;1,"",SUMIF($C$5:$C$304,C190,$G$5:$G$304))</f>
        <v/>
      </c>
      <c r="O190" s="58" t="str">
        <f aca="false">IF(M190&lt;&gt;1,"",COUNTIFS($M$5:$M$304,1,$N$5:$N$304,"&gt;"&amp;N190)+COUNTIFS($M$5:$M$304,1,$N$5:$N$304,N190,$A$5:$A$304,"&lt;"&amp;A190)+1)</f>
        <v/>
      </c>
    </row>
    <row r="191" customFormat="false" ht="15" hidden="false" customHeight="false" outlineLevel="0" collapsed="false">
      <c r="A191" s="55" t="str">
        <f aca="false">IF(B191="","",ROW()-4)</f>
        <v/>
      </c>
      <c r="B191" s="57"/>
      <c r="C191" s="57"/>
      <c r="D191" s="57"/>
      <c r="E191" s="57"/>
      <c r="F191" s="58" t="str">
        <f aca="false">IF(B191="","",IF(COUNTIF(取込チェック!$C$6:$C$505,B191)&gt;0,1,0))</f>
        <v/>
      </c>
      <c r="G191" s="59" t="str">
        <f aca="false">IF(B191="","",SUMIF(取込チェック!$C$6:$C$505,B191,取込チェック!$D$6:$D$505))</f>
        <v/>
      </c>
      <c r="H191" s="59" t="str">
        <f aca="false">IF(B191="","",SUMIF(取込チェック!$C$6:$C$505,B191,取込チェック!$E$6:$E$505))</f>
        <v/>
      </c>
      <c r="I191" s="59" t="str">
        <f aca="false">IF(B191="","",SUMIF(取込チェック!$C$6:$C$505,B191,取込チェック!$F$6:$F$505))</f>
        <v/>
      </c>
      <c r="J191" s="60" t="str">
        <f aca="false">IF(F191&lt;&gt;1,"",IF(H191=0,-1,G191/H191))</f>
        <v/>
      </c>
      <c r="K191" s="58" t="str">
        <f aca="false">IF(F191&lt;&gt;1,"",COUNTIFS($E$5:$E$304,E191,$F$5:$F$304,1,$J$5:$J$304,"&gt;"&amp;J191)+COUNTIFS($E$5:$E$304,E191,$F$5:$F$304,1,$J$5:$J$304,J191,$A$5:$A$304,"&lt;"&amp;A191)+1)</f>
        <v/>
      </c>
      <c r="L191" s="58" t="str">
        <f aca="false">IF(K191="","",E191&amp;"|"&amp;K191)</f>
        <v/>
      </c>
      <c r="M191" s="58" t="str">
        <f aca="false">IF(F191&lt;&gt;1,"",IF(COUNTIFS($C$5:C191,C191,$F$5:F191,1)=1,1,0))</f>
        <v/>
      </c>
      <c r="N191" s="59" t="str">
        <f aca="false">IF(M191&lt;&gt;1,"",SUMIF($C$5:$C$304,C191,$G$5:$G$304))</f>
        <v/>
      </c>
      <c r="O191" s="58" t="str">
        <f aca="false">IF(M191&lt;&gt;1,"",COUNTIFS($M$5:$M$304,1,$N$5:$N$304,"&gt;"&amp;N191)+COUNTIFS($M$5:$M$304,1,$N$5:$N$304,N191,$A$5:$A$304,"&lt;"&amp;A191)+1)</f>
        <v/>
      </c>
    </row>
    <row r="192" customFormat="false" ht="15" hidden="false" customHeight="false" outlineLevel="0" collapsed="false">
      <c r="A192" s="55" t="str">
        <f aca="false">IF(B192="","",ROW()-4)</f>
        <v/>
      </c>
      <c r="B192" s="57"/>
      <c r="C192" s="57"/>
      <c r="D192" s="57"/>
      <c r="E192" s="57"/>
      <c r="F192" s="58" t="str">
        <f aca="false">IF(B192="","",IF(COUNTIF(取込チェック!$C$6:$C$505,B192)&gt;0,1,0))</f>
        <v/>
      </c>
      <c r="G192" s="59" t="str">
        <f aca="false">IF(B192="","",SUMIF(取込チェック!$C$6:$C$505,B192,取込チェック!$D$6:$D$505))</f>
        <v/>
      </c>
      <c r="H192" s="59" t="str">
        <f aca="false">IF(B192="","",SUMIF(取込チェック!$C$6:$C$505,B192,取込チェック!$E$6:$E$505))</f>
        <v/>
      </c>
      <c r="I192" s="59" t="str">
        <f aca="false">IF(B192="","",SUMIF(取込チェック!$C$6:$C$505,B192,取込チェック!$F$6:$F$505))</f>
        <v/>
      </c>
      <c r="J192" s="60" t="str">
        <f aca="false">IF(F192&lt;&gt;1,"",IF(H192=0,-1,G192/H192))</f>
        <v/>
      </c>
      <c r="K192" s="58" t="str">
        <f aca="false">IF(F192&lt;&gt;1,"",COUNTIFS($E$5:$E$304,E192,$F$5:$F$304,1,$J$5:$J$304,"&gt;"&amp;J192)+COUNTIFS($E$5:$E$304,E192,$F$5:$F$304,1,$J$5:$J$304,J192,$A$5:$A$304,"&lt;"&amp;A192)+1)</f>
        <v/>
      </c>
      <c r="L192" s="58" t="str">
        <f aca="false">IF(K192="","",E192&amp;"|"&amp;K192)</f>
        <v/>
      </c>
      <c r="M192" s="58" t="str">
        <f aca="false">IF(F192&lt;&gt;1,"",IF(COUNTIFS($C$5:C192,C192,$F$5:F192,1)=1,1,0))</f>
        <v/>
      </c>
      <c r="N192" s="59" t="str">
        <f aca="false">IF(M192&lt;&gt;1,"",SUMIF($C$5:$C$304,C192,$G$5:$G$304))</f>
        <v/>
      </c>
      <c r="O192" s="58" t="str">
        <f aca="false">IF(M192&lt;&gt;1,"",COUNTIFS($M$5:$M$304,1,$N$5:$N$304,"&gt;"&amp;N192)+COUNTIFS($M$5:$M$304,1,$N$5:$N$304,N192,$A$5:$A$304,"&lt;"&amp;A192)+1)</f>
        <v/>
      </c>
    </row>
    <row r="193" customFormat="false" ht="15" hidden="false" customHeight="false" outlineLevel="0" collapsed="false">
      <c r="A193" s="55" t="str">
        <f aca="false">IF(B193="","",ROW()-4)</f>
        <v/>
      </c>
      <c r="B193" s="57"/>
      <c r="C193" s="57"/>
      <c r="D193" s="57"/>
      <c r="E193" s="57"/>
      <c r="F193" s="58" t="str">
        <f aca="false">IF(B193="","",IF(COUNTIF(取込チェック!$C$6:$C$505,B193)&gt;0,1,0))</f>
        <v/>
      </c>
      <c r="G193" s="59" t="str">
        <f aca="false">IF(B193="","",SUMIF(取込チェック!$C$6:$C$505,B193,取込チェック!$D$6:$D$505))</f>
        <v/>
      </c>
      <c r="H193" s="59" t="str">
        <f aca="false">IF(B193="","",SUMIF(取込チェック!$C$6:$C$505,B193,取込チェック!$E$6:$E$505))</f>
        <v/>
      </c>
      <c r="I193" s="59" t="str">
        <f aca="false">IF(B193="","",SUMIF(取込チェック!$C$6:$C$505,B193,取込チェック!$F$6:$F$505))</f>
        <v/>
      </c>
      <c r="J193" s="60" t="str">
        <f aca="false">IF(F193&lt;&gt;1,"",IF(H193=0,-1,G193/H193))</f>
        <v/>
      </c>
      <c r="K193" s="58" t="str">
        <f aca="false">IF(F193&lt;&gt;1,"",COUNTIFS($E$5:$E$304,E193,$F$5:$F$304,1,$J$5:$J$304,"&gt;"&amp;J193)+COUNTIFS($E$5:$E$304,E193,$F$5:$F$304,1,$J$5:$J$304,J193,$A$5:$A$304,"&lt;"&amp;A193)+1)</f>
        <v/>
      </c>
      <c r="L193" s="58" t="str">
        <f aca="false">IF(K193="","",E193&amp;"|"&amp;K193)</f>
        <v/>
      </c>
      <c r="M193" s="58" t="str">
        <f aca="false">IF(F193&lt;&gt;1,"",IF(COUNTIFS($C$5:C193,C193,$F$5:F193,1)=1,1,0))</f>
        <v/>
      </c>
      <c r="N193" s="59" t="str">
        <f aca="false">IF(M193&lt;&gt;1,"",SUMIF($C$5:$C$304,C193,$G$5:$G$304))</f>
        <v/>
      </c>
      <c r="O193" s="58" t="str">
        <f aca="false">IF(M193&lt;&gt;1,"",COUNTIFS($M$5:$M$304,1,$N$5:$N$304,"&gt;"&amp;N193)+COUNTIFS($M$5:$M$304,1,$N$5:$N$304,N193,$A$5:$A$304,"&lt;"&amp;A193)+1)</f>
        <v/>
      </c>
    </row>
    <row r="194" customFormat="false" ht="15" hidden="false" customHeight="false" outlineLevel="0" collapsed="false">
      <c r="A194" s="55" t="str">
        <f aca="false">IF(B194="","",ROW()-4)</f>
        <v/>
      </c>
      <c r="B194" s="57"/>
      <c r="C194" s="57"/>
      <c r="D194" s="57"/>
      <c r="E194" s="57"/>
      <c r="F194" s="58" t="str">
        <f aca="false">IF(B194="","",IF(COUNTIF(取込チェック!$C$6:$C$505,B194)&gt;0,1,0))</f>
        <v/>
      </c>
      <c r="G194" s="59" t="str">
        <f aca="false">IF(B194="","",SUMIF(取込チェック!$C$6:$C$505,B194,取込チェック!$D$6:$D$505))</f>
        <v/>
      </c>
      <c r="H194" s="59" t="str">
        <f aca="false">IF(B194="","",SUMIF(取込チェック!$C$6:$C$505,B194,取込チェック!$E$6:$E$505))</f>
        <v/>
      </c>
      <c r="I194" s="59" t="str">
        <f aca="false">IF(B194="","",SUMIF(取込チェック!$C$6:$C$505,B194,取込チェック!$F$6:$F$505))</f>
        <v/>
      </c>
      <c r="J194" s="60" t="str">
        <f aca="false">IF(F194&lt;&gt;1,"",IF(H194=0,-1,G194/H194))</f>
        <v/>
      </c>
      <c r="K194" s="58" t="str">
        <f aca="false">IF(F194&lt;&gt;1,"",COUNTIFS($E$5:$E$304,E194,$F$5:$F$304,1,$J$5:$J$304,"&gt;"&amp;J194)+COUNTIFS($E$5:$E$304,E194,$F$5:$F$304,1,$J$5:$J$304,J194,$A$5:$A$304,"&lt;"&amp;A194)+1)</f>
        <v/>
      </c>
      <c r="L194" s="58" t="str">
        <f aca="false">IF(K194="","",E194&amp;"|"&amp;K194)</f>
        <v/>
      </c>
      <c r="M194" s="58" t="str">
        <f aca="false">IF(F194&lt;&gt;1,"",IF(COUNTIFS($C$5:C194,C194,$F$5:F194,1)=1,1,0))</f>
        <v/>
      </c>
      <c r="N194" s="59" t="str">
        <f aca="false">IF(M194&lt;&gt;1,"",SUMIF($C$5:$C$304,C194,$G$5:$G$304))</f>
        <v/>
      </c>
      <c r="O194" s="58" t="str">
        <f aca="false">IF(M194&lt;&gt;1,"",COUNTIFS($M$5:$M$304,1,$N$5:$N$304,"&gt;"&amp;N194)+COUNTIFS($M$5:$M$304,1,$N$5:$N$304,N194,$A$5:$A$304,"&lt;"&amp;A194)+1)</f>
        <v/>
      </c>
    </row>
    <row r="195" customFormat="false" ht="15" hidden="false" customHeight="false" outlineLevel="0" collapsed="false">
      <c r="A195" s="55" t="str">
        <f aca="false">IF(B195="","",ROW()-4)</f>
        <v/>
      </c>
      <c r="B195" s="57"/>
      <c r="C195" s="57"/>
      <c r="D195" s="57"/>
      <c r="E195" s="57"/>
      <c r="F195" s="58" t="str">
        <f aca="false">IF(B195="","",IF(COUNTIF(取込チェック!$C$6:$C$505,B195)&gt;0,1,0))</f>
        <v/>
      </c>
      <c r="G195" s="59" t="str">
        <f aca="false">IF(B195="","",SUMIF(取込チェック!$C$6:$C$505,B195,取込チェック!$D$6:$D$505))</f>
        <v/>
      </c>
      <c r="H195" s="59" t="str">
        <f aca="false">IF(B195="","",SUMIF(取込チェック!$C$6:$C$505,B195,取込チェック!$E$6:$E$505))</f>
        <v/>
      </c>
      <c r="I195" s="59" t="str">
        <f aca="false">IF(B195="","",SUMIF(取込チェック!$C$6:$C$505,B195,取込チェック!$F$6:$F$505))</f>
        <v/>
      </c>
      <c r="J195" s="60" t="str">
        <f aca="false">IF(F195&lt;&gt;1,"",IF(H195=0,-1,G195/H195))</f>
        <v/>
      </c>
      <c r="K195" s="58" t="str">
        <f aca="false">IF(F195&lt;&gt;1,"",COUNTIFS($E$5:$E$304,E195,$F$5:$F$304,1,$J$5:$J$304,"&gt;"&amp;J195)+COUNTIFS($E$5:$E$304,E195,$F$5:$F$304,1,$J$5:$J$304,J195,$A$5:$A$304,"&lt;"&amp;A195)+1)</f>
        <v/>
      </c>
      <c r="L195" s="58" t="str">
        <f aca="false">IF(K195="","",E195&amp;"|"&amp;K195)</f>
        <v/>
      </c>
      <c r="M195" s="58" t="str">
        <f aca="false">IF(F195&lt;&gt;1,"",IF(COUNTIFS($C$5:C195,C195,$F$5:F195,1)=1,1,0))</f>
        <v/>
      </c>
      <c r="N195" s="59" t="str">
        <f aca="false">IF(M195&lt;&gt;1,"",SUMIF($C$5:$C$304,C195,$G$5:$G$304))</f>
        <v/>
      </c>
      <c r="O195" s="58" t="str">
        <f aca="false">IF(M195&lt;&gt;1,"",COUNTIFS($M$5:$M$304,1,$N$5:$N$304,"&gt;"&amp;N195)+COUNTIFS($M$5:$M$304,1,$N$5:$N$304,N195,$A$5:$A$304,"&lt;"&amp;A195)+1)</f>
        <v/>
      </c>
    </row>
    <row r="196" customFormat="false" ht="15" hidden="false" customHeight="false" outlineLevel="0" collapsed="false">
      <c r="A196" s="55" t="str">
        <f aca="false">IF(B196="","",ROW()-4)</f>
        <v/>
      </c>
      <c r="B196" s="57"/>
      <c r="C196" s="57"/>
      <c r="D196" s="57"/>
      <c r="E196" s="57"/>
      <c r="F196" s="58" t="str">
        <f aca="false">IF(B196="","",IF(COUNTIF(取込チェック!$C$6:$C$505,B196)&gt;0,1,0))</f>
        <v/>
      </c>
      <c r="G196" s="59" t="str">
        <f aca="false">IF(B196="","",SUMIF(取込チェック!$C$6:$C$505,B196,取込チェック!$D$6:$D$505))</f>
        <v/>
      </c>
      <c r="H196" s="59" t="str">
        <f aca="false">IF(B196="","",SUMIF(取込チェック!$C$6:$C$505,B196,取込チェック!$E$6:$E$505))</f>
        <v/>
      </c>
      <c r="I196" s="59" t="str">
        <f aca="false">IF(B196="","",SUMIF(取込チェック!$C$6:$C$505,B196,取込チェック!$F$6:$F$505))</f>
        <v/>
      </c>
      <c r="J196" s="60" t="str">
        <f aca="false">IF(F196&lt;&gt;1,"",IF(H196=0,-1,G196/H196))</f>
        <v/>
      </c>
      <c r="K196" s="58" t="str">
        <f aca="false">IF(F196&lt;&gt;1,"",COUNTIFS($E$5:$E$304,E196,$F$5:$F$304,1,$J$5:$J$304,"&gt;"&amp;J196)+COUNTIFS($E$5:$E$304,E196,$F$5:$F$304,1,$J$5:$J$304,J196,$A$5:$A$304,"&lt;"&amp;A196)+1)</f>
        <v/>
      </c>
      <c r="L196" s="58" t="str">
        <f aca="false">IF(K196="","",E196&amp;"|"&amp;K196)</f>
        <v/>
      </c>
      <c r="M196" s="58" t="str">
        <f aca="false">IF(F196&lt;&gt;1,"",IF(COUNTIFS($C$5:C196,C196,$F$5:F196,1)=1,1,0))</f>
        <v/>
      </c>
      <c r="N196" s="59" t="str">
        <f aca="false">IF(M196&lt;&gt;1,"",SUMIF($C$5:$C$304,C196,$G$5:$G$304))</f>
        <v/>
      </c>
      <c r="O196" s="58" t="str">
        <f aca="false">IF(M196&lt;&gt;1,"",COUNTIFS($M$5:$M$304,1,$N$5:$N$304,"&gt;"&amp;N196)+COUNTIFS($M$5:$M$304,1,$N$5:$N$304,N196,$A$5:$A$304,"&lt;"&amp;A196)+1)</f>
        <v/>
      </c>
    </row>
    <row r="197" customFormat="false" ht="15" hidden="false" customHeight="false" outlineLevel="0" collapsed="false">
      <c r="A197" s="55" t="str">
        <f aca="false">IF(B197="","",ROW()-4)</f>
        <v/>
      </c>
      <c r="B197" s="57"/>
      <c r="C197" s="57"/>
      <c r="D197" s="57"/>
      <c r="E197" s="57"/>
      <c r="F197" s="58" t="str">
        <f aca="false">IF(B197="","",IF(COUNTIF(取込チェック!$C$6:$C$505,B197)&gt;0,1,0))</f>
        <v/>
      </c>
      <c r="G197" s="59" t="str">
        <f aca="false">IF(B197="","",SUMIF(取込チェック!$C$6:$C$505,B197,取込チェック!$D$6:$D$505))</f>
        <v/>
      </c>
      <c r="H197" s="59" t="str">
        <f aca="false">IF(B197="","",SUMIF(取込チェック!$C$6:$C$505,B197,取込チェック!$E$6:$E$505))</f>
        <v/>
      </c>
      <c r="I197" s="59" t="str">
        <f aca="false">IF(B197="","",SUMIF(取込チェック!$C$6:$C$505,B197,取込チェック!$F$6:$F$505))</f>
        <v/>
      </c>
      <c r="J197" s="60" t="str">
        <f aca="false">IF(F197&lt;&gt;1,"",IF(H197=0,-1,G197/H197))</f>
        <v/>
      </c>
      <c r="K197" s="58" t="str">
        <f aca="false">IF(F197&lt;&gt;1,"",COUNTIFS($E$5:$E$304,E197,$F$5:$F$304,1,$J$5:$J$304,"&gt;"&amp;J197)+COUNTIFS($E$5:$E$304,E197,$F$5:$F$304,1,$J$5:$J$304,J197,$A$5:$A$304,"&lt;"&amp;A197)+1)</f>
        <v/>
      </c>
      <c r="L197" s="58" t="str">
        <f aca="false">IF(K197="","",E197&amp;"|"&amp;K197)</f>
        <v/>
      </c>
      <c r="M197" s="58" t="str">
        <f aca="false">IF(F197&lt;&gt;1,"",IF(COUNTIFS($C$5:C197,C197,$F$5:F197,1)=1,1,0))</f>
        <v/>
      </c>
      <c r="N197" s="59" t="str">
        <f aca="false">IF(M197&lt;&gt;1,"",SUMIF($C$5:$C$304,C197,$G$5:$G$304))</f>
        <v/>
      </c>
      <c r="O197" s="58" t="str">
        <f aca="false">IF(M197&lt;&gt;1,"",COUNTIFS($M$5:$M$304,1,$N$5:$N$304,"&gt;"&amp;N197)+COUNTIFS($M$5:$M$304,1,$N$5:$N$304,N197,$A$5:$A$304,"&lt;"&amp;A197)+1)</f>
        <v/>
      </c>
    </row>
    <row r="198" customFormat="false" ht="15" hidden="false" customHeight="false" outlineLevel="0" collapsed="false">
      <c r="A198" s="55" t="str">
        <f aca="false">IF(B198="","",ROW()-4)</f>
        <v/>
      </c>
      <c r="B198" s="57"/>
      <c r="C198" s="57"/>
      <c r="D198" s="57"/>
      <c r="E198" s="57"/>
      <c r="F198" s="58" t="str">
        <f aca="false">IF(B198="","",IF(COUNTIF(取込チェック!$C$6:$C$505,B198)&gt;0,1,0))</f>
        <v/>
      </c>
      <c r="G198" s="59" t="str">
        <f aca="false">IF(B198="","",SUMIF(取込チェック!$C$6:$C$505,B198,取込チェック!$D$6:$D$505))</f>
        <v/>
      </c>
      <c r="H198" s="59" t="str">
        <f aca="false">IF(B198="","",SUMIF(取込チェック!$C$6:$C$505,B198,取込チェック!$E$6:$E$505))</f>
        <v/>
      </c>
      <c r="I198" s="59" t="str">
        <f aca="false">IF(B198="","",SUMIF(取込チェック!$C$6:$C$505,B198,取込チェック!$F$6:$F$505))</f>
        <v/>
      </c>
      <c r="J198" s="60" t="str">
        <f aca="false">IF(F198&lt;&gt;1,"",IF(H198=0,-1,G198/H198))</f>
        <v/>
      </c>
      <c r="K198" s="58" t="str">
        <f aca="false">IF(F198&lt;&gt;1,"",COUNTIFS($E$5:$E$304,E198,$F$5:$F$304,1,$J$5:$J$304,"&gt;"&amp;J198)+COUNTIFS($E$5:$E$304,E198,$F$5:$F$304,1,$J$5:$J$304,J198,$A$5:$A$304,"&lt;"&amp;A198)+1)</f>
        <v/>
      </c>
      <c r="L198" s="58" t="str">
        <f aca="false">IF(K198="","",E198&amp;"|"&amp;K198)</f>
        <v/>
      </c>
      <c r="M198" s="58" t="str">
        <f aca="false">IF(F198&lt;&gt;1,"",IF(COUNTIFS($C$5:C198,C198,$F$5:F198,1)=1,1,0))</f>
        <v/>
      </c>
      <c r="N198" s="59" t="str">
        <f aca="false">IF(M198&lt;&gt;1,"",SUMIF($C$5:$C$304,C198,$G$5:$G$304))</f>
        <v/>
      </c>
      <c r="O198" s="58" t="str">
        <f aca="false">IF(M198&lt;&gt;1,"",COUNTIFS($M$5:$M$304,1,$N$5:$N$304,"&gt;"&amp;N198)+COUNTIFS($M$5:$M$304,1,$N$5:$N$304,N198,$A$5:$A$304,"&lt;"&amp;A198)+1)</f>
        <v/>
      </c>
    </row>
    <row r="199" customFormat="false" ht="15" hidden="false" customHeight="false" outlineLevel="0" collapsed="false">
      <c r="A199" s="55" t="str">
        <f aca="false">IF(B199="","",ROW()-4)</f>
        <v/>
      </c>
      <c r="B199" s="57"/>
      <c r="C199" s="57"/>
      <c r="D199" s="57"/>
      <c r="E199" s="57"/>
      <c r="F199" s="58" t="str">
        <f aca="false">IF(B199="","",IF(COUNTIF(取込チェック!$C$6:$C$505,B199)&gt;0,1,0))</f>
        <v/>
      </c>
      <c r="G199" s="59" t="str">
        <f aca="false">IF(B199="","",SUMIF(取込チェック!$C$6:$C$505,B199,取込チェック!$D$6:$D$505))</f>
        <v/>
      </c>
      <c r="H199" s="59" t="str">
        <f aca="false">IF(B199="","",SUMIF(取込チェック!$C$6:$C$505,B199,取込チェック!$E$6:$E$505))</f>
        <v/>
      </c>
      <c r="I199" s="59" t="str">
        <f aca="false">IF(B199="","",SUMIF(取込チェック!$C$6:$C$505,B199,取込チェック!$F$6:$F$505))</f>
        <v/>
      </c>
      <c r="J199" s="60" t="str">
        <f aca="false">IF(F199&lt;&gt;1,"",IF(H199=0,-1,G199/H199))</f>
        <v/>
      </c>
      <c r="K199" s="58" t="str">
        <f aca="false">IF(F199&lt;&gt;1,"",COUNTIFS($E$5:$E$304,E199,$F$5:$F$304,1,$J$5:$J$304,"&gt;"&amp;J199)+COUNTIFS($E$5:$E$304,E199,$F$5:$F$304,1,$J$5:$J$304,J199,$A$5:$A$304,"&lt;"&amp;A199)+1)</f>
        <v/>
      </c>
      <c r="L199" s="58" t="str">
        <f aca="false">IF(K199="","",E199&amp;"|"&amp;K199)</f>
        <v/>
      </c>
      <c r="M199" s="58" t="str">
        <f aca="false">IF(F199&lt;&gt;1,"",IF(COUNTIFS($C$5:C199,C199,$F$5:F199,1)=1,1,0))</f>
        <v/>
      </c>
      <c r="N199" s="59" t="str">
        <f aca="false">IF(M199&lt;&gt;1,"",SUMIF($C$5:$C$304,C199,$G$5:$G$304))</f>
        <v/>
      </c>
      <c r="O199" s="58" t="str">
        <f aca="false">IF(M199&lt;&gt;1,"",COUNTIFS($M$5:$M$304,1,$N$5:$N$304,"&gt;"&amp;N199)+COUNTIFS($M$5:$M$304,1,$N$5:$N$304,N199,$A$5:$A$304,"&lt;"&amp;A199)+1)</f>
        <v/>
      </c>
    </row>
    <row r="200" customFormat="false" ht="15" hidden="false" customHeight="false" outlineLevel="0" collapsed="false">
      <c r="A200" s="55" t="str">
        <f aca="false">IF(B200="","",ROW()-4)</f>
        <v/>
      </c>
      <c r="B200" s="57"/>
      <c r="C200" s="57"/>
      <c r="D200" s="57"/>
      <c r="E200" s="57"/>
      <c r="F200" s="58" t="str">
        <f aca="false">IF(B200="","",IF(COUNTIF(取込チェック!$C$6:$C$505,B200)&gt;0,1,0))</f>
        <v/>
      </c>
      <c r="G200" s="59" t="str">
        <f aca="false">IF(B200="","",SUMIF(取込チェック!$C$6:$C$505,B200,取込チェック!$D$6:$D$505))</f>
        <v/>
      </c>
      <c r="H200" s="59" t="str">
        <f aca="false">IF(B200="","",SUMIF(取込チェック!$C$6:$C$505,B200,取込チェック!$E$6:$E$505))</f>
        <v/>
      </c>
      <c r="I200" s="59" t="str">
        <f aca="false">IF(B200="","",SUMIF(取込チェック!$C$6:$C$505,B200,取込チェック!$F$6:$F$505))</f>
        <v/>
      </c>
      <c r="J200" s="60" t="str">
        <f aca="false">IF(F200&lt;&gt;1,"",IF(H200=0,-1,G200/H200))</f>
        <v/>
      </c>
      <c r="K200" s="58" t="str">
        <f aca="false">IF(F200&lt;&gt;1,"",COUNTIFS($E$5:$E$304,E200,$F$5:$F$304,1,$J$5:$J$304,"&gt;"&amp;J200)+COUNTIFS($E$5:$E$304,E200,$F$5:$F$304,1,$J$5:$J$304,J200,$A$5:$A$304,"&lt;"&amp;A200)+1)</f>
        <v/>
      </c>
      <c r="L200" s="58" t="str">
        <f aca="false">IF(K200="","",E200&amp;"|"&amp;K200)</f>
        <v/>
      </c>
      <c r="M200" s="58" t="str">
        <f aca="false">IF(F200&lt;&gt;1,"",IF(COUNTIFS($C$5:C200,C200,$F$5:F200,1)=1,1,0))</f>
        <v/>
      </c>
      <c r="N200" s="59" t="str">
        <f aca="false">IF(M200&lt;&gt;1,"",SUMIF($C$5:$C$304,C200,$G$5:$G$304))</f>
        <v/>
      </c>
      <c r="O200" s="58" t="str">
        <f aca="false">IF(M200&lt;&gt;1,"",COUNTIFS($M$5:$M$304,1,$N$5:$N$304,"&gt;"&amp;N200)+COUNTIFS($M$5:$M$304,1,$N$5:$N$304,N200,$A$5:$A$304,"&lt;"&amp;A200)+1)</f>
        <v/>
      </c>
    </row>
    <row r="201" customFormat="false" ht="15" hidden="false" customHeight="false" outlineLevel="0" collapsed="false">
      <c r="A201" s="55" t="str">
        <f aca="false">IF(B201="","",ROW()-4)</f>
        <v/>
      </c>
      <c r="B201" s="57"/>
      <c r="C201" s="57"/>
      <c r="D201" s="57"/>
      <c r="E201" s="57"/>
      <c r="F201" s="58" t="str">
        <f aca="false">IF(B201="","",IF(COUNTIF(取込チェック!$C$6:$C$505,B201)&gt;0,1,0))</f>
        <v/>
      </c>
      <c r="G201" s="59" t="str">
        <f aca="false">IF(B201="","",SUMIF(取込チェック!$C$6:$C$505,B201,取込チェック!$D$6:$D$505))</f>
        <v/>
      </c>
      <c r="H201" s="59" t="str">
        <f aca="false">IF(B201="","",SUMIF(取込チェック!$C$6:$C$505,B201,取込チェック!$E$6:$E$505))</f>
        <v/>
      </c>
      <c r="I201" s="59" t="str">
        <f aca="false">IF(B201="","",SUMIF(取込チェック!$C$6:$C$505,B201,取込チェック!$F$6:$F$505))</f>
        <v/>
      </c>
      <c r="J201" s="60" t="str">
        <f aca="false">IF(F201&lt;&gt;1,"",IF(H201=0,-1,G201/H201))</f>
        <v/>
      </c>
      <c r="K201" s="58" t="str">
        <f aca="false">IF(F201&lt;&gt;1,"",COUNTIFS($E$5:$E$304,E201,$F$5:$F$304,1,$J$5:$J$304,"&gt;"&amp;J201)+COUNTIFS($E$5:$E$304,E201,$F$5:$F$304,1,$J$5:$J$304,J201,$A$5:$A$304,"&lt;"&amp;A201)+1)</f>
        <v/>
      </c>
      <c r="L201" s="58" t="str">
        <f aca="false">IF(K201="","",E201&amp;"|"&amp;K201)</f>
        <v/>
      </c>
      <c r="M201" s="58" t="str">
        <f aca="false">IF(F201&lt;&gt;1,"",IF(COUNTIFS($C$5:C201,C201,$F$5:F201,1)=1,1,0))</f>
        <v/>
      </c>
      <c r="N201" s="59" t="str">
        <f aca="false">IF(M201&lt;&gt;1,"",SUMIF($C$5:$C$304,C201,$G$5:$G$304))</f>
        <v/>
      </c>
      <c r="O201" s="58" t="str">
        <f aca="false">IF(M201&lt;&gt;1,"",COUNTIFS($M$5:$M$304,1,$N$5:$N$304,"&gt;"&amp;N201)+COUNTIFS($M$5:$M$304,1,$N$5:$N$304,N201,$A$5:$A$304,"&lt;"&amp;A201)+1)</f>
        <v/>
      </c>
    </row>
    <row r="202" customFormat="false" ht="15" hidden="false" customHeight="false" outlineLevel="0" collapsed="false">
      <c r="A202" s="55" t="str">
        <f aca="false">IF(B202="","",ROW()-4)</f>
        <v/>
      </c>
      <c r="B202" s="57"/>
      <c r="C202" s="57"/>
      <c r="D202" s="57"/>
      <c r="E202" s="57"/>
      <c r="F202" s="58" t="str">
        <f aca="false">IF(B202="","",IF(COUNTIF(取込チェック!$C$6:$C$505,B202)&gt;0,1,0))</f>
        <v/>
      </c>
      <c r="G202" s="59" t="str">
        <f aca="false">IF(B202="","",SUMIF(取込チェック!$C$6:$C$505,B202,取込チェック!$D$6:$D$505))</f>
        <v/>
      </c>
      <c r="H202" s="59" t="str">
        <f aca="false">IF(B202="","",SUMIF(取込チェック!$C$6:$C$505,B202,取込チェック!$E$6:$E$505))</f>
        <v/>
      </c>
      <c r="I202" s="59" t="str">
        <f aca="false">IF(B202="","",SUMIF(取込チェック!$C$6:$C$505,B202,取込チェック!$F$6:$F$505))</f>
        <v/>
      </c>
      <c r="J202" s="60" t="str">
        <f aca="false">IF(F202&lt;&gt;1,"",IF(H202=0,-1,G202/H202))</f>
        <v/>
      </c>
      <c r="K202" s="58" t="str">
        <f aca="false">IF(F202&lt;&gt;1,"",COUNTIFS($E$5:$E$304,E202,$F$5:$F$304,1,$J$5:$J$304,"&gt;"&amp;J202)+COUNTIFS($E$5:$E$304,E202,$F$5:$F$304,1,$J$5:$J$304,J202,$A$5:$A$304,"&lt;"&amp;A202)+1)</f>
        <v/>
      </c>
      <c r="L202" s="58" t="str">
        <f aca="false">IF(K202="","",E202&amp;"|"&amp;K202)</f>
        <v/>
      </c>
      <c r="M202" s="58" t="str">
        <f aca="false">IF(F202&lt;&gt;1,"",IF(COUNTIFS($C$5:C202,C202,$F$5:F202,1)=1,1,0))</f>
        <v/>
      </c>
      <c r="N202" s="59" t="str">
        <f aca="false">IF(M202&lt;&gt;1,"",SUMIF($C$5:$C$304,C202,$G$5:$G$304))</f>
        <v/>
      </c>
      <c r="O202" s="58" t="str">
        <f aca="false">IF(M202&lt;&gt;1,"",COUNTIFS($M$5:$M$304,1,$N$5:$N$304,"&gt;"&amp;N202)+COUNTIFS($M$5:$M$304,1,$N$5:$N$304,N202,$A$5:$A$304,"&lt;"&amp;A202)+1)</f>
        <v/>
      </c>
    </row>
    <row r="203" customFormat="false" ht="15" hidden="false" customHeight="false" outlineLevel="0" collapsed="false">
      <c r="A203" s="55" t="str">
        <f aca="false">IF(B203="","",ROW()-4)</f>
        <v/>
      </c>
      <c r="B203" s="57"/>
      <c r="C203" s="57"/>
      <c r="D203" s="57"/>
      <c r="E203" s="57"/>
      <c r="F203" s="58" t="str">
        <f aca="false">IF(B203="","",IF(COUNTIF(取込チェック!$C$6:$C$505,B203)&gt;0,1,0))</f>
        <v/>
      </c>
      <c r="G203" s="59" t="str">
        <f aca="false">IF(B203="","",SUMIF(取込チェック!$C$6:$C$505,B203,取込チェック!$D$6:$D$505))</f>
        <v/>
      </c>
      <c r="H203" s="59" t="str">
        <f aca="false">IF(B203="","",SUMIF(取込チェック!$C$6:$C$505,B203,取込チェック!$E$6:$E$505))</f>
        <v/>
      </c>
      <c r="I203" s="59" t="str">
        <f aca="false">IF(B203="","",SUMIF(取込チェック!$C$6:$C$505,B203,取込チェック!$F$6:$F$505))</f>
        <v/>
      </c>
      <c r="J203" s="60" t="str">
        <f aca="false">IF(F203&lt;&gt;1,"",IF(H203=0,-1,G203/H203))</f>
        <v/>
      </c>
      <c r="K203" s="58" t="str">
        <f aca="false">IF(F203&lt;&gt;1,"",COUNTIFS($E$5:$E$304,E203,$F$5:$F$304,1,$J$5:$J$304,"&gt;"&amp;J203)+COUNTIFS($E$5:$E$304,E203,$F$5:$F$304,1,$J$5:$J$304,J203,$A$5:$A$304,"&lt;"&amp;A203)+1)</f>
        <v/>
      </c>
      <c r="L203" s="58" t="str">
        <f aca="false">IF(K203="","",E203&amp;"|"&amp;K203)</f>
        <v/>
      </c>
      <c r="M203" s="58" t="str">
        <f aca="false">IF(F203&lt;&gt;1,"",IF(COUNTIFS($C$5:C203,C203,$F$5:F203,1)=1,1,0))</f>
        <v/>
      </c>
      <c r="N203" s="59" t="str">
        <f aca="false">IF(M203&lt;&gt;1,"",SUMIF($C$5:$C$304,C203,$G$5:$G$304))</f>
        <v/>
      </c>
      <c r="O203" s="58" t="str">
        <f aca="false">IF(M203&lt;&gt;1,"",COUNTIFS($M$5:$M$304,1,$N$5:$N$304,"&gt;"&amp;N203)+COUNTIFS($M$5:$M$304,1,$N$5:$N$304,N203,$A$5:$A$304,"&lt;"&amp;A203)+1)</f>
        <v/>
      </c>
    </row>
    <row r="204" customFormat="false" ht="15" hidden="false" customHeight="false" outlineLevel="0" collapsed="false">
      <c r="A204" s="55" t="str">
        <f aca="false">IF(B204="","",ROW()-4)</f>
        <v/>
      </c>
      <c r="B204" s="57"/>
      <c r="C204" s="57"/>
      <c r="D204" s="57"/>
      <c r="E204" s="57"/>
      <c r="F204" s="58" t="str">
        <f aca="false">IF(B204="","",IF(COUNTIF(取込チェック!$C$6:$C$505,B204)&gt;0,1,0))</f>
        <v/>
      </c>
      <c r="G204" s="59" t="str">
        <f aca="false">IF(B204="","",SUMIF(取込チェック!$C$6:$C$505,B204,取込チェック!$D$6:$D$505))</f>
        <v/>
      </c>
      <c r="H204" s="59" t="str">
        <f aca="false">IF(B204="","",SUMIF(取込チェック!$C$6:$C$505,B204,取込チェック!$E$6:$E$505))</f>
        <v/>
      </c>
      <c r="I204" s="59" t="str">
        <f aca="false">IF(B204="","",SUMIF(取込チェック!$C$6:$C$505,B204,取込チェック!$F$6:$F$505))</f>
        <v/>
      </c>
      <c r="J204" s="60" t="str">
        <f aca="false">IF(F204&lt;&gt;1,"",IF(H204=0,-1,G204/H204))</f>
        <v/>
      </c>
      <c r="K204" s="58" t="str">
        <f aca="false">IF(F204&lt;&gt;1,"",COUNTIFS($E$5:$E$304,E204,$F$5:$F$304,1,$J$5:$J$304,"&gt;"&amp;J204)+COUNTIFS($E$5:$E$304,E204,$F$5:$F$304,1,$J$5:$J$304,J204,$A$5:$A$304,"&lt;"&amp;A204)+1)</f>
        <v/>
      </c>
      <c r="L204" s="58" t="str">
        <f aca="false">IF(K204="","",E204&amp;"|"&amp;K204)</f>
        <v/>
      </c>
      <c r="M204" s="58" t="str">
        <f aca="false">IF(F204&lt;&gt;1,"",IF(COUNTIFS($C$5:C204,C204,$F$5:F204,1)=1,1,0))</f>
        <v/>
      </c>
      <c r="N204" s="59" t="str">
        <f aca="false">IF(M204&lt;&gt;1,"",SUMIF($C$5:$C$304,C204,$G$5:$G$304))</f>
        <v/>
      </c>
      <c r="O204" s="58" t="str">
        <f aca="false">IF(M204&lt;&gt;1,"",COUNTIFS($M$5:$M$304,1,$N$5:$N$304,"&gt;"&amp;N204)+COUNTIFS($M$5:$M$304,1,$N$5:$N$304,N204,$A$5:$A$304,"&lt;"&amp;A204)+1)</f>
        <v/>
      </c>
    </row>
    <row r="205" customFormat="false" ht="15" hidden="false" customHeight="false" outlineLevel="0" collapsed="false">
      <c r="A205" s="55" t="str">
        <f aca="false">IF(B205="","",ROW()-4)</f>
        <v/>
      </c>
      <c r="B205" s="57"/>
      <c r="C205" s="57"/>
      <c r="D205" s="57"/>
      <c r="E205" s="57"/>
      <c r="F205" s="58" t="str">
        <f aca="false">IF(B205="","",IF(COUNTIF(取込チェック!$C$6:$C$505,B205)&gt;0,1,0))</f>
        <v/>
      </c>
      <c r="G205" s="59" t="str">
        <f aca="false">IF(B205="","",SUMIF(取込チェック!$C$6:$C$505,B205,取込チェック!$D$6:$D$505))</f>
        <v/>
      </c>
      <c r="H205" s="59" t="str">
        <f aca="false">IF(B205="","",SUMIF(取込チェック!$C$6:$C$505,B205,取込チェック!$E$6:$E$505))</f>
        <v/>
      </c>
      <c r="I205" s="59" t="str">
        <f aca="false">IF(B205="","",SUMIF(取込チェック!$C$6:$C$505,B205,取込チェック!$F$6:$F$505))</f>
        <v/>
      </c>
      <c r="J205" s="60" t="str">
        <f aca="false">IF(F205&lt;&gt;1,"",IF(H205=0,-1,G205/H205))</f>
        <v/>
      </c>
      <c r="K205" s="58" t="str">
        <f aca="false">IF(F205&lt;&gt;1,"",COUNTIFS($E$5:$E$304,E205,$F$5:$F$304,1,$J$5:$J$304,"&gt;"&amp;J205)+COUNTIFS($E$5:$E$304,E205,$F$5:$F$304,1,$J$5:$J$304,J205,$A$5:$A$304,"&lt;"&amp;A205)+1)</f>
        <v/>
      </c>
      <c r="L205" s="58" t="str">
        <f aca="false">IF(K205="","",E205&amp;"|"&amp;K205)</f>
        <v/>
      </c>
      <c r="M205" s="58" t="str">
        <f aca="false">IF(F205&lt;&gt;1,"",IF(COUNTIFS($C$5:C205,C205,$F$5:F205,1)=1,1,0))</f>
        <v/>
      </c>
      <c r="N205" s="59" t="str">
        <f aca="false">IF(M205&lt;&gt;1,"",SUMIF($C$5:$C$304,C205,$G$5:$G$304))</f>
        <v/>
      </c>
      <c r="O205" s="58" t="str">
        <f aca="false">IF(M205&lt;&gt;1,"",COUNTIFS($M$5:$M$304,1,$N$5:$N$304,"&gt;"&amp;N205)+COUNTIFS($M$5:$M$304,1,$N$5:$N$304,N205,$A$5:$A$304,"&lt;"&amp;A205)+1)</f>
        <v/>
      </c>
    </row>
    <row r="206" customFormat="false" ht="15" hidden="false" customHeight="false" outlineLevel="0" collapsed="false">
      <c r="A206" s="55" t="str">
        <f aca="false">IF(B206="","",ROW()-4)</f>
        <v/>
      </c>
      <c r="B206" s="57"/>
      <c r="C206" s="57"/>
      <c r="D206" s="57"/>
      <c r="E206" s="57"/>
      <c r="F206" s="58" t="str">
        <f aca="false">IF(B206="","",IF(COUNTIF(取込チェック!$C$6:$C$505,B206)&gt;0,1,0))</f>
        <v/>
      </c>
      <c r="G206" s="59" t="str">
        <f aca="false">IF(B206="","",SUMIF(取込チェック!$C$6:$C$505,B206,取込チェック!$D$6:$D$505))</f>
        <v/>
      </c>
      <c r="H206" s="59" t="str">
        <f aca="false">IF(B206="","",SUMIF(取込チェック!$C$6:$C$505,B206,取込チェック!$E$6:$E$505))</f>
        <v/>
      </c>
      <c r="I206" s="59" t="str">
        <f aca="false">IF(B206="","",SUMIF(取込チェック!$C$6:$C$505,B206,取込チェック!$F$6:$F$505))</f>
        <v/>
      </c>
      <c r="J206" s="60" t="str">
        <f aca="false">IF(F206&lt;&gt;1,"",IF(H206=0,-1,G206/H206))</f>
        <v/>
      </c>
      <c r="K206" s="58" t="str">
        <f aca="false">IF(F206&lt;&gt;1,"",COUNTIFS($E$5:$E$304,E206,$F$5:$F$304,1,$J$5:$J$304,"&gt;"&amp;J206)+COUNTIFS($E$5:$E$304,E206,$F$5:$F$304,1,$J$5:$J$304,J206,$A$5:$A$304,"&lt;"&amp;A206)+1)</f>
        <v/>
      </c>
      <c r="L206" s="58" t="str">
        <f aca="false">IF(K206="","",E206&amp;"|"&amp;K206)</f>
        <v/>
      </c>
      <c r="M206" s="58" t="str">
        <f aca="false">IF(F206&lt;&gt;1,"",IF(COUNTIFS($C$5:C206,C206,$F$5:F206,1)=1,1,0))</f>
        <v/>
      </c>
      <c r="N206" s="59" t="str">
        <f aca="false">IF(M206&lt;&gt;1,"",SUMIF($C$5:$C$304,C206,$G$5:$G$304))</f>
        <v/>
      </c>
      <c r="O206" s="58" t="str">
        <f aca="false">IF(M206&lt;&gt;1,"",COUNTIFS($M$5:$M$304,1,$N$5:$N$304,"&gt;"&amp;N206)+COUNTIFS($M$5:$M$304,1,$N$5:$N$304,N206,$A$5:$A$304,"&lt;"&amp;A206)+1)</f>
        <v/>
      </c>
    </row>
    <row r="207" customFormat="false" ht="15" hidden="false" customHeight="false" outlineLevel="0" collapsed="false">
      <c r="A207" s="55" t="str">
        <f aca="false">IF(B207="","",ROW()-4)</f>
        <v/>
      </c>
      <c r="B207" s="57"/>
      <c r="C207" s="57"/>
      <c r="D207" s="57"/>
      <c r="E207" s="57"/>
      <c r="F207" s="58" t="str">
        <f aca="false">IF(B207="","",IF(COUNTIF(取込チェック!$C$6:$C$505,B207)&gt;0,1,0))</f>
        <v/>
      </c>
      <c r="G207" s="59" t="str">
        <f aca="false">IF(B207="","",SUMIF(取込チェック!$C$6:$C$505,B207,取込チェック!$D$6:$D$505))</f>
        <v/>
      </c>
      <c r="H207" s="59" t="str">
        <f aca="false">IF(B207="","",SUMIF(取込チェック!$C$6:$C$505,B207,取込チェック!$E$6:$E$505))</f>
        <v/>
      </c>
      <c r="I207" s="59" t="str">
        <f aca="false">IF(B207="","",SUMIF(取込チェック!$C$6:$C$505,B207,取込チェック!$F$6:$F$505))</f>
        <v/>
      </c>
      <c r="J207" s="60" t="str">
        <f aca="false">IF(F207&lt;&gt;1,"",IF(H207=0,-1,G207/H207))</f>
        <v/>
      </c>
      <c r="K207" s="58" t="str">
        <f aca="false">IF(F207&lt;&gt;1,"",COUNTIFS($E$5:$E$304,E207,$F$5:$F$304,1,$J$5:$J$304,"&gt;"&amp;J207)+COUNTIFS($E$5:$E$304,E207,$F$5:$F$304,1,$J$5:$J$304,J207,$A$5:$A$304,"&lt;"&amp;A207)+1)</f>
        <v/>
      </c>
      <c r="L207" s="58" t="str">
        <f aca="false">IF(K207="","",E207&amp;"|"&amp;K207)</f>
        <v/>
      </c>
      <c r="M207" s="58" t="str">
        <f aca="false">IF(F207&lt;&gt;1,"",IF(COUNTIFS($C$5:C207,C207,$F$5:F207,1)=1,1,0))</f>
        <v/>
      </c>
      <c r="N207" s="59" t="str">
        <f aca="false">IF(M207&lt;&gt;1,"",SUMIF($C$5:$C$304,C207,$G$5:$G$304))</f>
        <v/>
      </c>
      <c r="O207" s="58" t="str">
        <f aca="false">IF(M207&lt;&gt;1,"",COUNTIFS($M$5:$M$304,1,$N$5:$N$304,"&gt;"&amp;N207)+COUNTIFS($M$5:$M$304,1,$N$5:$N$304,N207,$A$5:$A$304,"&lt;"&amp;A207)+1)</f>
        <v/>
      </c>
    </row>
    <row r="208" customFormat="false" ht="15" hidden="false" customHeight="false" outlineLevel="0" collapsed="false">
      <c r="A208" s="55" t="str">
        <f aca="false">IF(B208="","",ROW()-4)</f>
        <v/>
      </c>
      <c r="B208" s="57"/>
      <c r="C208" s="57"/>
      <c r="D208" s="57"/>
      <c r="E208" s="57"/>
      <c r="F208" s="58" t="str">
        <f aca="false">IF(B208="","",IF(COUNTIF(取込チェック!$C$6:$C$505,B208)&gt;0,1,0))</f>
        <v/>
      </c>
      <c r="G208" s="59" t="str">
        <f aca="false">IF(B208="","",SUMIF(取込チェック!$C$6:$C$505,B208,取込チェック!$D$6:$D$505))</f>
        <v/>
      </c>
      <c r="H208" s="59" t="str">
        <f aca="false">IF(B208="","",SUMIF(取込チェック!$C$6:$C$505,B208,取込チェック!$E$6:$E$505))</f>
        <v/>
      </c>
      <c r="I208" s="59" t="str">
        <f aca="false">IF(B208="","",SUMIF(取込チェック!$C$6:$C$505,B208,取込チェック!$F$6:$F$505))</f>
        <v/>
      </c>
      <c r="J208" s="60" t="str">
        <f aca="false">IF(F208&lt;&gt;1,"",IF(H208=0,-1,G208/H208))</f>
        <v/>
      </c>
      <c r="K208" s="58" t="str">
        <f aca="false">IF(F208&lt;&gt;1,"",COUNTIFS($E$5:$E$304,E208,$F$5:$F$304,1,$J$5:$J$304,"&gt;"&amp;J208)+COUNTIFS($E$5:$E$304,E208,$F$5:$F$304,1,$J$5:$J$304,J208,$A$5:$A$304,"&lt;"&amp;A208)+1)</f>
        <v/>
      </c>
      <c r="L208" s="58" t="str">
        <f aca="false">IF(K208="","",E208&amp;"|"&amp;K208)</f>
        <v/>
      </c>
      <c r="M208" s="58" t="str">
        <f aca="false">IF(F208&lt;&gt;1,"",IF(COUNTIFS($C$5:C208,C208,$F$5:F208,1)=1,1,0))</f>
        <v/>
      </c>
      <c r="N208" s="59" t="str">
        <f aca="false">IF(M208&lt;&gt;1,"",SUMIF($C$5:$C$304,C208,$G$5:$G$304))</f>
        <v/>
      </c>
      <c r="O208" s="58" t="str">
        <f aca="false">IF(M208&lt;&gt;1,"",COUNTIFS($M$5:$M$304,1,$N$5:$N$304,"&gt;"&amp;N208)+COUNTIFS($M$5:$M$304,1,$N$5:$N$304,N208,$A$5:$A$304,"&lt;"&amp;A208)+1)</f>
        <v/>
      </c>
    </row>
    <row r="209" customFormat="false" ht="15" hidden="false" customHeight="false" outlineLevel="0" collapsed="false">
      <c r="A209" s="55" t="str">
        <f aca="false">IF(B209="","",ROW()-4)</f>
        <v/>
      </c>
      <c r="B209" s="57"/>
      <c r="C209" s="57"/>
      <c r="D209" s="57"/>
      <c r="E209" s="57"/>
      <c r="F209" s="58" t="str">
        <f aca="false">IF(B209="","",IF(COUNTIF(取込チェック!$C$6:$C$505,B209)&gt;0,1,0))</f>
        <v/>
      </c>
      <c r="G209" s="59" t="str">
        <f aca="false">IF(B209="","",SUMIF(取込チェック!$C$6:$C$505,B209,取込チェック!$D$6:$D$505))</f>
        <v/>
      </c>
      <c r="H209" s="59" t="str">
        <f aca="false">IF(B209="","",SUMIF(取込チェック!$C$6:$C$505,B209,取込チェック!$E$6:$E$505))</f>
        <v/>
      </c>
      <c r="I209" s="59" t="str">
        <f aca="false">IF(B209="","",SUMIF(取込チェック!$C$6:$C$505,B209,取込チェック!$F$6:$F$505))</f>
        <v/>
      </c>
      <c r="J209" s="60" t="str">
        <f aca="false">IF(F209&lt;&gt;1,"",IF(H209=0,-1,G209/H209))</f>
        <v/>
      </c>
      <c r="K209" s="58" t="str">
        <f aca="false">IF(F209&lt;&gt;1,"",COUNTIFS($E$5:$E$304,E209,$F$5:$F$304,1,$J$5:$J$304,"&gt;"&amp;J209)+COUNTIFS($E$5:$E$304,E209,$F$5:$F$304,1,$J$5:$J$304,J209,$A$5:$A$304,"&lt;"&amp;A209)+1)</f>
        <v/>
      </c>
      <c r="L209" s="58" t="str">
        <f aca="false">IF(K209="","",E209&amp;"|"&amp;K209)</f>
        <v/>
      </c>
      <c r="M209" s="58" t="str">
        <f aca="false">IF(F209&lt;&gt;1,"",IF(COUNTIFS($C$5:C209,C209,$F$5:F209,1)=1,1,0))</f>
        <v/>
      </c>
      <c r="N209" s="59" t="str">
        <f aca="false">IF(M209&lt;&gt;1,"",SUMIF($C$5:$C$304,C209,$G$5:$G$304))</f>
        <v/>
      </c>
      <c r="O209" s="58" t="str">
        <f aca="false">IF(M209&lt;&gt;1,"",COUNTIFS($M$5:$M$304,1,$N$5:$N$304,"&gt;"&amp;N209)+COUNTIFS($M$5:$M$304,1,$N$5:$N$304,N209,$A$5:$A$304,"&lt;"&amp;A209)+1)</f>
        <v/>
      </c>
    </row>
    <row r="210" customFormat="false" ht="15" hidden="false" customHeight="false" outlineLevel="0" collapsed="false">
      <c r="A210" s="55" t="str">
        <f aca="false">IF(B210="","",ROW()-4)</f>
        <v/>
      </c>
      <c r="B210" s="57"/>
      <c r="C210" s="57"/>
      <c r="D210" s="57"/>
      <c r="E210" s="57"/>
      <c r="F210" s="58" t="str">
        <f aca="false">IF(B210="","",IF(COUNTIF(取込チェック!$C$6:$C$505,B210)&gt;0,1,0))</f>
        <v/>
      </c>
      <c r="G210" s="59" t="str">
        <f aca="false">IF(B210="","",SUMIF(取込チェック!$C$6:$C$505,B210,取込チェック!$D$6:$D$505))</f>
        <v/>
      </c>
      <c r="H210" s="59" t="str">
        <f aca="false">IF(B210="","",SUMIF(取込チェック!$C$6:$C$505,B210,取込チェック!$E$6:$E$505))</f>
        <v/>
      </c>
      <c r="I210" s="59" t="str">
        <f aca="false">IF(B210="","",SUMIF(取込チェック!$C$6:$C$505,B210,取込チェック!$F$6:$F$505))</f>
        <v/>
      </c>
      <c r="J210" s="60" t="str">
        <f aca="false">IF(F210&lt;&gt;1,"",IF(H210=0,-1,G210/H210))</f>
        <v/>
      </c>
      <c r="K210" s="58" t="str">
        <f aca="false">IF(F210&lt;&gt;1,"",COUNTIFS($E$5:$E$304,E210,$F$5:$F$304,1,$J$5:$J$304,"&gt;"&amp;J210)+COUNTIFS($E$5:$E$304,E210,$F$5:$F$304,1,$J$5:$J$304,J210,$A$5:$A$304,"&lt;"&amp;A210)+1)</f>
        <v/>
      </c>
      <c r="L210" s="58" t="str">
        <f aca="false">IF(K210="","",E210&amp;"|"&amp;K210)</f>
        <v/>
      </c>
      <c r="M210" s="58" t="str">
        <f aca="false">IF(F210&lt;&gt;1,"",IF(COUNTIFS($C$5:C210,C210,$F$5:F210,1)=1,1,0))</f>
        <v/>
      </c>
      <c r="N210" s="59" t="str">
        <f aca="false">IF(M210&lt;&gt;1,"",SUMIF($C$5:$C$304,C210,$G$5:$G$304))</f>
        <v/>
      </c>
      <c r="O210" s="58" t="str">
        <f aca="false">IF(M210&lt;&gt;1,"",COUNTIFS($M$5:$M$304,1,$N$5:$N$304,"&gt;"&amp;N210)+COUNTIFS($M$5:$M$304,1,$N$5:$N$304,N210,$A$5:$A$304,"&lt;"&amp;A210)+1)</f>
        <v/>
      </c>
    </row>
    <row r="211" customFormat="false" ht="15" hidden="false" customHeight="false" outlineLevel="0" collapsed="false">
      <c r="A211" s="55" t="str">
        <f aca="false">IF(B211="","",ROW()-4)</f>
        <v/>
      </c>
      <c r="B211" s="57"/>
      <c r="C211" s="57"/>
      <c r="D211" s="57"/>
      <c r="E211" s="57"/>
      <c r="F211" s="58" t="str">
        <f aca="false">IF(B211="","",IF(COUNTIF(取込チェック!$C$6:$C$505,B211)&gt;0,1,0))</f>
        <v/>
      </c>
      <c r="G211" s="59" t="str">
        <f aca="false">IF(B211="","",SUMIF(取込チェック!$C$6:$C$505,B211,取込チェック!$D$6:$D$505))</f>
        <v/>
      </c>
      <c r="H211" s="59" t="str">
        <f aca="false">IF(B211="","",SUMIF(取込チェック!$C$6:$C$505,B211,取込チェック!$E$6:$E$505))</f>
        <v/>
      </c>
      <c r="I211" s="59" t="str">
        <f aca="false">IF(B211="","",SUMIF(取込チェック!$C$6:$C$505,B211,取込チェック!$F$6:$F$505))</f>
        <v/>
      </c>
      <c r="J211" s="60" t="str">
        <f aca="false">IF(F211&lt;&gt;1,"",IF(H211=0,-1,G211/H211))</f>
        <v/>
      </c>
      <c r="K211" s="58" t="str">
        <f aca="false">IF(F211&lt;&gt;1,"",COUNTIFS($E$5:$E$304,E211,$F$5:$F$304,1,$J$5:$J$304,"&gt;"&amp;J211)+COUNTIFS($E$5:$E$304,E211,$F$5:$F$304,1,$J$5:$J$304,J211,$A$5:$A$304,"&lt;"&amp;A211)+1)</f>
        <v/>
      </c>
      <c r="L211" s="58" t="str">
        <f aca="false">IF(K211="","",E211&amp;"|"&amp;K211)</f>
        <v/>
      </c>
      <c r="M211" s="58" t="str">
        <f aca="false">IF(F211&lt;&gt;1,"",IF(COUNTIFS($C$5:C211,C211,$F$5:F211,1)=1,1,0))</f>
        <v/>
      </c>
      <c r="N211" s="59" t="str">
        <f aca="false">IF(M211&lt;&gt;1,"",SUMIF($C$5:$C$304,C211,$G$5:$G$304))</f>
        <v/>
      </c>
      <c r="O211" s="58" t="str">
        <f aca="false">IF(M211&lt;&gt;1,"",COUNTIFS($M$5:$M$304,1,$N$5:$N$304,"&gt;"&amp;N211)+COUNTIFS($M$5:$M$304,1,$N$5:$N$304,N211,$A$5:$A$304,"&lt;"&amp;A211)+1)</f>
        <v/>
      </c>
    </row>
    <row r="212" customFormat="false" ht="15" hidden="false" customHeight="false" outlineLevel="0" collapsed="false">
      <c r="A212" s="55" t="str">
        <f aca="false">IF(B212="","",ROW()-4)</f>
        <v/>
      </c>
      <c r="B212" s="57"/>
      <c r="C212" s="57"/>
      <c r="D212" s="57"/>
      <c r="E212" s="57"/>
      <c r="F212" s="58" t="str">
        <f aca="false">IF(B212="","",IF(COUNTIF(取込チェック!$C$6:$C$505,B212)&gt;0,1,0))</f>
        <v/>
      </c>
      <c r="G212" s="59" t="str">
        <f aca="false">IF(B212="","",SUMIF(取込チェック!$C$6:$C$505,B212,取込チェック!$D$6:$D$505))</f>
        <v/>
      </c>
      <c r="H212" s="59" t="str">
        <f aca="false">IF(B212="","",SUMIF(取込チェック!$C$6:$C$505,B212,取込チェック!$E$6:$E$505))</f>
        <v/>
      </c>
      <c r="I212" s="59" t="str">
        <f aca="false">IF(B212="","",SUMIF(取込チェック!$C$6:$C$505,B212,取込チェック!$F$6:$F$505))</f>
        <v/>
      </c>
      <c r="J212" s="60" t="str">
        <f aca="false">IF(F212&lt;&gt;1,"",IF(H212=0,-1,G212/H212))</f>
        <v/>
      </c>
      <c r="K212" s="58" t="str">
        <f aca="false">IF(F212&lt;&gt;1,"",COUNTIFS($E$5:$E$304,E212,$F$5:$F$304,1,$J$5:$J$304,"&gt;"&amp;J212)+COUNTIFS($E$5:$E$304,E212,$F$5:$F$304,1,$J$5:$J$304,J212,$A$5:$A$304,"&lt;"&amp;A212)+1)</f>
        <v/>
      </c>
      <c r="L212" s="58" t="str">
        <f aca="false">IF(K212="","",E212&amp;"|"&amp;K212)</f>
        <v/>
      </c>
      <c r="M212" s="58" t="str">
        <f aca="false">IF(F212&lt;&gt;1,"",IF(COUNTIFS($C$5:C212,C212,$F$5:F212,1)=1,1,0))</f>
        <v/>
      </c>
      <c r="N212" s="59" t="str">
        <f aca="false">IF(M212&lt;&gt;1,"",SUMIF($C$5:$C$304,C212,$G$5:$G$304))</f>
        <v/>
      </c>
      <c r="O212" s="58" t="str">
        <f aca="false">IF(M212&lt;&gt;1,"",COUNTIFS($M$5:$M$304,1,$N$5:$N$304,"&gt;"&amp;N212)+COUNTIFS($M$5:$M$304,1,$N$5:$N$304,N212,$A$5:$A$304,"&lt;"&amp;A212)+1)</f>
        <v/>
      </c>
    </row>
    <row r="213" customFormat="false" ht="15" hidden="false" customHeight="false" outlineLevel="0" collapsed="false">
      <c r="A213" s="55" t="str">
        <f aca="false">IF(B213="","",ROW()-4)</f>
        <v/>
      </c>
      <c r="B213" s="57"/>
      <c r="C213" s="57"/>
      <c r="D213" s="57"/>
      <c r="E213" s="57"/>
      <c r="F213" s="58" t="str">
        <f aca="false">IF(B213="","",IF(COUNTIF(取込チェック!$C$6:$C$505,B213)&gt;0,1,0))</f>
        <v/>
      </c>
      <c r="G213" s="59" t="str">
        <f aca="false">IF(B213="","",SUMIF(取込チェック!$C$6:$C$505,B213,取込チェック!$D$6:$D$505))</f>
        <v/>
      </c>
      <c r="H213" s="59" t="str">
        <f aca="false">IF(B213="","",SUMIF(取込チェック!$C$6:$C$505,B213,取込チェック!$E$6:$E$505))</f>
        <v/>
      </c>
      <c r="I213" s="59" t="str">
        <f aca="false">IF(B213="","",SUMIF(取込チェック!$C$6:$C$505,B213,取込チェック!$F$6:$F$505))</f>
        <v/>
      </c>
      <c r="J213" s="60" t="str">
        <f aca="false">IF(F213&lt;&gt;1,"",IF(H213=0,-1,G213/H213))</f>
        <v/>
      </c>
      <c r="K213" s="58" t="str">
        <f aca="false">IF(F213&lt;&gt;1,"",COUNTIFS($E$5:$E$304,E213,$F$5:$F$304,1,$J$5:$J$304,"&gt;"&amp;J213)+COUNTIFS($E$5:$E$304,E213,$F$5:$F$304,1,$J$5:$J$304,J213,$A$5:$A$304,"&lt;"&amp;A213)+1)</f>
        <v/>
      </c>
      <c r="L213" s="58" t="str">
        <f aca="false">IF(K213="","",E213&amp;"|"&amp;K213)</f>
        <v/>
      </c>
      <c r="M213" s="58" t="str">
        <f aca="false">IF(F213&lt;&gt;1,"",IF(COUNTIFS($C$5:C213,C213,$F$5:F213,1)=1,1,0))</f>
        <v/>
      </c>
      <c r="N213" s="59" t="str">
        <f aca="false">IF(M213&lt;&gt;1,"",SUMIF($C$5:$C$304,C213,$G$5:$G$304))</f>
        <v/>
      </c>
      <c r="O213" s="58" t="str">
        <f aca="false">IF(M213&lt;&gt;1,"",COUNTIFS($M$5:$M$304,1,$N$5:$N$304,"&gt;"&amp;N213)+COUNTIFS($M$5:$M$304,1,$N$5:$N$304,N213,$A$5:$A$304,"&lt;"&amp;A213)+1)</f>
        <v/>
      </c>
    </row>
    <row r="214" customFormat="false" ht="15" hidden="false" customHeight="false" outlineLevel="0" collapsed="false">
      <c r="A214" s="55" t="str">
        <f aca="false">IF(B214="","",ROW()-4)</f>
        <v/>
      </c>
      <c r="B214" s="57"/>
      <c r="C214" s="57"/>
      <c r="D214" s="57"/>
      <c r="E214" s="57"/>
      <c r="F214" s="58" t="str">
        <f aca="false">IF(B214="","",IF(COUNTIF(取込チェック!$C$6:$C$505,B214)&gt;0,1,0))</f>
        <v/>
      </c>
      <c r="G214" s="59" t="str">
        <f aca="false">IF(B214="","",SUMIF(取込チェック!$C$6:$C$505,B214,取込チェック!$D$6:$D$505))</f>
        <v/>
      </c>
      <c r="H214" s="59" t="str">
        <f aca="false">IF(B214="","",SUMIF(取込チェック!$C$6:$C$505,B214,取込チェック!$E$6:$E$505))</f>
        <v/>
      </c>
      <c r="I214" s="59" t="str">
        <f aca="false">IF(B214="","",SUMIF(取込チェック!$C$6:$C$505,B214,取込チェック!$F$6:$F$505))</f>
        <v/>
      </c>
      <c r="J214" s="60" t="str">
        <f aca="false">IF(F214&lt;&gt;1,"",IF(H214=0,-1,G214/H214))</f>
        <v/>
      </c>
      <c r="K214" s="58" t="str">
        <f aca="false">IF(F214&lt;&gt;1,"",COUNTIFS($E$5:$E$304,E214,$F$5:$F$304,1,$J$5:$J$304,"&gt;"&amp;J214)+COUNTIFS($E$5:$E$304,E214,$F$5:$F$304,1,$J$5:$J$304,J214,$A$5:$A$304,"&lt;"&amp;A214)+1)</f>
        <v/>
      </c>
      <c r="L214" s="58" t="str">
        <f aca="false">IF(K214="","",E214&amp;"|"&amp;K214)</f>
        <v/>
      </c>
      <c r="M214" s="58" t="str">
        <f aca="false">IF(F214&lt;&gt;1,"",IF(COUNTIFS($C$5:C214,C214,$F$5:F214,1)=1,1,0))</f>
        <v/>
      </c>
      <c r="N214" s="59" t="str">
        <f aca="false">IF(M214&lt;&gt;1,"",SUMIF($C$5:$C$304,C214,$G$5:$G$304))</f>
        <v/>
      </c>
      <c r="O214" s="58" t="str">
        <f aca="false">IF(M214&lt;&gt;1,"",COUNTIFS($M$5:$M$304,1,$N$5:$N$304,"&gt;"&amp;N214)+COUNTIFS($M$5:$M$304,1,$N$5:$N$304,N214,$A$5:$A$304,"&lt;"&amp;A214)+1)</f>
        <v/>
      </c>
    </row>
    <row r="215" customFormat="false" ht="15" hidden="false" customHeight="false" outlineLevel="0" collapsed="false">
      <c r="A215" s="55" t="str">
        <f aca="false">IF(B215="","",ROW()-4)</f>
        <v/>
      </c>
      <c r="B215" s="57"/>
      <c r="C215" s="57"/>
      <c r="D215" s="57"/>
      <c r="E215" s="57"/>
      <c r="F215" s="58" t="str">
        <f aca="false">IF(B215="","",IF(COUNTIF(取込チェック!$C$6:$C$505,B215)&gt;0,1,0))</f>
        <v/>
      </c>
      <c r="G215" s="59" t="str">
        <f aca="false">IF(B215="","",SUMIF(取込チェック!$C$6:$C$505,B215,取込チェック!$D$6:$D$505))</f>
        <v/>
      </c>
      <c r="H215" s="59" t="str">
        <f aca="false">IF(B215="","",SUMIF(取込チェック!$C$6:$C$505,B215,取込チェック!$E$6:$E$505))</f>
        <v/>
      </c>
      <c r="I215" s="59" t="str">
        <f aca="false">IF(B215="","",SUMIF(取込チェック!$C$6:$C$505,B215,取込チェック!$F$6:$F$505))</f>
        <v/>
      </c>
      <c r="J215" s="60" t="str">
        <f aca="false">IF(F215&lt;&gt;1,"",IF(H215=0,-1,G215/H215))</f>
        <v/>
      </c>
      <c r="K215" s="58" t="str">
        <f aca="false">IF(F215&lt;&gt;1,"",COUNTIFS($E$5:$E$304,E215,$F$5:$F$304,1,$J$5:$J$304,"&gt;"&amp;J215)+COUNTIFS($E$5:$E$304,E215,$F$5:$F$304,1,$J$5:$J$304,J215,$A$5:$A$304,"&lt;"&amp;A215)+1)</f>
        <v/>
      </c>
      <c r="L215" s="58" t="str">
        <f aca="false">IF(K215="","",E215&amp;"|"&amp;K215)</f>
        <v/>
      </c>
      <c r="M215" s="58" t="str">
        <f aca="false">IF(F215&lt;&gt;1,"",IF(COUNTIFS($C$5:C215,C215,$F$5:F215,1)=1,1,0))</f>
        <v/>
      </c>
      <c r="N215" s="59" t="str">
        <f aca="false">IF(M215&lt;&gt;1,"",SUMIF($C$5:$C$304,C215,$G$5:$G$304))</f>
        <v/>
      </c>
      <c r="O215" s="58" t="str">
        <f aca="false">IF(M215&lt;&gt;1,"",COUNTIFS($M$5:$M$304,1,$N$5:$N$304,"&gt;"&amp;N215)+COUNTIFS($M$5:$M$304,1,$N$5:$N$304,N215,$A$5:$A$304,"&lt;"&amp;A215)+1)</f>
        <v/>
      </c>
    </row>
    <row r="216" customFormat="false" ht="15" hidden="false" customHeight="false" outlineLevel="0" collapsed="false">
      <c r="A216" s="55" t="str">
        <f aca="false">IF(B216="","",ROW()-4)</f>
        <v/>
      </c>
      <c r="B216" s="57"/>
      <c r="C216" s="57"/>
      <c r="D216" s="57"/>
      <c r="E216" s="57"/>
      <c r="F216" s="58" t="str">
        <f aca="false">IF(B216="","",IF(COUNTIF(取込チェック!$C$6:$C$505,B216)&gt;0,1,0))</f>
        <v/>
      </c>
      <c r="G216" s="59" t="str">
        <f aca="false">IF(B216="","",SUMIF(取込チェック!$C$6:$C$505,B216,取込チェック!$D$6:$D$505))</f>
        <v/>
      </c>
      <c r="H216" s="59" t="str">
        <f aca="false">IF(B216="","",SUMIF(取込チェック!$C$6:$C$505,B216,取込チェック!$E$6:$E$505))</f>
        <v/>
      </c>
      <c r="I216" s="59" t="str">
        <f aca="false">IF(B216="","",SUMIF(取込チェック!$C$6:$C$505,B216,取込チェック!$F$6:$F$505))</f>
        <v/>
      </c>
      <c r="J216" s="60" t="str">
        <f aca="false">IF(F216&lt;&gt;1,"",IF(H216=0,-1,G216/H216))</f>
        <v/>
      </c>
      <c r="K216" s="58" t="str">
        <f aca="false">IF(F216&lt;&gt;1,"",COUNTIFS($E$5:$E$304,E216,$F$5:$F$304,1,$J$5:$J$304,"&gt;"&amp;J216)+COUNTIFS($E$5:$E$304,E216,$F$5:$F$304,1,$J$5:$J$304,J216,$A$5:$A$304,"&lt;"&amp;A216)+1)</f>
        <v/>
      </c>
      <c r="L216" s="58" t="str">
        <f aca="false">IF(K216="","",E216&amp;"|"&amp;K216)</f>
        <v/>
      </c>
      <c r="M216" s="58" t="str">
        <f aca="false">IF(F216&lt;&gt;1,"",IF(COUNTIFS($C$5:C216,C216,$F$5:F216,1)=1,1,0))</f>
        <v/>
      </c>
      <c r="N216" s="59" t="str">
        <f aca="false">IF(M216&lt;&gt;1,"",SUMIF($C$5:$C$304,C216,$G$5:$G$304))</f>
        <v/>
      </c>
      <c r="O216" s="58" t="str">
        <f aca="false">IF(M216&lt;&gt;1,"",COUNTIFS($M$5:$M$304,1,$N$5:$N$304,"&gt;"&amp;N216)+COUNTIFS($M$5:$M$304,1,$N$5:$N$304,N216,$A$5:$A$304,"&lt;"&amp;A216)+1)</f>
        <v/>
      </c>
    </row>
    <row r="217" customFormat="false" ht="15" hidden="false" customHeight="false" outlineLevel="0" collapsed="false">
      <c r="A217" s="55" t="str">
        <f aca="false">IF(B217="","",ROW()-4)</f>
        <v/>
      </c>
      <c r="B217" s="57"/>
      <c r="C217" s="57"/>
      <c r="D217" s="57"/>
      <c r="E217" s="57"/>
      <c r="F217" s="58" t="str">
        <f aca="false">IF(B217="","",IF(COUNTIF(取込チェック!$C$6:$C$505,B217)&gt;0,1,0))</f>
        <v/>
      </c>
      <c r="G217" s="59" t="str">
        <f aca="false">IF(B217="","",SUMIF(取込チェック!$C$6:$C$505,B217,取込チェック!$D$6:$D$505))</f>
        <v/>
      </c>
      <c r="H217" s="59" t="str">
        <f aca="false">IF(B217="","",SUMIF(取込チェック!$C$6:$C$505,B217,取込チェック!$E$6:$E$505))</f>
        <v/>
      </c>
      <c r="I217" s="59" t="str">
        <f aca="false">IF(B217="","",SUMIF(取込チェック!$C$6:$C$505,B217,取込チェック!$F$6:$F$505))</f>
        <v/>
      </c>
      <c r="J217" s="60" t="str">
        <f aca="false">IF(F217&lt;&gt;1,"",IF(H217=0,-1,G217/H217))</f>
        <v/>
      </c>
      <c r="K217" s="58" t="str">
        <f aca="false">IF(F217&lt;&gt;1,"",COUNTIFS($E$5:$E$304,E217,$F$5:$F$304,1,$J$5:$J$304,"&gt;"&amp;J217)+COUNTIFS($E$5:$E$304,E217,$F$5:$F$304,1,$J$5:$J$304,J217,$A$5:$A$304,"&lt;"&amp;A217)+1)</f>
        <v/>
      </c>
      <c r="L217" s="58" t="str">
        <f aca="false">IF(K217="","",E217&amp;"|"&amp;K217)</f>
        <v/>
      </c>
      <c r="M217" s="58" t="str">
        <f aca="false">IF(F217&lt;&gt;1,"",IF(COUNTIFS($C$5:C217,C217,$F$5:F217,1)=1,1,0))</f>
        <v/>
      </c>
      <c r="N217" s="59" t="str">
        <f aca="false">IF(M217&lt;&gt;1,"",SUMIF($C$5:$C$304,C217,$G$5:$G$304))</f>
        <v/>
      </c>
      <c r="O217" s="58" t="str">
        <f aca="false">IF(M217&lt;&gt;1,"",COUNTIFS($M$5:$M$304,1,$N$5:$N$304,"&gt;"&amp;N217)+COUNTIFS($M$5:$M$304,1,$N$5:$N$304,N217,$A$5:$A$304,"&lt;"&amp;A217)+1)</f>
        <v/>
      </c>
    </row>
    <row r="218" customFormat="false" ht="15" hidden="false" customHeight="false" outlineLevel="0" collapsed="false">
      <c r="A218" s="55" t="str">
        <f aca="false">IF(B218="","",ROW()-4)</f>
        <v/>
      </c>
      <c r="B218" s="57"/>
      <c r="C218" s="57"/>
      <c r="D218" s="57"/>
      <c r="E218" s="57"/>
      <c r="F218" s="58" t="str">
        <f aca="false">IF(B218="","",IF(COUNTIF(取込チェック!$C$6:$C$505,B218)&gt;0,1,0))</f>
        <v/>
      </c>
      <c r="G218" s="59" t="str">
        <f aca="false">IF(B218="","",SUMIF(取込チェック!$C$6:$C$505,B218,取込チェック!$D$6:$D$505))</f>
        <v/>
      </c>
      <c r="H218" s="59" t="str">
        <f aca="false">IF(B218="","",SUMIF(取込チェック!$C$6:$C$505,B218,取込チェック!$E$6:$E$505))</f>
        <v/>
      </c>
      <c r="I218" s="59" t="str">
        <f aca="false">IF(B218="","",SUMIF(取込チェック!$C$6:$C$505,B218,取込チェック!$F$6:$F$505))</f>
        <v/>
      </c>
      <c r="J218" s="60" t="str">
        <f aca="false">IF(F218&lt;&gt;1,"",IF(H218=0,-1,G218/H218))</f>
        <v/>
      </c>
      <c r="K218" s="58" t="str">
        <f aca="false">IF(F218&lt;&gt;1,"",COUNTIFS($E$5:$E$304,E218,$F$5:$F$304,1,$J$5:$J$304,"&gt;"&amp;J218)+COUNTIFS($E$5:$E$304,E218,$F$5:$F$304,1,$J$5:$J$304,J218,$A$5:$A$304,"&lt;"&amp;A218)+1)</f>
        <v/>
      </c>
      <c r="L218" s="58" t="str">
        <f aca="false">IF(K218="","",E218&amp;"|"&amp;K218)</f>
        <v/>
      </c>
      <c r="M218" s="58" t="str">
        <f aca="false">IF(F218&lt;&gt;1,"",IF(COUNTIFS($C$5:C218,C218,$F$5:F218,1)=1,1,0))</f>
        <v/>
      </c>
      <c r="N218" s="59" t="str">
        <f aca="false">IF(M218&lt;&gt;1,"",SUMIF($C$5:$C$304,C218,$G$5:$G$304))</f>
        <v/>
      </c>
      <c r="O218" s="58" t="str">
        <f aca="false">IF(M218&lt;&gt;1,"",COUNTIFS($M$5:$M$304,1,$N$5:$N$304,"&gt;"&amp;N218)+COUNTIFS($M$5:$M$304,1,$N$5:$N$304,N218,$A$5:$A$304,"&lt;"&amp;A218)+1)</f>
        <v/>
      </c>
    </row>
    <row r="219" customFormat="false" ht="15" hidden="false" customHeight="false" outlineLevel="0" collapsed="false">
      <c r="A219" s="55" t="str">
        <f aca="false">IF(B219="","",ROW()-4)</f>
        <v/>
      </c>
      <c r="B219" s="57"/>
      <c r="C219" s="57"/>
      <c r="D219" s="57"/>
      <c r="E219" s="57"/>
      <c r="F219" s="58" t="str">
        <f aca="false">IF(B219="","",IF(COUNTIF(取込チェック!$C$6:$C$505,B219)&gt;0,1,0))</f>
        <v/>
      </c>
      <c r="G219" s="59" t="str">
        <f aca="false">IF(B219="","",SUMIF(取込チェック!$C$6:$C$505,B219,取込チェック!$D$6:$D$505))</f>
        <v/>
      </c>
      <c r="H219" s="59" t="str">
        <f aca="false">IF(B219="","",SUMIF(取込チェック!$C$6:$C$505,B219,取込チェック!$E$6:$E$505))</f>
        <v/>
      </c>
      <c r="I219" s="59" t="str">
        <f aca="false">IF(B219="","",SUMIF(取込チェック!$C$6:$C$505,B219,取込チェック!$F$6:$F$505))</f>
        <v/>
      </c>
      <c r="J219" s="60" t="str">
        <f aca="false">IF(F219&lt;&gt;1,"",IF(H219=0,-1,G219/H219))</f>
        <v/>
      </c>
      <c r="K219" s="58" t="str">
        <f aca="false">IF(F219&lt;&gt;1,"",COUNTIFS($E$5:$E$304,E219,$F$5:$F$304,1,$J$5:$J$304,"&gt;"&amp;J219)+COUNTIFS($E$5:$E$304,E219,$F$5:$F$304,1,$J$5:$J$304,J219,$A$5:$A$304,"&lt;"&amp;A219)+1)</f>
        <v/>
      </c>
      <c r="L219" s="58" t="str">
        <f aca="false">IF(K219="","",E219&amp;"|"&amp;K219)</f>
        <v/>
      </c>
      <c r="M219" s="58" t="str">
        <f aca="false">IF(F219&lt;&gt;1,"",IF(COUNTIFS($C$5:C219,C219,$F$5:F219,1)=1,1,0))</f>
        <v/>
      </c>
      <c r="N219" s="59" t="str">
        <f aca="false">IF(M219&lt;&gt;1,"",SUMIF($C$5:$C$304,C219,$G$5:$G$304))</f>
        <v/>
      </c>
      <c r="O219" s="58" t="str">
        <f aca="false">IF(M219&lt;&gt;1,"",COUNTIFS($M$5:$M$304,1,$N$5:$N$304,"&gt;"&amp;N219)+COUNTIFS($M$5:$M$304,1,$N$5:$N$304,N219,$A$5:$A$304,"&lt;"&amp;A219)+1)</f>
        <v/>
      </c>
    </row>
    <row r="220" customFormat="false" ht="15" hidden="false" customHeight="false" outlineLevel="0" collapsed="false">
      <c r="A220" s="55" t="str">
        <f aca="false">IF(B220="","",ROW()-4)</f>
        <v/>
      </c>
      <c r="B220" s="57"/>
      <c r="C220" s="57"/>
      <c r="D220" s="57"/>
      <c r="E220" s="57"/>
      <c r="F220" s="58" t="str">
        <f aca="false">IF(B220="","",IF(COUNTIF(取込チェック!$C$6:$C$505,B220)&gt;0,1,0))</f>
        <v/>
      </c>
      <c r="G220" s="59" t="str">
        <f aca="false">IF(B220="","",SUMIF(取込チェック!$C$6:$C$505,B220,取込チェック!$D$6:$D$505))</f>
        <v/>
      </c>
      <c r="H220" s="59" t="str">
        <f aca="false">IF(B220="","",SUMIF(取込チェック!$C$6:$C$505,B220,取込チェック!$E$6:$E$505))</f>
        <v/>
      </c>
      <c r="I220" s="59" t="str">
        <f aca="false">IF(B220="","",SUMIF(取込チェック!$C$6:$C$505,B220,取込チェック!$F$6:$F$505))</f>
        <v/>
      </c>
      <c r="J220" s="60" t="str">
        <f aca="false">IF(F220&lt;&gt;1,"",IF(H220=0,-1,G220/H220))</f>
        <v/>
      </c>
      <c r="K220" s="58" t="str">
        <f aca="false">IF(F220&lt;&gt;1,"",COUNTIFS($E$5:$E$304,E220,$F$5:$F$304,1,$J$5:$J$304,"&gt;"&amp;J220)+COUNTIFS($E$5:$E$304,E220,$F$5:$F$304,1,$J$5:$J$304,J220,$A$5:$A$304,"&lt;"&amp;A220)+1)</f>
        <v/>
      </c>
      <c r="L220" s="58" t="str">
        <f aca="false">IF(K220="","",E220&amp;"|"&amp;K220)</f>
        <v/>
      </c>
      <c r="M220" s="58" t="str">
        <f aca="false">IF(F220&lt;&gt;1,"",IF(COUNTIFS($C$5:C220,C220,$F$5:F220,1)=1,1,0))</f>
        <v/>
      </c>
      <c r="N220" s="59" t="str">
        <f aca="false">IF(M220&lt;&gt;1,"",SUMIF($C$5:$C$304,C220,$G$5:$G$304))</f>
        <v/>
      </c>
      <c r="O220" s="58" t="str">
        <f aca="false">IF(M220&lt;&gt;1,"",COUNTIFS($M$5:$M$304,1,$N$5:$N$304,"&gt;"&amp;N220)+COUNTIFS($M$5:$M$304,1,$N$5:$N$304,N220,$A$5:$A$304,"&lt;"&amp;A220)+1)</f>
        <v/>
      </c>
    </row>
    <row r="221" customFormat="false" ht="15" hidden="false" customHeight="false" outlineLevel="0" collapsed="false">
      <c r="A221" s="55" t="str">
        <f aca="false">IF(B221="","",ROW()-4)</f>
        <v/>
      </c>
      <c r="B221" s="57"/>
      <c r="C221" s="57"/>
      <c r="D221" s="57"/>
      <c r="E221" s="57"/>
      <c r="F221" s="58" t="str">
        <f aca="false">IF(B221="","",IF(COUNTIF(取込チェック!$C$6:$C$505,B221)&gt;0,1,0))</f>
        <v/>
      </c>
      <c r="G221" s="59" t="str">
        <f aca="false">IF(B221="","",SUMIF(取込チェック!$C$6:$C$505,B221,取込チェック!$D$6:$D$505))</f>
        <v/>
      </c>
      <c r="H221" s="59" t="str">
        <f aca="false">IF(B221="","",SUMIF(取込チェック!$C$6:$C$505,B221,取込チェック!$E$6:$E$505))</f>
        <v/>
      </c>
      <c r="I221" s="59" t="str">
        <f aca="false">IF(B221="","",SUMIF(取込チェック!$C$6:$C$505,B221,取込チェック!$F$6:$F$505))</f>
        <v/>
      </c>
      <c r="J221" s="60" t="str">
        <f aca="false">IF(F221&lt;&gt;1,"",IF(H221=0,-1,G221/H221))</f>
        <v/>
      </c>
      <c r="K221" s="58" t="str">
        <f aca="false">IF(F221&lt;&gt;1,"",COUNTIFS($E$5:$E$304,E221,$F$5:$F$304,1,$J$5:$J$304,"&gt;"&amp;J221)+COUNTIFS($E$5:$E$304,E221,$F$5:$F$304,1,$J$5:$J$304,J221,$A$5:$A$304,"&lt;"&amp;A221)+1)</f>
        <v/>
      </c>
      <c r="L221" s="58" t="str">
        <f aca="false">IF(K221="","",E221&amp;"|"&amp;K221)</f>
        <v/>
      </c>
      <c r="M221" s="58" t="str">
        <f aca="false">IF(F221&lt;&gt;1,"",IF(COUNTIFS($C$5:C221,C221,$F$5:F221,1)=1,1,0))</f>
        <v/>
      </c>
      <c r="N221" s="59" t="str">
        <f aca="false">IF(M221&lt;&gt;1,"",SUMIF($C$5:$C$304,C221,$G$5:$G$304))</f>
        <v/>
      </c>
      <c r="O221" s="58" t="str">
        <f aca="false">IF(M221&lt;&gt;1,"",COUNTIFS($M$5:$M$304,1,$N$5:$N$304,"&gt;"&amp;N221)+COUNTIFS($M$5:$M$304,1,$N$5:$N$304,N221,$A$5:$A$304,"&lt;"&amp;A221)+1)</f>
        <v/>
      </c>
    </row>
    <row r="222" customFormat="false" ht="15" hidden="false" customHeight="false" outlineLevel="0" collapsed="false">
      <c r="A222" s="55" t="str">
        <f aca="false">IF(B222="","",ROW()-4)</f>
        <v/>
      </c>
      <c r="B222" s="57"/>
      <c r="C222" s="57"/>
      <c r="D222" s="57"/>
      <c r="E222" s="57"/>
      <c r="F222" s="58" t="str">
        <f aca="false">IF(B222="","",IF(COUNTIF(取込チェック!$C$6:$C$505,B222)&gt;0,1,0))</f>
        <v/>
      </c>
      <c r="G222" s="59" t="str">
        <f aca="false">IF(B222="","",SUMIF(取込チェック!$C$6:$C$505,B222,取込チェック!$D$6:$D$505))</f>
        <v/>
      </c>
      <c r="H222" s="59" t="str">
        <f aca="false">IF(B222="","",SUMIF(取込チェック!$C$6:$C$505,B222,取込チェック!$E$6:$E$505))</f>
        <v/>
      </c>
      <c r="I222" s="59" t="str">
        <f aca="false">IF(B222="","",SUMIF(取込チェック!$C$6:$C$505,B222,取込チェック!$F$6:$F$505))</f>
        <v/>
      </c>
      <c r="J222" s="60" t="str">
        <f aca="false">IF(F222&lt;&gt;1,"",IF(H222=0,-1,G222/H222))</f>
        <v/>
      </c>
      <c r="K222" s="58" t="str">
        <f aca="false">IF(F222&lt;&gt;1,"",COUNTIFS($E$5:$E$304,E222,$F$5:$F$304,1,$J$5:$J$304,"&gt;"&amp;J222)+COUNTIFS($E$5:$E$304,E222,$F$5:$F$304,1,$J$5:$J$304,J222,$A$5:$A$304,"&lt;"&amp;A222)+1)</f>
        <v/>
      </c>
      <c r="L222" s="58" t="str">
        <f aca="false">IF(K222="","",E222&amp;"|"&amp;K222)</f>
        <v/>
      </c>
      <c r="M222" s="58" t="str">
        <f aca="false">IF(F222&lt;&gt;1,"",IF(COUNTIFS($C$5:C222,C222,$F$5:F222,1)=1,1,0))</f>
        <v/>
      </c>
      <c r="N222" s="59" t="str">
        <f aca="false">IF(M222&lt;&gt;1,"",SUMIF($C$5:$C$304,C222,$G$5:$G$304))</f>
        <v/>
      </c>
      <c r="O222" s="58" t="str">
        <f aca="false">IF(M222&lt;&gt;1,"",COUNTIFS($M$5:$M$304,1,$N$5:$N$304,"&gt;"&amp;N222)+COUNTIFS($M$5:$M$304,1,$N$5:$N$304,N222,$A$5:$A$304,"&lt;"&amp;A222)+1)</f>
        <v/>
      </c>
    </row>
    <row r="223" customFormat="false" ht="15" hidden="false" customHeight="false" outlineLevel="0" collapsed="false">
      <c r="A223" s="55" t="str">
        <f aca="false">IF(B223="","",ROW()-4)</f>
        <v/>
      </c>
      <c r="B223" s="57"/>
      <c r="C223" s="57"/>
      <c r="D223" s="57"/>
      <c r="E223" s="57"/>
      <c r="F223" s="58" t="str">
        <f aca="false">IF(B223="","",IF(COUNTIF(取込チェック!$C$6:$C$505,B223)&gt;0,1,0))</f>
        <v/>
      </c>
      <c r="G223" s="59" t="str">
        <f aca="false">IF(B223="","",SUMIF(取込チェック!$C$6:$C$505,B223,取込チェック!$D$6:$D$505))</f>
        <v/>
      </c>
      <c r="H223" s="59" t="str">
        <f aca="false">IF(B223="","",SUMIF(取込チェック!$C$6:$C$505,B223,取込チェック!$E$6:$E$505))</f>
        <v/>
      </c>
      <c r="I223" s="59" t="str">
        <f aca="false">IF(B223="","",SUMIF(取込チェック!$C$6:$C$505,B223,取込チェック!$F$6:$F$505))</f>
        <v/>
      </c>
      <c r="J223" s="60" t="str">
        <f aca="false">IF(F223&lt;&gt;1,"",IF(H223=0,-1,G223/H223))</f>
        <v/>
      </c>
      <c r="K223" s="58" t="str">
        <f aca="false">IF(F223&lt;&gt;1,"",COUNTIFS($E$5:$E$304,E223,$F$5:$F$304,1,$J$5:$J$304,"&gt;"&amp;J223)+COUNTIFS($E$5:$E$304,E223,$F$5:$F$304,1,$J$5:$J$304,J223,$A$5:$A$304,"&lt;"&amp;A223)+1)</f>
        <v/>
      </c>
      <c r="L223" s="58" t="str">
        <f aca="false">IF(K223="","",E223&amp;"|"&amp;K223)</f>
        <v/>
      </c>
      <c r="M223" s="58" t="str">
        <f aca="false">IF(F223&lt;&gt;1,"",IF(COUNTIFS($C$5:C223,C223,$F$5:F223,1)=1,1,0))</f>
        <v/>
      </c>
      <c r="N223" s="59" t="str">
        <f aca="false">IF(M223&lt;&gt;1,"",SUMIF($C$5:$C$304,C223,$G$5:$G$304))</f>
        <v/>
      </c>
      <c r="O223" s="58" t="str">
        <f aca="false">IF(M223&lt;&gt;1,"",COUNTIFS($M$5:$M$304,1,$N$5:$N$304,"&gt;"&amp;N223)+COUNTIFS($M$5:$M$304,1,$N$5:$N$304,N223,$A$5:$A$304,"&lt;"&amp;A223)+1)</f>
        <v/>
      </c>
    </row>
    <row r="224" customFormat="false" ht="15" hidden="false" customHeight="false" outlineLevel="0" collapsed="false">
      <c r="A224" s="55" t="str">
        <f aca="false">IF(B224="","",ROW()-4)</f>
        <v/>
      </c>
      <c r="B224" s="57"/>
      <c r="C224" s="57"/>
      <c r="D224" s="57"/>
      <c r="E224" s="57"/>
      <c r="F224" s="58" t="str">
        <f aca="false">IF(B224="","",IF(COUNTIF(取込チェック!$C$6:$C$505,B224)&gt;0,1,0))</f>
        <v/>
      </c>
      <c r="G224" s="59" t="str">
        <f aca="false">IF(B224="","",SUMIF(取込チェック!$C$6:$C$505,B224,取込チェック!$D$6:$D$505))</f>
        <v/>
      </c>
      <c r="H224" s="59" t="str">
        <f aca="false">IF(B224="","",SUMIF(取込チェック!$C$6:$C$505,B224,取込チェック!$E$6:$E$505))</f>
        <v/>
      </c>
      <c r="I224" s="59" t="str">
        <f aca="false">IF(B224="","",SUMIF(取込チェック!$C$6:$C$505,B224,取込チェック!$F$6:$F$505))</f>
        <v/>
      </c>
      <c r="J224" s="60" t="str">
        <f aca="false">IF(F224&lt;&gt;1,"",IF(H224=0,-1,G224/H224))</f>
        <v/>
      </c>
      <c r="K224" s="58" t="str">
        <f aca="false">IF(F224&lt;&gt;1,"",COUNTIFS($E$5:$E$304,E224,$F$5:$F$304,1,$J$5:$J$304,"&gt;"&amp;J224)+COUNTIFS($E$5:$E$304,E224,$F$5:$F$304,1,$J$5:$J$304,J224,$A$5:$A$304,"&lt;"&amp;A224)+1)</f>
        <v/>
      </c>
      <c r="L224" s="58" t="str">
        <f aca="false">IF(K224="","",E224&amp;"|"&amp;K224)</f>
        <v/>
      </c>
      <c r="M224" s="58" t="str">
        <f aca="false">IF(F224&lt;&gt;1,"",IF(COUNTIFS($C$5:C224,C224,$F$5:F224,1)=1,1,0))</f>
        <v/>
      </c>
      <c r="N224" s="59" t="str">
        <f aca="false">IF(M224&lt;&gt;1,"",SUMIF($C$5:$C$304,C224,$G$5:$G$304))</f>
        <v/>
      </c>
      <c r="O224" s="58" t="str">
        <f aca="false">IF(M224&lt;&gt;1,"",COUNTIFS($M$5:$M$304,1,$N$5:$N$304,"&gt;"&amp;N224)+COUNTIFS($M$5:$M$304,1,$N$5:$N$304,N224,$A$5:$A$304,"&lt;"&amp;A224)+1)</f>
        <v/>
      </c>
    </row>
    <row r="225" customFormat="false" ht="15" hidden="false" customHeight="false" outlineLevel="0" collapsed="false">
      <c r="A225" s="55" t="str">
        <f aca="false">IF(B225="","",ROW()-4)</f>
        <v/>
      </c>
      <c r="B225" s="57"/>
      <c r="C225" s="57"/>
      <c r="D225" s="57"/>
      <c r="E225" s="57"/>
      <c r="F225" s="58" t="str">
        <f aca="false">IF(B225="","",IF(COUNTIF(取込チェック!$C$6:$C$505,B225)&gt;0,1,0))</f>
        <v/>
      </c>
      <c r="G225" s="59" t="str">
        <f aca="false">IF(B225="","",SUMIF(取込チェック!$C$6:$C$505,B225,取込チェック!$D$6:$D$505))</f>
        <v/>
      </c>
      <c r="H225" s="59" t="str">
        <f aca="false">IF(B225="","",SUMIF(取込チェック!$C$6:$C$505,B225,取込チェック!$E$6:$E$505))</f>
        <v/>
      </c>
      <c r="I225" s="59" t="str">
        <f aca="false">IF(B225="","",SUMIF(取込チェック!$C$6:$C$505,B225,取込チェック!$F$6:$F$505))</f>
        <v/>
      </c>
      <c r="J225" s="60" t="str">
        <f aca="false">IF(F225&lt;&gt;1,"",IF(H225=0,-1,G225/H225))</f>
        <v/>
      </c>
      <c r="K225" s="58" t="str">
        <f aca="false">IF(F225&lt;&gt;1,"",COUNTIFS($E$5:$E$304,E225,$F$5:$F$304,1,$J$5:$J$304,"&gt;"&amp;J225)+COUNTIFS($E$5:$E$304,E225,$F$5:$F$304,1,$J$5:$J$304,J225,$A$5:$A$304,"&lt;"&amp;A225)+1)</f>
        <v/>
      </c>
      <c r="L225" s="58" t="str">
        <f aca="false">IF(K225="","",E225&amp;"|"&amp;K225)</f>
        <v/>
      </c>
      <c r="M225" s="58" t="str">
        <f aca="false">IF(F225&lt;&gt;1,"",IF(COUNTIFS($C$5:C225,C225,$F$5:F225,1)=1,1,0))</f>
        <v/>
      </c>
      <c r="N225" s="59" t="str">
        <f aca="false">IF(M225&lt;&gt;1,"",SUMIF($C$5:$C$304,C225,$G$5:$G$304))</f>
        <v/>
      </c>
      <c r="O225" s="58" t="str">
        <f aca="false">IF(M225&lt;&gt;1,"",COUNTIFS($M$5:$M$304,1,$N$5:$N$304,"&gt;"&amp;N225)+COUNTIFS($M$5:$M$304,1,$N$5:$N$304,N225,$A$5:$A$304,"&lt;"&amp;A225)+1)</f>
        <v/>
      </c>
    </row>
    <row r="226" customFormat="false" ht="15" hidden="false" customHeight="false" outlineLevel="0" collapsed="false">
      <c r="A226" s="55" t="str">
        <f aca="false">IF(B226="","",ROW()-4)</f>
        <v/>
      </c>
      <c r="B226" s="57"/>
      <c r="C226" s="57"/>
      <c r="D226" s="57"/>
      <c r="E226" s="57"/>
      <c r="F226" s="58" t="str">
        <f aca="false">IF(B226="","",IF(COUNTIF(取込チェック!$C$6:$C$505,B226)&gt;0,1,0))</f>
        <v/>
      </c>
      <c r="G226" s="59" t="str">
        <f aca="false">IF(B226="","",SUMIF(取込チェック!$C$6:$C$505,B226,取込チェック!$D$6:$D$505))</f>
        <v/>
      </c>
      <c r="H226" s="59" t="str">
        <f aca="false">IF(B226="","",SUMIF(取込チェック!$C$6:$C$505,B226,取込チェック!$E$6:$E$505))</f>
        <v/>
      </c>
      <c r="I226" s="59" t="str">
        <f aca="false">IF(B226="","",SUMIF(取込チェック!$C$6:$C$505,B226,取込チェック!$F$6:$F$505))</f>
        <v/>
      </c>
      <c r="J226" s="60" t="str">
        <f aca="false">IF(F226&lt;&gt;1,"",IF(H226=0,-1,G226/H226))</f>
        <v/>
      </c>
      <c r="K226" s="58" t="str">
        <f aca="false">IF(F226&lt;&gt;1,"",COUNTIFS($E$5:$E$304,E226,$F$5:$F$304,1,$J$5:$J$304,"&gt;"&amp;J226)+COUNTIFS($E$5:$E$304,E226,$F$5:$F$304,1,$J$5:$J$304,J226,$A$5:$A$304,"&lt;"&amp;A226)+1)</f>
        <v/>
      </c>
      <c r="L226" s="58" t="str">
        <f aca="false">IF(K226="","",E226&amp;"|"&amp;K226)</f>
        <v/>
      </c>
      <c r="M226" s="58" t="str">
        <f aca="false">IF(F226&lt;&gt;1,"",IF(COUNTIFS($C$5:C226,C226,$F$5:F226,1)=1,1,0))</f>
        <v/>
      </c>
      <c r="N226" s="59" t="str">
        <f aca="false">IF(M226&lt;&gt;1,"",SUMIF($C$5:$C$304,C226,$G$5:$G$304))</f>
        <v/>
      </c>
      <c r="O226" s="58" t="str">
        <f aca="false">IF(M226&lt;&gt;1,"",COUNTIFS($M$5:$M$304,1,$N$5:$N$304,"&gt;"&amp;N226)+COUNTIFS($M$5:$M$304,1,$N$5:$N$304,N226,$A$5:$A$304,"&lt;"&amp;A226)+1)</f>
        <v/>
      </c>
    </row>
    <row r="227" customFormat="false" ht="15" hidden="false" customHeight="false" outlineLevel="0" collapsed="false">
      <c r="A227" s="55" t="str">
        <f aca="false">IF(B227="","",ROW()-4)</f>
        <v/>
      </c>
      <c r="B227" s="57"/>
      <c r="C227" s="57"/>
      <c r="D227" s="57"/>
      <c r="E227" s="57"/>
      <c r="F227" s="58" t="str">
        <f aca="false">IF(B227="","",IF(COUNTIF(取込チェック!$C$6:$C$505,B227)&gt;0,1,0))</f>
        <v/>
      </c>
      <c r="G227" s="59" t="str">
        <f aca="false">IF(B227="","",SUMIF(取込チェック!$C$6:$C$505,B227,取込チェック!$D$6:$D$505))</f>
        <v/>
      </c>
      <c r="H227" s="59" t="str">
        <f aca="false">IF(B227="","",SUMIF(取込チェック!$C$6:$C$505,B227,取込チェック!$E$6:$E$505))</f>
        <v/>
      </c>
      <c r="I227" s="59" t="str">
        <f aca="false">IF(B227="","",SUMIF(取込チェック!$C$6:$C$505,B227,取込チェック!$F$6:$F$505))</f>
        <v/>
      </c>
      <c r="J227" s="60" t="str">
        <f aca="false">IF(F227&lt;&gt;1,"",IF(H227=0,-1,G227/H227))</f>
        <v/>
      </c>
      <c r="K227" s="58" t="str">
        <f aca="false">IF(F227&lt;&gt;1,"",COUNTIFS($E$5:$E$304,E227,$F$5:$F$304,1,$J$5:$J$304,"&gt;"&amp;J227)+COUNTIFS($E$5:$E$304,E227,$F$5:$F$304,1,$J$5:$J$304,J227,$A$5:$A$304,"&lt;"&amp;A227)+1)</f>
        <v/>
      </c>
      <c r="L227" s="58" t="str">
        <f aca="false">IF(K227="","",E227&amp;"|"&amp;K227)</f>
        <v/>
      </c>
      <c r="M227" s="58" t="str">
        <f aca="false">IF(F227&lt;&gt;1,"",IF(COUNTIFS($C$5:C227,C227,$F$5:F227,1)=1,1,0))</f>
        <v/>
      </c>
      <c r="N227" s="59" t="str">
        <f aca="false">IF(M227&lt;&gt;1,"",SUMIF($C$5:$C$304,C227,$G$5:$G$304))</f>
        <v/>
      </c>
      <c r="O227" s="58" t="str">
        <f aca="false">IF(M227&lt;&gt;1,"",COUNTIFS($M$5:$M$304,1,$N$5:$N$304,"&gt;"&amp;N227)+COUNTIFS($M$5:$M$304,1,$N$5:$N$304,N227,$A$5:$A$304,"&lt;"&amp;A227)+1)</f>
        <v/>
      </c>
    </row>
    <row r="228" customFormat="false" ht="15" hidden="false" customHeight="false" outlineLevel="0" collapsed="false">
      <c r="A228" s="55" t="str">
        <f aca="false">IF(B228="","",ROW()-4)</f>
        <v/>
      </c>
      <c r="B228" s="57"/>
      <c r="C228" s="57"/>
      <c r="D228" s="57"/>
      <c r="E228" s="57"/>
      <c r="F228" s="58" t="str">
        <f aca="false">IF(B228="","",IF(COUNTIF(取込チェック!$C$6:$C$505,B228)&gt;0,1,0))</f>
        <v/>
      </c>
      <c r="G228" s="59" t="str">
        <f aca="false">IF(B228="","",SUMIF(取込チェック!$C$6:$C$505,B228,取込チェック!$D$6:$D$505))</f>
        <v/>
      </c>
      <c r="H228" s="59" t="str">
        <f aca="false">IF(B228="","",SUMIF(取込チェック!$C$6:$C$505,B228,取込チェック!$E$6:$E$505))</f>
        <v/>
      </c>
      <c r="I228" s="59" t="str">
        <f aca="false">IF(B228="","",SUMIF(取込チェック!$C$6:$C$505,B228,取込チェック!$F$6:$F$505))</f>
        <v/>
      </c>
      <c r="J228" s="60" t="str">
        <f aca="false">IF(F228&lt;&gt;1,"",IF(H228=0,-1,G228/H228))</f>
        <v/>
      </c>
      <c r="K228" s="58" t="str">
        <f aca="false">IF(F228&lt;&gt;1,"",COUNTIFS($E$5:$E$304,E228,$F$5:$F$304,1,$J$5:$J$304,"&gt;"&amp;J228)+COUNTIFS($E$5:$E$304,E228,$F$5:$F$304,1,$J$5:$J$304,J228,$A$5:$A$304,"&lt;"&amp;A228)+1)</f>
        <v/>
      </c>
      <c r="L228" s="58" t="str">
        <f aca="false">IF(K228="","",E228&amp;"|"&amp;K228)</f>
        <v/>
      </c>
      <c r="M228" s="58" t="str">
        <f aca="false">IF(F228&lt;&gt;1,"",IF(COUNTIFS($C$5:C228,C228,$F$5:F228,1)=1,1,0))</f>
        <v/>
      </c>
      <c r="N228" s="59" t="str">
        <f aca="false">IF(M228&lt;&gt;1,"",SUMIF($C$5:$C$304,C228,$G$5:$G$304))</f>
        <v/>
      </c>
      <c r="O228" s="58" t="str">
        <f aca="false">IF(M228&lt;&gt;1,"",COUNTIFS($M$5:$M$304,1,$N$5:$N$304,"&gt;"&amp;N228)+COUNTIFS($M$5:$M$304,1,$N$5:$N$304,N228,$A$5:$A$304,"&lt;"&amp;A228)+1)</f>
        <v/>
      </c>
    </row>
    <row r="229" customFormat="false" ht="15" hidden="false" customHeight="false" outlineLevel="0" collapsed="false">
      <c r="A229" s="55" t="str">
        <f aca="false">IF(B229="","",ROW()-4)</f>
        <v/>
      </c>
      <c r="B229" s="57"/>
      <c r="C229" s="57"/>
      <c r="D229" s="57"/>
      <c r="E229" s="57"/>
      <c r="F229" s="58" t="str">
        <f aca="false">IF(B229="","",IF(COUNTIF(取込チェック!$C$6:$C$505,B229)&gt;0,1,0))</f>
        <v/>
      </c>
      <c r="G229" s="59" t="str">
        <f aca="false">IF(B229="","",SUMIF(取込チェック!$C$6:$C$505,B229,取込チェック!$D$6:$D$505))</f>
        <v/>
      </c>
      <c r="H229" s="59" t="str">
        <f aca="false">IF(B229="","",SUMIF(取込チェック!$C$6:$C$505,B229,取込チェック!$E$6:$E$505))</f>
        <v/>
      </c>
      <c r="I229" s="59" t="str">
        <f aca="false">IF(B229="","",SUMIF(取込チェック!$C$6:$C$505,B229,取込チェック!$F$6:$F$505))</f>
        <v/>
      </c>
      <c r="J229" s="60" t="str">
        <f aca="false">IF(F229&lt;&gt;1,"",IF(H229=0,-1,G229/H229))</f>
        <v/>
      </c>
      <c r="K229" s="58" t="str">
        <f aca="false">IF(F229&lt;&gt;1,"",COUNTIFS($E$5:$E$304,E229,$F$5:$F$304,1,$J$5:$J$304,"&gt;"&amp;J229)+COUNTIFS($E$5:$E$304,E229,$F$5:$F$304,1,$J$5:$J$304,J229,$A$5:$A$304,"&lt;"&amp;A229)+1)</f>
        <v/>
      </c>
      <c r="L229" s="58" t="str">
        <f aca="false">IF(K229="","",E229&amp;"|"&amp;K229)</f>
        <v/>
      </c>
      <c r="M229" s="58" t="str">
        <f aca="false">IF(F229&lt;&gt;1,"",IF(COUNTIFS($C$5:C229,C229,$F$5:F229,1)=1,1,0))</f>
        <v/>
      </c>
      <c r="N229" s="59" t="str">
        <f aca="false">IF(M229&lt;&gt;1,"",SUMIF($C$5:$C$304,C229,$G$5:$G$304))</f>
        <v/>
      </c>
      <c r="O229" s="58" t="str">
        <f aca="false">IF(M229&lt;&gt;1,"",COUNTIFS($M$5:$M$304,1,$N$5:$N$304,"&gt;"&amp;N229)+COUNTIFS($M$5:$M$304,1,$N$5:$N$304,N229,$A$5:$A$304,"&lt;"&amp;A229)+1)</f>
        <v/>
      </c>
    </row>
    <row r="230" customFormat="false" ht="15" hidden="false" customHeight="false" outlineLevel="0" collapsed="false">
      <c r="A230" s="55" t="str">
        <f aca="false">IF(B230="","",ROW()-4)</f>
        <v/>
      </c>
      <c r="B230" s="57"/>
      <c r="C230" s="57"/>
      <c r="D230" s="57"/>
      <c r="E230" s="57"/>
      <c r="F230" s="58" t="str">
        <f aca="false">IF(B230="","",IF(COUNTIF(取込チェック!$C$6:$C$505,B230)&gt;0,1,0))</f>
        <v/>
      </c>
      <c r="G230" s="59" t="str">
        <f aca="false">IF(B230="","",SUMIF(取込チェック!$C$6:$C$505,B230,取込チェック!$D$6:$D$505))</f>
        <v/>
      </c>
      <c r="H230" s="59" t="str">
        <f aca="false">IF(B230="","",SUMIF(取込チェック!$C$6:$C$505,B230,取込チェック!$E$6:$E$505))</f>
        <v/>
      </c>
      <c r="I230" s="59" t="str">
        <f aca="false">IF(B230="","",SUMIF(取込チェック!$C$6:$C$505,B230,取込チェック!$F$6:$F$505))</f>
        <v/>
      </c>
      <c r="J230" s="60" t="str">
        <f aca="false">IF(F230&lt;&gt;1,"",IF(H230=0,-1,G230/H230))</f>
        <v/>
      </c>
      <c r="K230" s="58" t="str">
        <f aca="false">IF(F230&lt;&gt;1,"",COUNTIFS($E$5:$E$304,E230,$F$5:$F$304,1,$J$5:$J$304,"&gt;"&amp;J230)+COUNTIFS($E$5:$E$304,E230,$F$5:$F$304,1,$J$5:$J$304,J230,$A$5:$A$304,"&lt;"&amp;A230)+1)</f>
        <v/>
      </c>
      <c r="L230" s="58" t="str">
        <f aca="false">IF(K230="","",E230&amp;"|"&amp;K230)</f>
        <v/>
      </c>
      <c r="M230" s="58" t="str">
        <f aca="false">IF(F230&lt;&gt;1,"",IF(COUNTIFS($C$5:C230,C230,$F$5:F230,1)=1,1,0))</f>
        <v/>
      </c>
      <c r="N230" s="59" t="str">
        <f aca="false">IF(M230&lt;&gt;1,"",SUMIF($C$5:$C$304,C230,$G$5:$G$304))</f>
        <v/>
      </c>
      <c r="O230" s="58" t="str">
        <f aca="false">IF(M230&lt;&gt;1,"",COUNTIFS($M$5:$M$304,1,$N$5:$N$304,"&gt;"&amp;N230)+COUNTIFS($M$5:$M$304,1,$N$5:$N$304,N230,$A$5:$A$304,"&lt;"&amp;A230)+1)</f>
        <v/>
      </c>
    </row>
    <row r="231" customFormat="false" ht="15" hidden="false" customHeight="false" outlineLevel="0" collapsed="false">
      <c r="A231" s="55" t="str">
        <f aca="false">IF(B231="","",ROW()-4)</f>
        <v/>
      </c>
      <c r="B231" s="57"/>
      <c r="C231" s="57"/>
      <c r="D231" s="57"/>
      <c r="E231" s="57"/>
      <c r="F231" s="58" t="str">
        <f aca="false">IF(B231="","",IF(COUNTIF(取込チェック!$C$6:$C$505,B231)&gt;0,1,0))</f>
        <v/>
      </c>
      <c r="G231" s="59" t="str">
        <f aca="false">IF(B231="","",SUMIF(取込チェック!$C$6:$C$505,B231,取込チェック!$D$6:$D$505))</f>
        <v/>
      </c>
      <c r="H231" s="59" t="str">
        <f aca="false">IF(B231="","",SUMIF(取込チェック!$C$6:$C$505,B231,取込チェック!$E$6:$E$505))</f>
        <v/>
      </c>
      <c r="I231" s="59" t="str">
        <f aca="false">IF(B231="","",SUMIF(取込チェック!$C$6:$C$505,B231,取込チェック!$F$6:$F$505))</f>
        <v/>
      </c>
      <c r="J231" s="60" t="str">
        <f aca="false">IF(F231&lt;&gt;1,"",IF(H231=0,-1,G231/H231))</f>
        <v/>
      </c>
      <c r="K231" s="58" t="str">
        <f aca="false">IF(F231&lt;&gt;1,"",COUNTIFS($E$5:$E$304,E231,$F$5:$F$304,1,$J$5:$J$304,"&gt;"&amp;J231)+COUNTIFS($E$5:$E$304,E231,$F$5:$F$304,1,$J$5:$J$304,J231,$A$5:$A$304,"&lt;"&amp;A231)+1)</f>
        <v/>
      </c>
      <c r="L231" s="58" t="str">
        <f aca="false">IF(K231="","",E231&amp;"|"&amp;K231)</f>
        <v/>
      </c>
      <c r="M231" s="58" t="str">
        <f aca="false">IF(F231&lt;&gt;1,"",IF(COUNTIFS($C$5:C231,C231,$F$5:F231,1)=1,1,0))</f>
        <v/>
      </c>
      <c r="N231" s="59" t="str">
        <f aca="false">IF(M231&lt;&gt;1,"",SUMIF($C$5:$C$304,C231,$G$5:$G$304))</f>
        <v/>
      </c>
      <c r="O231" s="58" t="str">
        <f aca="false">IF(M231&lt;&gt;1,"",COUNTIFS($M$5:$M$304,1,$N$5:$N$304,"&gt;"&amp;N231)+COUNTIFS($M$5:$M$304,1,$N$5:$N$304,N231,$A$5:$A$304,"&lt;"&amp;A231)+1)</f>
        <v/>
      </c>
    </row>
    <row r="232" customFormat="false" ht="15" hidden="false" customHeight="false" outlineLevel="0" collapsed="false">
      <c r="A232" s="55" t="str">
        <f aca="false">IF(B232="","",ROW()-4)</f>
        <v/>
      </c>
      <c r="B232" s="57"/>
      <c r="C232" s="57"/>
      <c r="D232" s="57"/>
      <c r="E232" s="57"/>
      <c r="F232" s="58" t="str">
        <f aca="false">IF(B232="","",IF(COUNTIF(取込チェック!$C$6:$C$505,B232)&gt;0,1,0))</f>
        <v/>
      </c>
      <c r="G232" s="59" t="str">
        <f aca="false">IF(B232="","",SUMIF(取込チェック!$C$6:$C$505,B232,取込チェック!$D$6:$D$505))</f>
        <v/>
      </c>
      <c r="H232" s="59" t="str">
        <f aca="false">IF(B232="","",SUMIF(取込チェック!$C$6:$C$505,B232,取込チェック!$E$6:$E$505))</f>
        <v/>
      </c>
      <c r="I232" s="59" t="str">
        <f aca="false">IF(B232="","",SUMIF(取込チェック!$C$6:$C$505,B232,取込チェック!$F$6:$F$505))</f>
        <v/>
      </c>
      <c r="J232" s="60" t="str">
        <f aca="false">IF(F232&lt;&gt;1,"",IF(H232=0,-1,G232/H232))</f>
        <v/>
      </c>
      <c r="K232" s="58" t="str">
        <f aca="false">IF(F232&lt;&gt;1,"",COUNTIFS($E$5:$E$304,E232,$F$5:$F$304,1,$J$5:$J$304,"&gt;"&amp;J232)+COUNTIFS($E$5:$E$304,E232,$F$5:$F$304,1,$J$5:$J$304,J232,$A$5:$A$304,"&lt;"&amp;A232)+1)</f>
        <v/>
      </c>
      <c r="L232" s="58" t="str">
        <f aca="false">IF(K232="","",E232&amp;"|"&amp;K232)</f>
        <v/>
      </c>
      <c r="M232" s="58" t="str">
        <f aca="false">IF(F232&lt;&gt;1,"",IF(COUNTIFS($C$5:C232,C232,$F$5:F232,1)=1,1,0))</f>
        <v/>
      </c>
      <c r="N232" s="59" t="str">
        <f aca="false">IF(M232&lt;&gt;1,"",SUMIF($C$5:$C$304,C232,$G$5:$G$304))</f>
        <v/>
      </c>
      <c r="O232" s="58" t="str">
        <f aca="false">IF(M232&lt;&gt;1,"",COUNTIFS($M$5:$M$304,1,$N$5:$N$304,"&gt;"&amp;N232)+COUNTIFS($M$5:$M$304,1,$N$5:$N$304,N232,$A$5:$A$304,"&lt;"&amp;A232)+1)</f>
        <v/>
      </c>
    </row>
    <row r="233" customFormat="false" ht="15" hidden="false" customHeight="false" outlineLevel="0" collapsed="false">
      <c r="A233" s="55" t="str">
        <f aca="false">IF(B233="","",ROW()-4)</f>
        <v/>
      </c>
      <c r="B233" s="57"/>
      <c r="C233" s="57"/>
      <c r="D233" s="57"/>
      <c r="E233" s="57"/>
      <c r="F233" s="58" t="str">
        <f aca="false">IF(B233="","",IF(COUNTIF(取込チェック!$C$6:$C$505,B233)&gt;0,1,0))</f>
        <v/>
      </c>
      <c r="G233" s="59" t="str">
        <f aca="false">IF(B233="","",SUMIF(取込チェック!$C$6:$C$505,B233,取込チェック!$D$6:$D$505))</f>
        <v/>
      </c>
      <c r="H233" s="59" t="str">
        <f aca="false">IF(B233="","",SUMIF(取込チェック!$C$6:$C$505,B233,取込チェック!$E$6:$E$505))</f>
        <v/>
      </c>
      <c r="I233" s="59" t="str">
        <f aca="false">IF(B233="","",SUMIF(取込チェック!$C$6:$C$505,B233,取込チェック!$F$6:$F$505))</f>
        <v/>
      </c>
      <c r="J233" s="60" t="str">
        <f aca="false">IF(F233&lt;&gt;1,"",IF(H233=0,-1,G233/H233))</f>
        <v/>
      </c>
      <c r="K233" s="58" t="str">
        <f aca="false">IF(F233&lt;&gt;1,"",COUNTIFS($E$5:$E$304,E233,$F$5:$F$304,1,$J$5:$J$304,"&gt;"&amp;J233)+COUNTIFS($E$5:$E$304,E233,$F$5:$F$304,1,$J$5:$J$304,J233,$A$5:$A$304,"&lt;"&amp;A233)+1)</f>
        <v/>
      </c>
      <c r="L233" s="58" t="str">
        <f aca="false">IF(K233="","",E233&amp;"|"&amp;K233)</f>
        <v/>
      </c>
      <c r="M233" s="58" t="str">
        <f aca="false">IF(F233&lt;&gt;1,"",IF(COUNTIFS($C$5:C233,C233,$F$5:F233,1)=1,1,0))</f>
        <v/>
      </c>
      <c r="N233" s="59" t="str">
        <f aca="false">IF(M233&lt;&gt;1,"",SUMIF($C$5:$C$304,C233,$G$5:$G$304))</f>
        <v/>
      </c>
      <c r="O233" s="58" t="str">
        <f aca="false">IF(M233&lt;&gt;1,"",COUNTIFS($M$5:$M$304,1,$N$5:$N$304,"&gt;"&amp;N233)+COUNTIFS($M$5:$M$304,1,$N$5:$N$304,N233,$A$5:$A$304,"&lt;"&amp;A233)+1)</f>
        <v/>
      </c>
    </row>
    <row r="234" customFormat="false" ht="15" hidden="false" customHeight="false" outlineLevel="0" collapsed="false">
      <c r="A234" s="55" t="str">
        <f aca="false">IF(B234="","",ROW()-4)</f>
        <v/>
      </c>
      <c r="B234" s="57"/>
      <c r="C234" s="57"/>
      <c r="D234" s="57"/>
      <c r="E234" s="57"/>
      <c r="F234" s="58" t="str">
        <f aca="false">IF(B234="","",IF(COUNTIF(取込チェック!$C$6:$C$505,B234)&gt;0,1,0))</f>
        <v/>
      </c>
      <c r="G234" s="59" t="str">
        <f aca="false">IF(B234="","",SUMIF(取込チェック!$C$6:$C$505,B234,取込チェック!$D$6:$D$505))</f>
        <v/>
      </c>
      <c r="H234" s="59" t="str">
        <f aca="false">IF(B234="","",SUMIF(取込チェック!$C$6:$C$505,B234,取込チェック!$E$6:$E$505))</f>
        <v/>
      </c>
      <c r="I234" s="59" t="str">
        <f aca="false">IF(B234="","",SUMIF(取込チェック!$C$6:$C$505,B234,取込チェック!$F$6:$F$505))</f>
        <v/>
      </c>
      <c r="J234" s="60" t="str">
        <f aca="false">IF(F234&lt;&gt;1,"",IF(H234=0,-1,G234/H234))</f>
        <v/>
      </c>
      <c r="K234" s="58" t="str">
        <f aca="false">IF(F234&lt;&gt;1,"",COUNTIFS($E$5:$E$304,E234,$F$5:$F$304,1,$J$5:$J$304,"&gt;"&amp;J234)+COUNTIFS($E$5:$E$304,E234,$F$5:$F$304,1,$J$5:$J$304,J234,$A$5:$A$304,"&lt;"&amp;A234)+1)</f>
        <v/>
      </c>
      <c r="L234" s="58" t="str">
        <f aca="false">IF(K234="","",E234&amp;"|"&amp;K234)</f>
        <v/>
      </c>
      <c r="M234" s="58" t="str">
        <f aca="false">IF(F234&lt;&gt;1,"",IF(COUNTIFS($C$5:C234,C234,$F$5:F234,1)=1,1,0))</f>
        <v/>
      </c>
      <c r="N234" s="59" t="str">
        <f aca="false">IF(M234&lt;&gt;1,"",SUMIF($C$5:$C$304,C234,$G$5:$G$304))</f>
        <v/>
      </c>
      <c r="O234" s="58" t="str">
        <f aca="false">IF(M234&lt;&gt;1,"",COUNTIFS($M$5:$M$304,1,$N$5:$N$304,"&gt;"&amp;N234)+COUNTIFS($M$5:$M$304,1,$N$5:$N$304,N234,$A$5:$A$304,"&lt;"&amp;A234)+1)</f>
        <v/>
      </c>
    </row>
    <row r="235" customFormat="false" ht="15" hidden="false" customHeight="false" outlineLevel="0" collapsed="false">
      <c r="A235" s="55" t="str">
        <f aca="false">IF(B235="","",ROW()-4)</f>
        <v/>
      </c>
      <c r="B235" s="57"/>
      <c r="C235" s="57"/>
      <c r="D235" s="57"/>
      <c r="E235" s="57"/>
      <c r="F235" s="58" t="str">
        <f aca="false">IF(B235="","",IF(COUNTIF(取込チェック!$C$6:$C$505,B235)&gt;0,1,0))</f>
        <v/>
      </c>
      <c r="G235" s="59" t="str">
        <f aca="false">IF(B235="","",SUMIF(取込チェック!$C$6:$C$505,B235,取込チェック!$D$6:$D$505))</f>
        <v/>
      </c>
      <c r="H235" s="59" t="str">
        <f aca="false">IF(B235="","",SUMIF(取込チェック!$C$6:$C$505,B235,取込チェック!$E$6:$E$505))</f>
        <v/>
      </c>
      <c r="I235" s="59" t="str">
        <f aca="false">IF(B235="","",SUMIF(取込チェック!$C$6:$C$505,B235,取込チェック!$F$6:$F$505))</f>
        <v/>
      </c>
      <c r="J235" s="60" t="str">
        <f aca="false">IF(F235&lt;&gt;1,"",IF(H235=0,-1,G235/H235))</f>
        <v/>
      </c>
      <c r="K235" s="58" t="str">
        <f aca="false">IF(F235&lt;&gt;1,"",COUNTIFS($E$5:$E$304,E235,$F$5:$F$304,1,$J$5:$J$304,"&gt;"&amp;J235)+COUNTIFS($E$5:$E$304,E235,$F$5:$F$304,1,$J$5:$J$304,J235,$A$5:$A$304,"&lt;"&amp;A235)+1)</f>
        <v/>
      </c>
      <c r="L235" s="58" t="str">
        <f aca="false">IF(K235="","",E235&amp;"|"&amp;K235)</f>
        <v/>
      </c>
      <c r="M235" s="58" t="str">
        <f aca="false">IF(F235&lt;&gt;1,"",IF(COUNTIFS($C$5:C235,C235,$F$5:F235,1)=1,1,0))</f>
        <v/>
      </c>
      <c r="N235" s="59" t="str">
        <f aca="false">IF(M235&lt;&gt;1,"",SUMIF($C$5:$C$304,C235,$G$5:$G$304))</f>
        <v/>
      </c>
      <c r="O235" s="58" t="str">
        <f aca="false">IF(M235&lt;&gt;1,"",COUNTIFS($M$5:$M$304,1,$N$5:$N$304,"&gt;"&amp;N235)+COUNTIFS($M$5:$M$304,1,$N$5:$N$304,N235,$A$5:$A$304,"&lt;"&amp;A235)+1)</f>
        <v/>
      </c>
    </row>
    <row r="236" customFormat="false" ht="15" hidden="false" customHeight="false" outlineLevel="0" collapsed="false">
      <c r="A236" s="55" t="str">
        <f aca="false">IF(B236="","",ROW()-4)</f>
        <v/>
      </c>
      <c r="B236" s="57"/>
      <c r="C236" s="57"/>
      <c r="D236" s="57"/>
      <c r="E236" s="57"/>
      <c r="F236" s="58" t="str">
        <f aca="false">IF(B236="","",IF(COUNTIF(取込チェック!$C$6:$C$505,B236)&gt;0,1,0))</f>
        <v/>
      </c>
      <c r="G236" s="59" t="str">
        <f aca="false">IF(B236="","",SUMIF(取込チェック!$C$6:$C$505,B236,取込チェック!$D$6:$D$505))</f>
        <v/>
      </c>
      <c r="H236" s="59" t="str">
        <f aca="false">IF(B236="","",SUMIF(取込チェック!$C$6:$C$505,B236,取込チェック!$E$6:$E$505))</f>
        <v/>
      </c>
      <c r="I236" s="59" t="str">
        <f aca="false">IF(B236="","",SUMIF(取込チェック!$C$6:$C$505,B236,取込チェック!$F$6:$F$505))</f>
        <v/>
      </c>
      <c r="J236" s="60" t="str">
        <f aca="false">IF(F236&lt;&gt;1,"",IF(H236=0,-1,G236/H236))</f>
        <v/>
      </c>
      <c r="K236" s="58" t="str">
        <f aca="false">IF(F236&lt;&gt;1,"",COUNTIFS($E$5:$E$304,E236,$F$5:$F$304,1,$J$5:$J$304,"&gt;"&amp;J236)+COUNTIFS($E$5:$E$304,E236,$F$5:$F$304,1,$J$5:$J$304,J236,$A$5:$A$304,"&lt;"&amp;A236)+1)</f>
        <v/>
      </c>
      <c r="L236" s="58" t="str">
        <f aca="false">IF(K236="","",E236&amp;"|"&amp;K236)</f>
        <v/>
      </c>
      <c r="M236" s="58" t="str">
        <f aca="false">IF(F236&lt;&gt;1,"",IF(COUNTIFS($C$5:C236,C236,$F$5:F236,1)=1,1,0))</f>
        <v/>
      </c>
      <c r="N236" s="59" t="str">
        <f aca="false">IF(M236&lt;&gt;1,"",SUMIF($C$5:$C$304,C236,$G$5:$G$304))</f>
        <v/>
      </c>
      <c r="O236" s="58" t="str">
        <f aca="false">IF(M236&lt;&gt;1,"",COUNTIFS($M$5:$M$304,1,$N$5:$N$304,"&gt;"&amp;N236)+COUNTIFS($M$5:$M$304,1,$N$5:$N$304,N236,$A$5:$A$304,"&lt;"&amp;A236)+1)</f>
        <v/>
      </c>
    </row>
    <row r="237" customFormat="false" ht="15" hidden="false" customHeight="false" outlineLevel="0" collapsed="false">
      <c r="A237" s="55" t="str">
        <f aca="false">IF(B237="","",ROW()-4)</f>
        <v/>
      </c>
      <c r="B237" s="57"/>
      <c r="C237" s="57"/>
      <c r="D237" s="57"/>
      <c r="E237" s="57"/>
      <c r="F237" s="58" t="str">
        <f aca="false">IF(B237="","",IF(COUNTIF(取込チェック!$C$6:$C$505,B237)&gt;0,1,0))</f>
        <v/>
      </c>
      <c r="G237" s="59" t="str">
        <f aca="false">IF(B237="","",SUMIF(取込チェック!$C$6:$C$505,B237,取込チェック!$D$6:$D$505))</f>
        <v/>
      </c>
      <c r="H237" s="59" t="str">
        <f aca="false">IF(B237="","",SUMIF(取込チェック!$C$6:$C$505,B237,取込チェック!$E$6:$E$505))</f>
        <v/>
      </c>
      <c r="I237" s="59" t="str">
        <f aca="false">IF(B237="","",SUMIF(取込チェック!$C$6:$C$505,B237,取込チェック!$F$6:$F$505))</f>
        <v/>
      </c>
      <c r="J237" s="60" t="str">
        <f aca="false">IF(F237&lt;&gt;1,"",IF(H237=0,-1,G237/H237))</f>
        <v/>
      </c>
      <c r="K237" s="58" t="str">
        <f aca="false">IF(F237&lt;&gt;1,"",COUNTIFS($E$5:$E$304,E237,$F$5:$F$304,1,$J$5:$J$304,"&gt;"&amp;J237)+COUNTIFS($E$5:$E$304,E237,$F$5:$F$304,1,$J$5:$J$304,J237,$A$5:$A$304,"&lt;"&amp;A237)+1)</f>
        <v/>
      </c>
      <c r="L237" s="58" t="str">
        <f aca="false">IF(K237="","",E237&amp;"|"&amp;K237)</f>
        <v/>
      </c>
      <c r="M237" s="58" t="str">
        <f aca="false">IF(F237&lt;&gt;1,"",IF(COUNTIFS($C$5:C237,C237,$F$5:F237,1)=1,1,0))</f>
        <v/>
      </c>
      <c r="N237" s="59" t="str">
        <f aca="false">IF(M237&lt;&gt;1,"",SUMIF($C$5:$C$304,C237,$G$5:$G$304))</f>
        <v/>
      </c>
      <c r="O237" s="58" t="str">
        <f aca="false">IF(M237&lt;&gt;1,"",COUNTIFS($M$5:$M$304,1,$N$5:$N$304,"&gt;"&amp;N237)+COUNTIFS($M$5:$M$304,1,$N$5:$N$304,N237,$A$5:$A$304,"&lt;"&amp;A237)+1)</f>
        <v/>
      </c>
    </row>
    <row r="238" customFormat="false" ht="15" hidden="false" customHeight="false" outlineLevel="0" collapsed="false">
      <c r="A238" s="55" t="str">
        <f aca="false">IF(B238="","",ROW()-4)</f>
        <v/>
      </c>
      <c r="B238" s="57"/>
      <c r="C238" s="57"/>
      <c r="D238" s="57"/>
      <c r="E238" s="57"/>
      <c r="F238" s="58" t="str">
        <f aca="false">IF(B238="","",IF(COUNTIF(取込チェック!$C$6:$C$505,B238)&gt;0,1,0))</f>
        <v/>
      </c>
      <c r="G238" s="59" t="str">
        <f aca="false">IF(B238="","",SUMIF(取込チェック!$C$6:$C$505,B238,取込チェック!$D$6:$D$505))</f>
        <v/>
      </c>
      <c r="H238" s="59" t="str">
        <f aca="false">IF(B238="","",SUMIF(取込チェック!$C$6:$C$505,B238,取込チェック!$E$6:$E$505))</f>
        <v/>
      </c>
      <c r="I238" s="59" t="str">
        <f aca="false">IF(B238="","",SUMIF(取込チェック!$C$6:$C$505,B238,取込チェック!$F$6:$F$505))</f>
        <v/>
      </c>
      <c r="J238" s="60" t="str">
        <f aca="false">IF(F238&lt;&gt;1,"",IF(H238=0,-1,G238/H238))</f>
        <v/>
      </c>
      <c r="K238" s="58" t="str">
        <f aca="false">IF(F238&lt;&gt;1,"",COUNTIFS($E$5:$E$304,E238,$F$5:$F$304,1,$J$5:$J$304,"&gt;"&amp;J238)+COUNTIFS($E$5:$E$304,E238,$F$5:$F$304,1,$J$5:$J$304,J238,$A$5:$A$304,"&lt;"&amp;A238)+1)</f>
        <v/>
      </c>
      <c r="L238" s="58" t="str">
        <f aca="false">IF(K238="","",E238&amp;"|"&amp;K238)</f>
        <v/>
      </c>
      <c r="M238" s="58" t="str">
        <f aca="false">IF(F238&lt;&gt;1,"",IF(COUNTIFS($C$5:C238,C238,$F$5:F238,1)=1,1,0))</f>
        <v/>
      </c>
      <c r="N238" s="59" t="str">
        <f aca="false">IF(M238&lt;&gt;1,"",SUMIF($C$5:$C$304,C238,$G$5:$G$304))</f>
        <v/>
      </c>
      <c r="O238" s="58" t="str">
        <f aca="false">IF(M238&lt;&gt;1,"",COUNTIFS($M$5:$M$304,1,$N$5:$N$304,"&gt;"&amp;N238)+COUNTIFS($M$5:$M$304,1,$N$5:$N$304,N238,$A$5:$A$304,"&lt;"&amp;A238)+1)</f>
        <v/>
      </c>
    </row>
    <row r="239" customFormat="false" ht="15" hidden="false" customHeight="false" outlineLevel="0" collapsed="false">
      <c r="A239" s="55" t="str">
        <f aca="false">IF(B239="","",ROW()-4)</f>
        <v/>
      </c>
      <c r="B239" s="57"/>
      <c r="C239" s="57"/>
      <c r="D239" s="57"/>
      <c r="E239" s="57"/>
      <c r="F239" s="58" t="str">
        <f aca="false">IF(B239="","",IF(COUNTIF(取込チェック!$C$6:$C$505,B239)&gt;0,1,0))</f>
        <v/>
      </c>
      <c r="G239" s="59" t="str">
        <f aca="false">IF(B239="","",SUMIF(取込チェック!$C$6:$C$505,B239,取込チェック!$D$6:$D$505))</f>
        <v/>
      </c>
      <c r="H239" s="59" t="str">
        <f aca="false">IF(B239="","",SUMIF(取込チェック!$C$6:$C$505,B239,取込チェック!$E$6:$E$505))</f>
        <v/>
      </c>
      <c r="I239" s="59" t="str">
        <f aca="false">IF(B239="","",SUMIF(取込チェック!$C$6:$C$505,B239,取込チェック!$F$6:$F$505))</f>
        <v/>
      </c>
      <c r="J239" s="60" t="str">
        <f aca="false">IF(F239&lt;&gt;1,"",IF(H239=0,-1,G239/H239))</f>
        <v/>
      </c>
      <c r="K239" s="58" t="str">
        <f aca="false">IF(F239&lt;&gt;1,"",COUNTIFS($E$5:$E$304,E239,$F$5:$F$304,1,$J$5:$J$304,"&gt;"&amp;J239)+COUNTIFS($E$5:$E$304,E239,$F$5:$F$304,1,$J$5:$J$304,J239,$A$5:$A$304,"&lt;"&amp;A239)+1)</f>
        <v/>
      </c>
      <c r="L239" s="58" t="str">
        <f aca="false">IF(K239="","",E239&amp;"|"&amp;K239)</f>
        <v/>
      </c>
      <c r="M239" s="58" t="str">
        <f aca="false">IF(F239&lt;&gt;1,"",IF(COUNTIFS($C$5:C239,C239,$F$5:F239,1)=1,1,0))</f>
        <v/>
      </c>
      <c r="N239" s="59" t="str">
        <f aca="false">IF(M239&lt;&gt;1,"",SUMIF($C$5:$C$304,C239,$G$5:$G$304))</f>
        <v/>
      </c>
      <c r="O239" s="58" t="str">
        <f aca="false">IF(M239&lt;&gt;1,"",COUNTIFS($M$5:$M$304,1,$N$5:$N$304,"&gt;"&amp;N239)+COUNTIFS($M$5:$M$304,1,$N$5:$N$304,N239,$A$5:$A$304,"&lt;"&amp;A239)+1)</f>
        <v/>
      </c>
    </row>
    <row r="240" customFormat="false" ht="15" hidden="false" customHeight="false" outlineLevel="0" collapsed="false">
      <c r="A240" s="55" t="str">
        <f aca="false">IF(B240="","",ROW()-4)</f>
        <v/>
      </c>
      <c r="B240" s="57"/>
      <c r="C240" s="57"/>
      <c r="D240" s="57"/>
      <c r="E240" s="57"/>
      <c r="F240" s="58" t="str">
        <f aca="false">IF(B240="","",IF(COUNTIF(取込チェック!$C$6:$C$505,B240)&gt;0,1,0))</f>
        <v/>
      </c>
      <c r="G240" s="59" t="str">
        <f aca="false">IF(B240="","",SUMIF(取込チェック!$C$6:$C$505,B240,取込チェック!$D$6:$D$505))</f>
        <v/>
      </c>
      <c r="H240" s="59" t="str">
        <f aca="false">IF(B240="","",SUMIF(取込チェック!$C$6:$C$505,B240,取込チェック!$E$6:$E$505))</f>
        <v/>
      </c>
      <c r="I240" s="59" t="str">
        <f aca="false">IF(B240="","",SUMIF(取込チェック!$C$6:$C$505,B240,取込チェック!$F$6:$F$505))</f>
        <v/>
      </c>
      <c r="J240" s="60" t="str">
        <f aca="false">IF(F240&lt;&gt;1,"",IF(H240=0,-1,G240/H240))</f>
        <v/>
      </c>
      <c r="K240" s="58" t="str">
        <f aca="false">IF(F240&lt;&gt;1,"",COUNTIFS($E$5:$E$304,E240,$F$5:$F$304,1,$J$5:$J$304,"&gt;"&amp;J240)+COUNTIFS($E$5:$E$304,E240,$F$5:$F$304,1,$J$5:$J$304,J240,$A$5:$A$304,"&lt;"&amp;A240)+1)</f>
        <v/>
      </c>
      <c r="L240" s="58" t="str">
        <f aca="false">IF(K240="","",E240&amp;"|"&amp;K240)</f>
        <v/>
      </c>
      <c r="M240" s="58" t="str">
        <f aca="false">IF(F240&lt;&gt;1,"",IF(COUNTIFS($C$5:C240,C240,$F$5:F240,1)=1,1,0))</f>
        <v/>
      </c>
      <c r="N240" s="59" t="str">
        <f aca="false">IF(M240&lt;&gt;1,"",SUMIF($C$5:$C$304,C240,$G$5:$G$304))</f>
        <v/>
      </c>
      <c r="O240" s="58" t="str">
        <f aca="false">IF(M240&lt;&gt;1,"",COUNTIFS($M$5:$M$304,1,$N$5:$N$304,"&gt;"&amp;N240)+COUNTIFS($M$5:$M$304,1,$N$5:$N$304,N240,$A$5:$A$304,"&lt;"&amp;A240)+1)</f>
        <v/>
      </c>
    </row>
    <row r="241" customFormat="false" ht="15" hidden="false" customHeight="false" outlineLevel="0" collapsed="false">
      <c r="A241" s="55" t="str">
        <f aca="false">IF(B241="","",ROW()-4)</f>
        <v/>
      </c>
      <c r="B241" s="57"/>
      <c r="C241" s="57"/>
      <c r="D241" s="57"/>
      <c r="E241" s="57"/>
      <c r="F241" s="58" t="str">
        <f aca="false">IF(B241="","",IF(COUNTIF(取込チェック!$C$6:$C$505,B241)&gt;0,1,0))</f>
        <v/>
      </c>
      <c r="G241" s="59" t="str">
        <f aca="false">IF(B241="","",SUMIF(取込チェック!$C$6:$C$505,B241,取込チェック!$D$6:$D$505))</f>
        <v/>
      </c>
      <c r="H241" s="59" t="str">
        <f aca="false">IF(B241="","",SUMIF(取込チェック!$C$6:$C$505,B241,取込チェック!$E$6:$E$505))</f>
        <v/>
      </c>
      <c r="I241" s="59" t="str">
        <f aca="false">IF(B241="","",SUMIF(取込チェック!$C$6:$C$505,B241,取込チェック!$F$6:$F$505))</f>
        <v/>
      </c>
      <c r="J241" s="60" t="str">
        <f aca="false">IF(F241&lt;&gt;1,"",IF(H241=0,-1,G241/H241))</f>
        <v/>
      </c>
      <c r="K241" s="58" t="str">
        <f aca="false">IF(F241&lt;&gt;1,"",COUNTIFS($E$5:$E$304,E241,$F$5:$F$304,1,$J$5:$J$304,"&gt;"&amp;J241)+COUNTIFS($E$5:$E$304,E241,$F$5:$F$304,1,$J$5:$J$304,J241,$A$5:$A$304,"&lt;"&amp;A241)+1)</f>
        <v/>
      </c>
      <c r="L241" s="58" t="str">
        <f aca="false">IF(K241="","",E241&amp;"|"&amp;K241)</f>
        <v/>
      </c>
      <c r="M241" s="58" t="str">
        <f aca="false">IF(F241&lt;&gt;1,"",IF(COUNTIFS($C$5:C241,C241,$F$5:F241,1)=1,1,0))</f>
        <v/>
      </c>
      <c r="N241" s="59" t="str">
        <f aca="false">IF(M241&lt;&gt;1,"",SUMIF($C$5:$C$304,C241,$G$5:$G$304))</f>
        <v/>
      </c>
      <c r="O241" s="58" t="str">
        <f aca="false">IF(M241&lt;&gt;1,"",COUNTIFS($M$5:$M$304,1,$N$5:$N$304,"&gt;"&amp;N241)+COUNTIFS($M$5:$M$304,1,$N$5:$N$304,N241,$A$5:$A$304,"&lt;"&amp;A241)+1)</f>
        <v/>
      </c>
    </row>
    <row r="242" customFormat="false" ht="15" hidden="false" customHeight="false" outlineLevel="0" collapsed="false">
      <c r="A242" s="55" t="str">
        <f aca="false">IF(B242="","",ROW()-4)</f>
        <v/>
      </c>
      <c r="B242" s="57"/>
      <c r="C242" s="57"/>
      <c r="D242" s="57"/>
      <c r="E242" s="57"/>
      <c r="F242" s="58" t="str">
        <f aca="false">IF(B242="","",IF(COUNTIF(取込チェック!$C$6:$C$505,B242)&gt;0,1,0))</f>
        <v/>
      </c>
      <c r="G242" s="59" t="str">
        <f aca="false">IF(B242="","",SUMIF(取込チェック!$C$6:$C$505,B242,取込チェック!$D$6:$D$505))</f>
        <v/>
      </c>
      <c r="H242" s="59" t="str">
        <f aca="false">IF(B242="","",SUMIF(取込チェック!$C$6:$C$505,B242,取込チェック!$E$6:$E$505))</f>
        <v/>
      </c>
      <c r="I242" s="59" t="str">
        <f aca="false">IF(B242="","",SUMIF(取込チェック!$C$6:$C$505,B242,取込チェック!$F$6:$F$505))</f>
        <v/>
      </c>
      <c r="J242" s="60" t="str">
        <f aca="false">IF(F242&lt;&gt;1,"",IF(H242=0,-1,G242/H242))</f>
        <v/>
      </c>
      <c r="K242" s="58" t="str">
        <f aca="false">IF(F242&lt;&gt;1,"",COUNTIFS($E$5:$E$304,E242,$F$5:$F$304,1,$J$5:$J$304,"&gt;"&amp;J242)+COUNTIFS($E$5:$E$304,E242,$F$5:$F$304,1,$J$5:$J$304,J242,$A$5:$A$304,"&lt;"&amp;A242)+1)</f>
        <v/>
      </c>
      <c r="L242" s="58" t="str">
        <f aca="false">IF(K242="","",E242&amp;"|"&amp;K242)</f>
        <v/>
      </c>
      <c r="M242" s="58" t="str">
        <f aca="false">IF(F242&lt;&gt;1,"",IF(COUNTIFS($C$5:C242,C242,$F$5:F242,1)=1,1,0))</f>
        <v/>
      </c>
      <c r="N242" s="59" t="str">
        <f aca="false">IF(M242&lt;&gt;1,"",SUMIF($C$5:$C$304,C242,$G$5:$G$304))</f>
        <v/>
      </c>
      <c r="O242" s="58" t="str">
        <f aca="false">IF(M242&lt;&gt;1,"",COUNTIFS($M$5:$M$304,1,$N$5:$N$304,"&gt;"&amp;N242)+COUNTIFS($M$5:$M$304,1,$N$5:$N$304,N242,$A$5:$A$304,"&lt;"&amp;A242)+1)</f>
        <v/>
      </c>
    </row>
    <row r="243" customFormat="false" ht="15" hidden="false" customHeight="false" outlineLevel="0" collapsed="false">
      <c r="A243" s="55" t="str">
        <f aca="false">IF(B243="","",ROW()-4)</f>
        <v/>
      </c>
      <c r="B243" s="57"/>
      <c r="C243" s="57"/>
      <c r="D243" s="57"/>
      <c r="E243" s="57"/>
      <c r="F243" s="58" t="str">
        <f aca="false">IF(B243="","",IF(COUNTIF(取込チェック!$C$6:$C$505,B243)&gt;0,1,0))</f>
        <v/>
      </c>
      <c r="G243" s="59" t="str">
        <f aca="false">IF(B243="","",SUMIF(取込チェック!$C$6:$C$505,B243,取込チェック!$D$6:$D$505))</f>
        <v/>
      </c>
      <c r="H243" s="59" t="str">
        <f aca="false">IF(B243="","",SUMIF(取込チェック!$C$6:$C$505,B243,取込チェック!$E$6:$E$505))</f>
        <v/>
      </c>
      <c r="I243" s="59" t="str">
        <f aca="false">IF(B243="","",SUMIF(取込チェック!$C$6:$C$505,B243,取込チェック!$F$6:$F$505))</f>
        <v/>
      </c>
      <c r="J243" s="60" t="str">
        <f aca="false">IF(F243&lt;&gt;1,"",IF(H243=0,-1,G243/H243))</f>
        <v/>
      </c>
      <c r="K243" s="58" t="str">
        <f aca="false">IF(F243&lt;&gt;1,"",COUNTIFS($E$5:$E$304,E243,$F$5:$F$304,1,$J$5:$J$304,"&gt;"&amp;J243)+COUNTIFS($E$5:$E$304,E243,$F$5:$F$304,1,$J$5:$J$304,J243,$A$5:$A$304,"&lt;"&amp;A243)+1)</f>
        <v/>
      </c>
      <c r="L243" s="58" t="str">
        <f aca="false">IF(K243="","",E243&amp;"|"&amp;K243)</f>
        <v/>
      </c>
      <c r="M243" s="58" t="str">
        <f aca="false">IF(F243&lt;&gt;1,"",IF(COUNTIFS($C$5:C243,C243,$F$5:F243,1)=1,1,0))</f>
        <v/>
      </c>
      <c r="N243" s="59" t="str">
        <f aca="false">IF(M243&lt;&gt;1,"",SUMIF($C$5:$C$304,C243,$G$5:$G$304))</f>
        <v/>
      </c>
      <c r="O243" s="58" t="str">
        <f aca="false">IF(M243&lt;&gt;1,"",COUNTIFS($M$5:$M$304,1,$N$5:$N$304,"&gt;"&amp;N243)+COUNTIFS($M$5:$M$304,1,$N$5:$N$304,N243,$A$5:$A$304,"&lt;"&amp;A243)+1)</f>
        <v/>
      </c>
    </row>
    <row r="244" customFormat="false" ht="15" hidden="false" customHeight="false" outlineLevel="0" collapsed="false">
      <c r="A244" s="55" t="str">
        <f aca="false">IF(B244="","",ROW()-4)</f>
        <v/>
      </c>
      <c r="B244" s="57"/>
      <c r="C244" s="57"/>
      <c r="D244" s="57"/>
      <c r="E244" s="57"/>
      <c r="F244" s="58" t="str">
        <f aca="false">IF(B244="","",IF(COUNTIF(取込チェック!$C$6:$C$505,B244)&gt;0,1,0))</f>
        <v/>
      </c>
      <c r="G244" s="59" t="str">
        <f aca="false">IF(B244="","",SUMIF(取込チェック!$C$6:$C$505,B244,取込チェック!$D$6:$D$505))</f>
        <v/>
      </c>
      <c r="H244" s="59" t="str">
        <f aca="false">IF(B244="","",SUMIF(取込チェック!$C$6:$C$505,B244,取込チェック!$E$6:$E$505))</f>
        <v/>
      </c>
      <c r="I244" s="59" t="str">
        <f aca="false">IF(B244="","",SUMIF(取込チェック!$C$6:$C$505,B244,取込チェック!$F$6:$F$505))</f>
        <v/>
      </c>
      <c r="J244" s="60" t="str">
        <f aca="false">IF(F244&lt;&gt;1,"",IF(H244=0,-1,G244/H244))</f>
        <v/>
      </c>
      <c r="K244" s="58" t="str">
        <f aca="false">IF(F244&lt;&gt;1,"",COUNTIFS($E$5:$E$304,E244,$F$5:$F$304,1,$J$5:$J$304,"&gt;"&amp;J244)+COUNTIFS($E$5:$E$304,E244,$F$5:$F$304,1,$J$5:$J$304,J244,$A$5:$A$304,"&lt;"&amp;A244)+1)</f>
        <v/>
      </c>
      <c r="L244" s="58" t="str">
        <f aca="false">IF(K244="","",E244&amp;"|"&amp;K244)</f>
        <v/>
      </c>
      <c r="M244" s="58" t="str">
        <f aca="false">IF(F244&lt;&gt;1,"",IF(COUNTIFS($C$5:C244,C244,$F$5:F244,1)=1,1,0))</f>
        <v/>
      </c>
      <c r="N244" s="59" t="str">
        <f aca="false">IF(M244&lt;&gt;1,"",SUMIF($C$5:$C$304,C244,$G$5:$G$304))</f>
        <v/>
      </c>
      <c r="O244" s="58" t="str">
        <f aca="false">IF(M244&lt;&gt;1,"",COUNTIFS($M$5:$M$304,1,$N$5:$N$304,"&gt;"&amp;N244)+COUNTIFS($M$5:$M$304,1,$N$5:$N$304,N244,$A$5:$A$304,"&lt;"&amp;A244)+1)</f>
        <v/>
      </c>
    </row>
    <row r="245" customFormat="false" ht="15" hidden="false" customHeight="false" outlineLevel="0" collapsed="false">
      <c r="A245" s="55" t="str">
        <f aca="false">IF(B245="","",ROW()-4)</f>
        <v/>
      </c>
      <c r="B245" s="57"/>
      <c r="C245" s="57"/>
      <c r="D245" s="57"/>
      <c r="E245" s="57"/>
      <c r="F245" s="58" t="str">
        <f aca="false">IF(B245="","",IF(COUNTIF(取込チェック!$C$6:$C$505,B245)&gt;0,1,0))</f>
        <v/>
      </c>
      <c r="G245" s="59" t="str">
        <f aca="false">IF(B245="","",SUMIF(取込チェック!$C$6:$C$505,B245,取込チェック!$D$6:$D$505))</f>
        <v/>
      </c>
      <c r="H245" s="59" t="str">
        <f aca="false">IF(B245="","",SUMIF(取込チェック!$C$6:$C$505,B245,取込チェック!$E$6:$E$505))</f>
        <v/>
      </c>
      <c r="I245" s="59" t="str">
        <f aca="false">IF(B245="","",SUMIF(取込チェック!$C$6:$C$505,B245,取込チェック!$F$6:$F$505))</f>
        <v/>
      </c>
      <c r="J245" s="60" t="str">
        <f aca="false">IF(F245&lt;&gt;1,"",IF(H245=0,-1,G245/H245))</f>
        <v/>
      </c>
      <c r="K245" s="58" t="str">
        <f aca="false">IF(F245&lt;&gt;1,"",COUNTIFS($E$5:$E$304,E245,$F$5:$F$304,1,$J$5:$J$304,"&gt;"&amp;J245)+COUNTIFS($E$5:$E$304,E245,$F$5:$F$304,1,$J$5:$J$304,J245,$A$5:$A$304,"&lt;"&amp;A245)+1)</f>
        <v/>
      </c>
      <c r="L245" s="58" t="str">
        <f aca="false">IF(K245="","",E245&amp;"|"&amp;K245)</f>
        <v/>
      </c>
      <c r="M245" s="58" t="str">
        <f aca="false">IF(F245&lt;&gt;1,"",IF(COUNTIFS($C$5:C245,C245,$F$5:F245,1)=1,1,0))</f>
        <v/>
      </c>
      <c r="N245" s="59" t="str">
        <f aca="false">IF(M245&lt;&gt;1,"",SUMIF($C$5:$C$304,C245,$G$5:$G$304))</f>
        <v/>
      </c>
      <c r="O245" s="58" t="str">
        <f aca="false">IF(M245&lt;&gt;1,"",COUNTIFS($M$5:$M$304,1,$N$5:$N$304,"&gt;"&amp;N245)+COUNTIFS($M$5:$M$304,1,$N$5:$N$304,N245,$A$5:$A$304,"&lt;"&amp;A245)+1)</f>
        <v/>
      </c>
    </row>
    <row r="246" customFormat="false" ht="15" hidden="false" customHeight="false" outlineLevel="0" collapsed="false">
      <c r="A246" s="55" t="str">
        <f aca="false">IF(B246="","",ROW()-4)</f>
        <v/>
      </c>
      <c r="B246" s="57"/>
      <c r="C246" s="57"/>
      <c r="D246" s="57"/>
      <c r="E246" s="57"/>
      <c r="F246" s="58" t="str">
        <f aca="false">IF(B246="","",IF(COUNTIF(取込チェック!$C$6:$C$505,B246)&gt;0,1,0))</f>
        <v/>
      </c>
      <c r="G246" s="59" t="str">
        <f aca="false">IF(B246="","",SUMIF(取込チェック!$C$6:$C$505,B246,取込チェック!$D$6:$D$505))</f>
        <v/>
      </c>
      <c r="H246" s="59" t="str">
        <f aca="false">IF(B246="","",SUMIF(取込チェック!$C$6:$C$505,B246,取込チェック!$E$6:$E$505))</f>
        <v/>
      </c>
      <c r="I246" s="59" t="str">
        <f aca="false">IF(B246="","",SUMIF(取込チェック!$C$6:$C$505,B246,取込チェック!$F$6:$F$505))</f>
        <v/>
      </c>
      <c r="J246" s="60" t="str">
        <f aca="false">IF(F246&lt;&gt;1,"",IF(H246=0,-1,G246/H246))</f>
        <v/>
      </c>
      <c r="K246" s="58" t="str">
        <f aca="false">IF(F246&lt;&gt;1,"",COUNTIFS($E$5:$E$304,E246,$F$5:$F$304,1,$J$5:$J$304,"&gt;"&amp;J246)+COUNTIFS($E$5:$E$304,E246,$F$5:$F$304,1,$J$5:$J$304,J246,$A$5:$A$304,"&lt;"&amp;A246)+1)</f>
        <v/>
      </c>
      <c r="L246" s="58" t="str">
        <f aca="false">IF(K246="","",E246&amp;"|"&amp;K246)</f>
        <v/>
      </c>
      <c r="M246" s="58" t="str">
        <f aca="false">IF(F246&lt;&gt;1,"",IF(COUNTIFS($C$5:C246,C246,$F$5:F246,1)=1,1,0))</f>
        <v/>
      </c>
      <c r="N246" s="59" t="str">
        <f aca="false">IF(M246&lt;&gt;1,"",SUMIF($C$5:$C$304,C246,$G$5:$G$304))</f>
        <v/>
      </c>
      <c r="O246" s="58" t="str">
        <f aca="false">IF(M246&lt;&gt;1,"",COUNTIFS($M$5:$M$304,1,$N$5:$N$304,"&gt;"&amp;N246)+COUNTIFS($M$5:$M$304,1,$N$5:$N$304,N246,$A$5:$A$304,"&lt;"&amp;A246)+1)</f>
        <v/>
      </c>
    </row>
    <row r="247" customFormat="false" ht="15" hidden="false" customHeight="false" outlineLevel="0" collapsed="false">
      <c r="A247" s="55" t="str">
        <f aca="false">IF(B247="","",ROW()-4)</f>
        <v/>
      </c>
      <c r="B247" s="57"/>
      <c r="C247" s="57"/>
      <c r="D247" s="57"/>
      <c r="E247" s="57"/>
      <c r="F247" s="58" t="str">
        <f aca="false">IF(B247="","",IF(COUNTIF(取込チェック!$C$6:$C$505,B247)&gt;0,1,0))</f>
        <v/>
      </c>
      <c r="G247" s="59" t="str">
        <f aca="false">IF(B247="","",SUMIF(取込チェック!$C$6:$C$505,B247,取込チェック!$D$6:$D$505))</f>
        <v/>
      </c>
      <c r="H247" s="59" t="str">
        <f aca="false">IF(B247="","",SUMIF(取込チェック!$C$6:$C$505,B247,取込チェック!$E$6:$E$505))</f>
        <v/>
      </c>
      <c r="I247" s="59" t="str">
        <f aca="false">IF(B247="","",SUMIF(取込チェック!$C$6:$C$505,B247,取込チェック!$F$6:$F$505))</f>
        <v/>
      </c>
      <c r="J247" s="60" t="str">
        <f aca="false">IF(F247&lt;&gt;1,"",IF(H247=0,-1,G247/H247))</f>
        <v/>
      </c>
      <c r="K247" s="58" t="str">
        <f aca="false">IF(F247&lt;&gt;1,"",COUNTIFS($E$5:$E$304,E247,$F$5:$F$304,1,$J$5:$J$304,"&gt;"&amp;J247)+COUNTIFS($E$5:$E$304,E247,$F$5:$F$304,1,$J$5:$J$304,J247,$A$5:$A$304,"&lt;"&amp;A247)+1)</f>
        <v/>
      </c>
      <c r="L247" s="58" t="str">
        <f aca="false">IF(K247="","",E247&amp;"|"&amp;K247)</f>
        <v/>
      </c>
      <c r="M247" s="58" t="str">
        <f aca="false">IF(F247&lt;&gt;1,"",IF(COUNTIFS($C$5:C247,C247,$F$5:F247,1)=1,1,0))</f>
        <v/>
      </c>
      <c r="N247" s="59" t="str">
        <f aca="false">IF(M247&lt;&gt;1,"",SUMIF($C$5:$C$304,C247,$G$5:$G$304))</f>
        <v/>
      </c>
      <c r="O247" s="58" t="str">
        <f aca="false">IF(M247&lt;&gt;1,"",COUNTIFS($M$5:$M$304,1,$N$5:$N$304,"&gt;"&amp;N247)+COUNTIFS($M$5:$M$304,1,$N$5:$N$304,N247,$A$5:$A$304,"&lt;"&amp;A247)+1)</f>
        <v/>
      </c>
    </row>
    <row r="248" customFormat="false" ht="15" hidden="false" customHeight="false" outlineLevel="0" collapsed="false">
      <c r="A248" s="55" t="str">
        <f aca="false">IF(B248="","",ROW()-4)</f>
        <v/>
      </c>
      <c r="B248" s="57"/>
      <c r="C248" s="57"/>
      <c r="D248" s="57"/>
      <c r="E248" s="57"/>
      <c r="F248" s="58" t="str">
        <f aca="false">IF(B248="","",IF(COUNTIF(取込チェック!$C$6:$C$505,B248)&gt;0,1,0))</f>
        <v/>
      </c>
      <c r="G248" s="59" t="str">
        <f aca="false">IF(B248="","",SUMIF(取込チェック!$C$6:$C$505,B248,取込チェック!$D$6:$D$505))</f>
        <v/>
      </c>
      <c r="H248" s="59" t="str">
        <f aca="false">IF(B248="","",SUMIF(取込チェック!$C$6:$C$505,B248,取込チェック!$E$6:$E$505))</f>
        <v/>
      </c>
      <c r="I248" s="59" t="str">
        <f aca="false">IF(B248="","",SUMIF(取込チェック!$C$6:$C$505,B248,取込チェック!$F$6:$F$505))</f>
        <v/>
      </c>
      <c r="J248" s="60" t="str">
        <f aca="false">IF(F248&lt;&gt;1,"",IF(H248=0,-1,G248/H248))</f>
        <v/>
      </c>
      <c r="K248" s="58" t="str">
        <f aca="false">IF(F248&lt;&gt;1,"",COUNTIFS($E$5:$E$304,E248,$F$5:$F$304,1,$J$5:$J$304,"&gt;"&amp;J248)+COUNTIFS($E$5:$E$304,E248,$F$5:$F$304,1,$J$5:$J$304,J248,$A$5:$A$304,"&lt;"&amp;A248)+1)</f>
        <v/>
      </c>
      <c r="L248" s="58" t="str">
        <f aca="false">IF(K248="","",E248&amp;"|"&amp;K248)</f>
        <v/>
      </c>
      <c r="M248" s="58" t="str">
        <f aca="false">IF(F248&lt;&gt;1,"",IF(COUNTIFS($C$5:C248,C248,$F$5:F248,1)=1,1,0))</f>
        <v/>
      </c>
      <c r="N248" s="59" t="str">
        <f aca="false">IF(M248&lt;&gt;1,"",SUMIF($C$5:$C$304,C248,$G$5:$G$304))</f>
        <v/>
      </c>
      <c r="O248" s="58" t="str">
        <f aca="false">IF(M248&lt;&gt;1,"",COUNTIFS($M$5:$M$304,1,$N$5:$N$304,"&gt;"&amp;N248)+COUNTIFS($M$5:$M$304,1,$N$5:$N$304,N248,$A$5:$A$304,"&lt;"&amp;A248)+1)</f>
        <v/>
      </c>
    </row>
    <row r="249" customFormat="false" ht="15" hidden="false" customHeight="false" outlineLevel="0" collapsed="false">
      <c r="A249" s="55" t="str">
        <f aca="false">IF(B249="","",ROW()-4)</f>
        <v/>
      </c>
      <c r="B249" s="57"/>
      <c r="C249" s="57"/>
      <c r="D249" s="57"/>
      <c r="E249" s="57"/>
      <c r="F249" s="58" t="str">
        <f aca="false">IF(B249="","",IF(COUNTIF(取込チェック!$C$6:$C$505,B249)&gt;0,1,0))</f>
        <v/>
      </c>
      <c r="G249" s="59" t="str">
        <f aca="false">IF(B249="","",SUMIF(取込チェック!$C$6:$C$505,B249,取込チェック!$D$6:$D$505))</f>
        <v/>
      </c>
      <c r="H249" s="59" t="str">
        <f aca="false">IF(B249="","",SUMIF(取込チェック!$C$6:$C$505,B249,取込チェック!$E$6:$E$505))</f>
        <v/>
      </c>
      <c r="I249" s="59" t="str">
        <f aca="false">IF(B249="","",SUMIF(取込チェック!$C$6:$C$505,B249,取込チェック!$F$6:$F$505))</f>
        <v/>
      </c>
      <c r="J249" s="60" t="str">
        <f aca="false">IF(F249&lt;&gt;1,"",IF(H249=0,-1,G249/H249))</f>
        <v/>
      </c>
      <c r="K249" s="58" t="str">
        <f aca="false">IF(F249&lt;&gt;1,"",COUNTIFS($E$5:$E$304,E249,$F$5:$F$304,1,$J$5:$J$304,"&gt;"&amp;J249)+COUNTIFS($E$5:$E$304,E249,$F$5:$F$304,1,$J$5:$J$304,J249,$A$5:$A$304,"&lt;"&amp;A249)+1)</f>
        <v/>
      </c>
      <c r="L249" s="58" t="str">
        <f aca="false">IF(K249="","",E249&amp;"|"&amp;K249)</f>
        <v/>
      </c>
      <c r="M249" s="58" t="str">
        <f aca="false">IF(F249&lt;&gt;1,"",IF(COUNTIFS($C$5:C249,C249,$F$5:F249,1)=1,1,0))</f>
        <v/>
      </c>
      <c r="N249" s="59" t="str">
        <f aca="false">IF(M249&lt;&gt;1,"",SUMIF($C$5:$C$304,C249,$G$5:$G$304))</f>
        <v/>
      </c>
      <c r="O249" s="58" t="str">
        <f aca="false">IF(M249&lt;&gt;1,"",COUNTIFS($M$5:$M$304,1,$N$5:$N$304,"&gt;"&amp;N249)+COUNTIFS($M$5:$M$304,1,$N$5:$N$304,N249,$A$5:$A$304,"&lt;"&amp;A249)+1)</f>
        <v/>
      </c>
    </row>
    <row r="250" customFormat="false" ht="15" hidden="false" customHeight="false" outlineLevel="0" collapsed="false">
      <c r="A250" s="55" t="str">
        <f aca="false">IF(B250="","",ROW()-4)</f>
        <v/>
      </c>
      <c r="B250" s="57"/>
      <c r="C250" s="57"/>
      <c r="D250" s="57"/>
      <c r="E250" s="57"/>
      <c r="F250" s="58" t="str">
        <f aca="false">IF(B250="","",IF(COUNTIF(取込チェック!$C$6:$C$505,B250)&gt;0,1,0))</f>
        <v/>
      </c>
      <c r="G250" s="59" t="str">
        <f aca="false">IF(B250="","",SUMIF(取込チェック!$C$6:$C$505,B250,取込チェック!$D$6:$D$505))</f>
        <v/>
      </c>
      <c r="H250" s="59" t="str">
        <f aca="false">IF(B250="","",SUMIF(取込チェック!$C$6:$C$505,B250,取込チェック!$E$6:$E$505))</f>
        <v/>
      </c>
      <c r="I250" s="59" t="str">
        <f aca="false">IF(B250="","",SUMIF(取込チェック!$C$6:$C$505,B250,取込チェック!$F$6:$F$505))</f>
        <v/>
      </c>
      <c r="J250" s="60" t="str">
        <f aca="false">IF(F250&lt;&gt;1,"",IF(H250=0,-1,G250/H250))</f>
        <v/>
      </c>
      <c r="K250" s="58" t="str">
        <f aca="false">IF(F250&lt;&gt;1,"",COUNTIFS($E$5:$E$304,E250,$F$5:$F$304,1,$J$5:$J$304,"&gt;"&amp;J250)+COUNTIFS($E$5:$E$304,E250,$F$5:$F$304,1,$J$5:$J$304,J250,$A$5:$A$304,"&lt;"&amp;A250)+1)</f>
        <v/>
      </c>
      <c r="L250" s="58" t="str">
        <f aca="false">IF(K250="","",E250&amp;"|"&amp;K250)</f>
        <v/>
      </c>
      <c r="M250" s="58" t="str">
        <f aca="false">IF(F250&lt;&gt;1,"",IF(COUNTIFS($C$5:C250,C250,$F$5:F250,1)=1,1,0))</f>
        <v/>
      </c>
      <c r="N250" s="59" t="str">
        <f aca="false">IF(M250&lt;&gt;1,"",SUMIF($C$5:$C$304,C250,$G$5:$G$304))</f>
        <v/>
      </c>
      <c r="O250" s="58" t="str">
        <f aca="false">IF(M250&lt;&gt;1,"",COUNTIFS($M$5:$M$304,1,$N$5:$N$304,"&gt;"&amp;N250)+COUNTIFS($M$5:$M$304,1,$N$5:$N$304,N250,$A$5:$A$304,"&lt;"&amp;A250)+1)</f>
        <v/>
      </c>
    </row>
    <row r="251" customFormat="false" ht="15" hidden="false" customHeight="false" outlineLevel="0" collapsed="false">
      <c r="A251" s="55" t="str">
        <f aca="false">IF(B251="","",ROW()-4)</f>
        <v/>
      </c>
      <c r="B251" s="57"/>
      <c r="C251" s="57"/>
      <c r="D251" s="57"/>
      <c r="E251" s="57"/>
      <c r="F251" s="58" t="str">
        <f aca="false">IF(B251="","",IF(COUNTIF(取込チェック!$C$6:$C$505,B251)&gt;0,1,0))</f>
        <v/>
      </c>
      <c r="G251" s="59" t="str">
        <f aca="false">IF(B251="","",SUMIF(取込チェック!$C$6:$C$505,B251,取込チェック!$D$6:$D$505))</f>
        <v/>
      </c>
      <c r="H251" s="59" t="str">
        <f aca="false">IF(B251="","",SUMIF(取込チェック!$C$6:$C$505,B251,取込チェック!$E$6:$E$505))</f>
        <v/>
      </c>
      <c r="I251" s="59" t="str">
        <f aca="false">IF(B251="","",SUMIF(取込チェック!$C$6:$C$505,B251,取込チェック!$F$6:$F$505))</f>
        <v/>
      </c>
      <c r="J251" s="60" t="str">
        <f aca="false">IF(F251&lt;&gt;1,"",IF(H251=0,-1,G251/H251))</f>
        <v/>
      </c>
      <c r="K251" s="58" t="str">
        <f aca="false">IF(F251&lt;&gt;1,"",COUNTIFS($E$5:$E$304,E251,$F$5:$F$304,1,$J$5:$J$304,"&gt;"&amp;J251)+COUNTIFS($E$5:$E$304,E251,$F$5:$F$304,1,$J$5:$J$304,J251,$A$5:$A$304,"&lt;"&amp;A251)+1)</f>
        <v/>
      </c>
      <c r="L251" s="58" t="str">
        <f aca="false">IF(K251="","",E251&amp;"|"&amp;K251)</f>
        <v/>
      </c>
      <c r="M251" s="58" t="str">
        <f aca="false">IF(F251&lt;&gt;1,"",IF(COUNTIFS($C$5:C251,C251,$F$5:F251,1)=1,1,0))</f>
        <v/>
      </c>
      <c r="N251" s="59" t="str">
        <f aca="false">IF(M251&lt;&gt;1,"",SUMIF($C$5:$C$304,C251,$G$5:$G$304))</f>
        <v/>
      </c>
      <c r="O251" s="58" t="str">
        <f aca="false">IF(M251&lt;&gt;1,"",COUNTIFS($M$5:$M$304,1,$N$5:$N$304,"&gt;"&amp;N251)+COUNTIFS($M$5:$M$304,1,$N$5:$N$304,N251,$A$5:$A$304,"&lt;"&amp;A251)+1)</f>
        <v/>
      </c>
    </row>
    <row r="252" customFormat="false" ht="15" hidden="false" customHeight="false" outlineLevel="0" collapsed="false">
      <c r="A252" s="55" t="str">
        <f aca="false">IF(B252="","",ROW()-4)</f>
        <v/>
      </c>
      <c r="B252" s="57"/>
      <c r="C252" s="57"/>
      <c r="D252" s="57"/>
      <c r="E252" s="57"/>
      <c r="F252" s="58" t="str">
        <f aca="false">IF(B252="","",IF(COUNTIF(取込チェック!$C$6:$C$505,B252)&gt;0,1,0))</f>
        <v/>
      </c>
      <c r="G252" s="59" t="str">
        <f aca="false">IF(B252="","",SUMIF(取込チェック!$C$6:$C$505,B252,取込チェック!$D$6:$D$505))</f>
        <v/>
      </c>
      <c r="H252" s="59" t="str">
        <f aca="false">IF(B252="","",SUMIF(取込チェック!$C$6:$C$505,B252,取込チェック!$E$6:$E$505))</f>
        <v/>
      </c>
      <c r="I252" s="59" t="str">
        <f aca="false">IF(B252="","",SUMIF(取込チェック!$C$6:$C$505,B252,取込チェック!$F$6:$F$505))</f>
        <v/>
      </c>
      <c r="J252" s="60" t="str">
        <f aca="false">IF(F252&lt;&gt;1,"",IF(H252=0,-1,G252/H252))</f>
        <v/>
      </c>
      <c r="K252" s="58" t="str">
        <f aca="false">IF(F252&lt;&gt;1,"",COUNTIFS($E$5:$E$304,E252,$F$5:$F$304,1,$J$5:$J$304,"&gt;"&amp;J252)+COUNTIFS($E$5:$E$304,E252,$F$5:$F$304,1,$J$5:$J$304,J252,$A$5:$A$304,"&lt;"&amp;A252)+1)</f>
        <v/>
      </c>
      <c r="L252" s="58" t="str">
        <f aca="false">IF(K252="","",E252&amp;"|"&amp;K252)</f>
        <v/>
      </c>
      <c r="M252" s="58" t="str">
        <f aca="false">IF(F252&lt;&gt;1,"",IF(COUNTIFS($C$5:C252,C252,$F$5:F252,1)=1,1,0))</f>
        <v/>
      </c>
      <c r="N252" s="59" t="str">
        <f aca="false">IF(M252&lt;&gt;1,"",SUMIF($C$5:$C$304,C252,$G$5:$G$304))</f>
        <v/>
      </c>
      <c r="O252" s="58" t="str">
        <f aca="false">IF(M252&lt;&gt;1,"",COUNTIFS($M$5:$M$304,1,$N$5:$N$304,"&gt;"&amp;N252)+COUNTIFS($M$5:$M$304,1,$N$5:$N$304,N252,$A$5:$A$304,"&lt;"&amp;A252)+1)</f>
        <v/>
      </c>
    </row>
    <row r="253" customFormat="false" ht="15" hidden="false" customHeight="false" outlineLevel="0" collapsed="false">
      <c r="A253" s="55" t="str">
        <f aca="false">IF(B253="","",ROW()-4)</f>
        <v/>
      </c>
      <c r="B253" s="57"/>
      <c r="C253" s="57"/>
      <c r="D253" s="57"/>
      <c r="E253" s="57"/>
      <c r="F253" s="58" t="str">
        <f aca="false">IF(B253="","",IF(COUNTIF(取込チェック!$C$6:$C$505,B253)&gt;0,1,0))</f>
        <v/>
      </c>
      <c r="G253" s="59" t="str">
        <f aca="false">IF(B253="","",SUMIF(取込チェック!$C$6:$C$505,B253,取込チェック!$D$6:$D$505))</f>
        <v/>
      </c>
      <c r="H253" s="59" t="str">
        <f aca="false">IF(B253="","",SUMIF(取込チェック!$C$6:$C$505,B253,取込チェック!$E$6:$E$505))</f>
        <v/>
      </c>
      <c r="I253" s="59" t="str">
        <f aca="false">IF(B253="","",SUMIF(取込チェック!$C$6:$C$505,B253,取込チェック!$F$6:$F$505))</f>
        <v/>
      </c>
      <c r="J253" s="60" t="str">
        <f aca="false">IF(F253&lt;&gt;1,"",IF(H253=0,-1,G253/H253))</f>
        <v/>
      </c>
      <c r="K253" s="58" t="str">
        <f aca="false">IF(F253&lt;&gt;1,"",COUNTIFS($E$5:$E$304,E253,$F$5:$F$304,1,$J$5:$J$304,"&gt;"&amp;J253)+COUNTIFS($E$5:$E$304,E253,$F$5:$F$304,1,$J$5:$J$304,J253,$A$5:$A$304,"&lt;"&amp;A253)+1)</f>
        <v/>
      </c>
      <c r="L253" s="58" t="str">
        <f aca="false">IF(K253="","",E253&amp;"|"&amp;K253)</f>
        <v/>
      </c>
      <c r="M253" s="58" t="str">
        <f aca="false">IF(F253&lt;&gt;1,"",IF(COUNTIFS($C$5:C253,C253,$F$5:F253,1)=1,1,0))</f>
        <v/>
      </c>
      <c r="N253" s="59" t="str">
        <f aca="false">IF(M253&lt;&gt;1,"",SUMIF($C$5:$C$304,C253,$G$5:$G$304))</f>
        <v/>
      </c>
      <c r="O253" s="58" t="str">
        <f aca="false">IF(M253&lt;&gt;1,"",COUNTIFS($M$5:$M$304,1,$N$5:$N$304,"&gt;"&amp;N253)+COUNTIFS($M$5:$M$304,1,$N$5:$N$304,N253,$A$5:$A$304,"&lt;"&amp;A253)+1)</f>
        <v/>
      </c>
    </row>
    <row r="254" customFormat="false" ht="15" hidden="false" customHeight="false" outlineLevel="0" collapsed="false">
      <c r="A254" s="55" t="str">
        <f aca="false">IF(B254="","",ROW()-4)</f>
        <v/>
      </c>
      <c r="B254" s="57"/>
      <c r="C254" s="57"/>
      <c r="D254" s="57"/>
      <c r="E254" s="57"/>
      <c r="F254" s="58" t="str">
        <f aca="false">IF(B254="","",IF(COUNTIF(取込チェック!$C$6:$C$505,B254)&gt;0,1,0))</f>
        <v/>
      </c>
      <c r="G254" s="59" t="str">
        <f aca="false">IF(B254="","",SUMIF(取込チェック!$C$6:$C$505,B254,取込チェック!$D$6:$D$505))</f>
        <v/>
      </c>
      <c r="H254" s="59" t="str">
        <f aca="false">IF(B254="","",SUMIF(取込チェック!$C$6:$C$505,B254,取込チェック!$E$6:$E$505))</f>
        <v/>
      </c>
      <c r="I254" s="59" t="str">
        <f aca="false">IF(B254="","",SUMIF(取込チェック!$C$6:$C$505,B254,取込チェック!$F$6:$F$505))</f>
        <v/>
      </c>
      <c r="J254" s="60" t="str">
        <f aca="false">IF(F254&lt;&gt;1,"",IF(H254=0,-1,G254/H254))</f>
        <v/>
      </c>
      <c r="K254" s="58" t="str">
        <f aca="false">IF(F254&lt;&gt;1,"",COUNTIFS($E$5:$E$304,E254,$F$5:$F$304,1,$J$5:$J$304,"&gt;"&amp;J254)+COUNTIFS($E$5:$E$304,E254,$F$5:$F$304,1,$J$5:$J$304,J254,$A$5:$A$304,"&lt;"&amp;A254)+1)</f>
        <v/>
      </c>
      <c r="L254" s="58" t="str">
        <f aca="false">IF(K254="","",E254&amp;"|"&amp;K254)</f>
        <v/>
      </c>
      <c r="M254" s="58" t="str">
        <f aca="false">IF(F254&lt;&gt;1,"",IF(COUNTIFS($C$5:C254,C254,$F$5:F254,1)=1,1,0))</f>
        <v/>
      </c>
      <c r="N254" s="59" t="str">
        <f aca="false">IF(M254&lt;&gt;1,"",SUMIF($C$5:$C$304,C254,$G$5:$G$304))</f>
        <v/>
      </c>
      <c r="O254" s="58" t="str">
        <f aca="false">IF(M254&lt;&gt;1,"",COUNTIFS($M$5:$M$304,1,$N$5:$N$304,"&gt;"&amp;N254)+COUNTIFS($M$5:$M$304,1,$N$5:$N$304,N254,$A$5:$A$304,"&lt;"&amp;A254)+1)</f>
        <v/>
      </c>
    </row>
    <row r="255" customFormat="false" ht="15" hidden="false" customHeight="false" outlineLevel="0" collapsed="false">
      <c r="A255" s="55" t="str">
        <f aca="false">IF(B255="","",ROW()-4)</f>
        <v/>
      </c>
      <c r="B255" s="57"/>
      <c r="C255" s="57"/>
      <c r="D255" s="57"/>
      <c r="E255" s="57"/>
      <c r="F255" s="58" t="str">
        <f aca="false">IF(B255="","",IF(COUNTIF(取込チェック!$C$6:$C$505,B255)&gt;0,1,0))</f>
        <v/>
      </c>
      <c r="G255" s="59" t="str">
        <f aca="false">IF(B255="","",SUMIF(取込チェック!$C$6:$C$505,B255,取込チェック!$D$6:$D$505))</f>
        <v/>
      </c>
      <c r="H255" s="59" t="str">
        <f aca="false">IF(B255="","",SUMIF(取込チェック!$C$6:$C$505,B255,取込チェック!$E$6:$E$505))</f>
        <v/>
      </c>
      <c r="I255" s="59" t="str">
        <f aca="false">IF(B255="","",SUMIF(取込チェック!$C$6:$C$505,B255,取込チェック!$F$6:$F$505))</f>
        <v/>
      </c>
      <c r="J255" s="60" t="str">
        <f aca="false">IF(F255&lt;&gt;1,"",IF(H255=0,-1,G255/H255))</f>
        <v/>
      </c>
      <c r="K255" s="58" t="str">
        <f aca="false">IF(F255&lt;&gt;1,"",COUNTIFS($E$5:$E$304,E255,$F$5:$F$304,1,$J$5:$J$304,"&gt;"&amp;J255)+COUNTIFS($E$5:$E$304,E255,$F$5:$F$304,1,$J$5:$J$304,J255,$A$5:$A$304,"&lt;"&amp;A255)+1)</f>
        <v/>
      </c>
      <c r="L255" s="58" t="str">
        <f aca="false">IF(K255="","",E255&amp;"|"&amp;K255)</f>
        <v/>
      </c>
      <c r="M255" s="58" t="str">
        <f aca="false">IF(F255&lt;&gt;1,"",IF(COUNTIFS($C$5:C255,C255,$F$5:F255,1)=1,1,0))</f>
        <v/>
      </c>
      <c r="N255" s="59" t="str">
        <f aca="false">IF(M255&lt;&gt;1,"",SUMIF($C$5:$C$304,C255,$G$5:$G$304))</f>
        <v/>
      </c>
      <c r="O255" s="58" t="str">
        <f aca="false">IF(M255&lt;&gt;1,"",COUNTIFS($M$5:$M$304,1,$N$5:$N$304,"&gt;"&amp;N255)+COUNTIFS($M$5:$M$304,1,$N$5:$N$304,N255,$A$5:$A$304,"&lt;"&amp;A255)+1)</f>
        <v/>
      </c>
    </row>
    <row r="256" customFormat="false" ht="15" hidden="false" customHeight="false" outlineLevel="0" collapsed="false">
      <c r="A256" s="55" t="str">
        <f aca="false">IF(B256="","",ROW()-4)</f>
        <v/>
      </c>
      <c r="B256" s="57"/>
      <c r="C256" s="57"/>
      <c r="D256" s="57"/>
      <c r="E256" s="57"/>
      <c r="F256" s="58" t="str">
        <f aca="false">IF(B256="","",IF(COUNTIF(取込チェック!$C$6:$C$505,B256)&gt;0,1,0))</f>
        <v/>
      </c>
      <c r="G256" s="59" t="str">
        <f aca="false">IF(B256="","",SUMIF(取込チェック!$C$6:$C$505,B256,取込チェック!$D$6:$D$505))</f>
        <v/>
      </c>
      <c r="H256" s="59" t="str">
        <f aca="false">IF(B256="","",SUMIF(取込チェック!$C$6:$C$505,B256,取込チェック!$E$6:$E$505))</f>
        <v/>
      </c>
      <c r="I256" s="59" t="str">
        <f aca="false">IF(B256="","",SUMIF(取込チェック!$C$6:$C$505,B256,取込チェック!$F$6:$F$505))</f>
        <v/>
      </c>
      <c r="J256" s="60" t="str">
        <f aca="false">IF(F256&lt;&gt;1,"",IF(H256=0,-1,G256/H256))</f>
        <v/>
      </c>
      <c r="K256" s="58" t="str">
        <f aca="false">IF(F256&lt;&gt;1,"",COUNTIFS($E$5:$E$304,E256,$F$5:$F$304,1,$J$5:$J$304,"&gt;"&amp;J256)+COUNTIFS($E$5:$E$304,E256,$F$5:$F$304,1,$J$5:$J$304,J256,$A$5:$A$304,"&lt;"&amp;A256)+1)</f>
        <v/>
      </c>
      <c r="L256" s="58" t="str">
        <f aca="false">IF(K256="","",E256&amp;"|"&amp;K256)</f>
        <v/>
      </c>
      <c r="M256" s="58" t="str">
        <f aca="false">IF(F256&lt;&gt;1,"",IF(COUNTIFS($C$5:C256,C256,$F$5:F256,1)=1,1,0))</f>
        <v/>
      </c>
      <c r="N256" s="59" t="str">
        <f aca="false">IF(M256&lt;&gt;1,"",SUMIF($C$5:$C$304,C256,$G$5:$G$304))</f>
        <v/>
      </c>
      <c r="O256" s="58" t="str">
        <f aca="false">IF(M256&lt;&gt;1,"",COUNTIFS($M$5:$M$304,1,$N$5:$N$304,"&gt;"&amp;N256)+COUNTIFS($M$5:$M$304,1,$N$5:$N$304,N256,$A$5:$A$304,"&lt;"&amp;A256)+1)</f>
        <v/>
      </c>
    </row>
    <row r="257" customFormat="false" ht="15" hidden="false" customHeight="false" outlineLevel="0" collapsed="false">
      <c r="A257" s="55" t="str">
        <f aca="false">IF(B257="","",ROW()-4)</f>
        <v/>
      </c>
      <c r="B257" s="57"/>
      <c r="C257" s="57"/>
      <c r="D257" s="57"/>
      <c r="E257" s="57"/>
      <c r="F257" s="58" t="str">
        <f aca="false">IF(B257="","",IF(COUNTIF(取込チェック!$C$6:$C$505,B257)&gt;0,1,0))</f>
        <v/>
      </c>
      <c r="G257" s="59" t="str">
        <f aca="false">IF(B257="","",SUMIF(取込チェック!$C$6:$C$505,B257,取込チェック!$D$6:$D$505))</f>
        <v/>
      </c>
      <c r="H257" s="59" t="str">
        <f aca="false">IF(B257="","",SUMIF(取込チェック!$C$6:$C$505,B257,取込チェック!$E$6:$E$505))</f>
        <v/>
      </c>
      <c r="I257" s="59" t="str">
        <f aca="false">IF(B257="","",SUMIF(取込チェック!$C$6:$C$505,B257,取込チェック!$F$6:$F$505))</f>
        <v/>
      </c>
      <c r="J257" s="60" t="str">
        <f aca="false">IF(F257&lt;&gt;1,"",IF(H257=0,-1,G257/H257))</f>
        <v/>
      </c>
      <c r="K257" s="58" t="str">
        <f aca="false">IF(F257&lt;&gt;1,"",COUNTIFS($E$5:$E$304,E257,$F$5:$F$304,1,$J$5:$J$304,"&gt;"&amp;J257)+COUNTIFS($E$5:$E$304,E257,$F$5:$F$304,1,$J$5:$J$304,J257,$A$5:$A$304,"&lt;"&amp;A257)+1)</f>
        <v/>
      </c>
      <c r="L257" s="58" t="str">
        <f aca="false">IF(K257="","",E257&amp;"|"&amp;K257)</f>
        <v/>
      </c>
      <c r="M257" s="58" t="str">
        <f aca="false">IF(F257&lt;&gt;1,"",IF(COUNTIFS($C$5:C257,C257,$F$5:F257,1)=1,1,0))</f>
        <v/>
      </c>
      <c r="N257" s="59" t="str">
        <f aca="false">IF(M257&lt;&gt;1,"",SUMIF($C$5:$C$304,C257,$G$5:$G$304))</f>
        <v/>
      </c>
      <c r="O257" s="58" t="str">
        <f aca="false">IF(M257&lt;&gt;1,"",COUNTIFS($M$5:$M$304,1,$N$5:$N$304,"&gt;"&amp;N257)+COUNTIFS($M$5:$M$304,1,$N$5:$N$304,N257,$A$5:$A$304,"&lt;"&amp;A257)+1)</f>
        <v/>
      </c>
    </row>
    <row r="258" customFormat="false" ht="15" hidden="false" customHeight="false" outlineLevel="0" collapsed="false">
      <c r="A258" s="55" t="str">
        <f aca="false">IF(B258="","",ROW()-4)</f>
        <v/>
      </c>
      <c r="B258" s="57"/>
      <c r="C258" s="57"/>
      <c r="D258" s="57"/>
      <c r="E258" s="57"/>
      <c r="F258" s="58" t="str">
        <f aca="false">IF(B258="","",IF(COUNTIF(取込チェック!$C$6:$C$505,B258)&gt;0,1,0))</f>
        <v/>
      </c>
      <c r="G258" s="59" t="str">
        <f aca="false">IF(B258="","",SUMIF(取込チェック!$C$6:$C$505,B258,取込チェック!$D$6:$D$505))</f>
        <v/>
      </c>
      <c r="H258" s="59" t="str">
        <f aca="false">IF(B258="","",SUMIF(取込チェック!$C$6:$C$505,B258,取込チェック!$E$6:$E$505))</f>
        <v/>
      </c>
      <c r="I258" s="59" t="str">
        <f aca="false">IF(B258="","",SUMIF(取込チェック!$C$6:$C$505,B258,取込チェック!$F$6:$F$505))</f>
        <v/>
      </c>
      <c r="J258" s="60" t="str">
        <f aca="false">IF(F258&lt;&gt;1,"",IF(H258=0,-1,G258/H258))</f>
        <v/>
      </c>
      <c r="K258" s="58" t="str">
        <f aca="false">IF(F258&lt;&gt;1,"",COUNTIFS($E$5:$E$304,E258,$F$5:$F$304,1,$J$5:$J$304,"&gt;"&amp;J258)+COUNTIFS($E$5:$E$304,E258,$F$5:$F$304,1,$J$5:$J$304,J258,$A$5:$A$304,"&lt;"&amp;A258)+1)</f>
        <v/>
      </c>
      <c r="L258" s="58" t="str">
        <f aca="false">IF(K258="","",E258&amp;"|"&amp;K258)</f>
        <v/>
      </c>
      <c r="M258" s="58" t="str">
        <f aca="false">IF(F258&lt;&gt;1,"",IF(COUNTIFS($C$5:C258,C258,$F$5:F258,1)=1,1,0))</f>
        <v/>
      </c>
      <c r="N258" s="59" t="str">
        <f aca="false">IF(M258&lt;&gt;1,"",SUMIF($C$5:$C$304,C258,$G$5:$G$304))</f>
        <v/>
      </c>
      <c r="O258" s="58" t="str">
        <f aca="false">IF(M258&lt;&gt;1,"",COUNTIFS($M$5:$M$304,1,$N$5:$N$304,"&gt;"&amp;N258)+COUNTIFS($M$5:$M$304,1,$N$5:$N$304,N258,$A$5:$A$304,"&lt;"&amp;A258)+1)</f>
        <v/>
      </c>
    </row>
    <row r="259" customFormat="false" ht="15" hidden="false" customHeight="false" outlineLevel="0" collapsed="false">
      <c r="A259" s="55" t="str">
        <f aca="false">IF(B259="","",ROW()-4)</f>
        <v/>
      </c>
      <c r="B259" s="57"/>
      <c r="C259" s="57"/>
      <c r="D259" s="57"/>
      <c r="E259" s="57"/>
      <c r="F259" s="58" t="str">
        <f aca="false">IF(B259="","",IF(COUNTIF(取込チェック!$C$6:$C$505,B259)&gt;0,1,0))</f>
        <v/>
      </c>
      <c r="G259" s="59" t="str">
        <f aca="false">IF(B259="","",SUMIF(取込チェック!$C$6:$C$505,B259,取込チェック!$D$6:$D$505))</f>
        <v/>
      </c>
      <c r="H259" s="59" t="str">
        <f aca="false">IF(B259="","",SUMIF(取込チェック!$C$6:$C$505,B259,取込チェック!$E$6:$E$505))</f>
        <v/>
      </c>
      <c r="I259" s="59" t="str">
        <f aca="false">IF(B259="","",SUMIF(取込チェック!$C$6:$C$505,B259,取込チェック!$F$6:$F$505))</f>
        <v/>
      </c>
      <c r="J259" s="60" t="str">
        <f aca="false">IF(F259&lt;&gt;1,"",IF(H259=0,-1,G259/H259))</f>
        <v/>
      </c>
      <c r="K259" s="58" t="str">
        <f aca="false">IF(F259&lt;&gt;1,"",COUNTIFS($E$5:$E$304,E259,$F$5:$F$304,1,$J$5:$J$304,"&gt;"&amp;J259)+COUNTIFS($E$5:$E$304,E259,$F$5:$F$304,1,$J$5:$J$304,J259,$A$5:$A$304,"&lt;"&amp;A259)+1)</f>
        <v/>
      </c>
      <c r="L259" s="58" t="str">
        <f aca="false">IF(K259="","",E259&amp;"|"&amp;K259)</f>
        <v/>
      </c>
      <c r="M259" s="58" t="str">
        <f aca="false">IF(F259&lt;&gt;1,"",IF(COUNTIFS($C$5:C259,C259,$F$5:F259,1)=1,1,0))</f>
        <v/>
      </c>
      <c r="N259" s="59" t="str">
        <f aca="false">IF(M259&lt;&gt;1,"",SUMIF($C$5:$C$304,C259,$G$5:$G$304))</f>
        <v/>
      </c>
      <c r="O259" s="58" t="str">
        <f aca="false">IF(M259&lt;&gt;1,"",COUNTIFS($M$5:$M$304,1,$N$5:$N$304,"&gt;"&amp;N259)+COUNTIFS($M$5:$M$304,1,$N$5:$N$304,N259,$A$5:$A$304,"&lt;"&amp;A259)+1)</f>
        <v/>
      </c>
    </row>
    <row r="260" customFormat="false" ht="15" hidden="false" customHeight="false" outlineLevel="0" collapsed="false">
      <c r="A260" s="55" t="str">
        <f aca="false">IF(B260="","",ROW()-4)</f>
        <v/>
      </c>
      <c r="B260" s="57"/>
      <c r="C260" s="57"/>
      <c r="D260" s="57"/>
      <c r="E260" s="57"/>
      <c r="F260" s="58" t="str">
        <f aca="false">IF(B260="","",IF(COUNTIF(取込チェック!$C$6:$C$505,B260)&gt;0,1,0))</f>
        <v/>
      </c>
      <c r="G260" s="59" t="str">
        <f aca="false">IF(B260="","",SUMIF(取込チェック!$C$6:$C$505,B260,取込チェック!$D$6:$D$505))</f>
        <v/>
      </c>
      <c r="H260" s="59" t="str">
        <f aca="false">IF(B260="","",SUMIF(取込チェック!$C$6:$C$505,B260,取込チェック!$E$6:$E$505))</f>
        <v/>
      </c>
      <c r="I260" s="59" t="str">
        <f aca="false">IF(B260="","",SUMIF(取込チェック!$C$6:$C$505,B260,取込チェック!$F$6:$F$505))</f>
        <v/>
      </c>
      <c r="J260" s="60" t="str">
        <f aca="false">IF(F260&lt;&gt;1,"",IF(H260=0,-1,G260/H260))</f>
        <v/>
      </c>
      <c r="K260" s="58" t="str">
        <f aca="false">IF(F260&lt;&gt;1,"",COUNTIFS($E$5:$E$304,E260,$F$5:$F$304,1,$J$5:$J$304,"&gt;"&amp;J260)+COUNTIFS($E$5:$E$304,E260,$F$5:$F$304,1,$J$5:$J$304,J260,$A$5:$A$304,"&lt;"&amp;A260)+1)</f>
        <v/>
      </c>
      <c r="L260" s="58" t="str">
        <f aca="false">IF(K260="","",E260&amp;"|"&amp;K260)</f>
        <v/>
      </c>
      <c r="M260" s="58" t="str">
        <f aca="false">IF(F260&lt;&gt;1,"",IF(COUNTIFS($C$5:C260,C260,$F$5:F260,1)=1,1,0))</f>
        <v/>
      </c>
      <c r="N260" s="59" t="str">
        <f aca="false">IF(M260&lt;&gt;1,"",SUMIF($C$5:$C$304,C260,$G$5:$G$304))</f>
        <v/>
      </c>
      <c r="O260" s="58" t="str">
        <f aca="false">IF(M260&lt;&gt;1,"",COUNTIFS($M$5:$M$304,1,$N$5:$N$304,"&gt;"&amp;N260)+COUNTIFS($M$5:$M$304,1,$N$5:$N$304,N260,$A$5:$A$304,"&lt;"&amp;A260)+1)</f>
        <v/>
      </c>
    </row>
    <row r="261" customFormat="false" ht="15" hidden="false" customHeight="false" outlineLevel="0" collapsed="false">
      <c r="A261" s="55" t="str">
        <f aca="false">IF(B261="","",ROW()-4)</f>
        <v/>
      </c>
      <c r="B261" s="57"/>
      <c r="C261" s="57"/>
      <c r="D261" s="57"/>
      <c r="E261" s="57"/>
      <c r="F261" s="58" t="str">
        <f aca="false">IF(B261="","",IF(COUNTIF(取込チェック!$C$6:$C$505,B261)&gt;0,1,0))</f>
        <v/>
      </c>
      <c r="G261" s="59" t="str">
        <f aca="false">IF(B261="","",SUMIF(取込チェック!$C$6:$C$505,B261,取込チェック!$D$6:$D$505))</f>
        <v/>
      </c>
      <c r="H261" s="59" t="str">
        <f aca="false">IF(B261="","",SUMIF(取込チェック!$C$6:$C$505,B261,取込チェック!$E$6:$E$505))</f>
        <v/>
      </c>
      <c r="I261" s="59" t="str">
        <f aca="false">IF(B261="","",SUMIF(取込チェック!$C$6:$C$505,B261,取込チェック!$F$6:$F$505))</f>
        <v/>
      </c>
      <c r="J261" s="60" t="str">
        <f aca="false">IF(F261&lt;&gt;1,"",IF(H261=0,-1,G261/H261))</f>
        <v/>
      </c>
      <c r="K261" s="58" t="str">
        <f aca="false">IF(F261&lt;&gt;1,"",COUNTIFS($E$5:$E$304,E261,$F$5:$F$304,1,$J$5:$J$304,"&gt;"&amp;J261)+COUNTIFS($E$5:$E$304,E261,$F$5:$F$304,1,$J$5:$J$304,J261,$A$5:$A$304,"&lt;"&amp;A261)+1)</f>
        <v/>
      </c>
      <c r="L261" s="58" t="str">
        <f aca="false">IF(K261="","",E261&amp;"|"&amp;K261)</f>
        <v/>
      </c>
      <c r="M261" s="58" t="str">
        <f aca="false">IF(F261&lt;&gt;1,"",IF(COUNTIFS($C$5:C261,C261,$F$5:F261,1)=1,1,0))</f>
        <v/>
      </c>
      <c r="N261" s="59" t="str">
        <f aca="false">IF(M261&lt;&gt;1,"",SUMIF($C$5:$C$304,C261,$G$5:$G$304))</f>
        <v/>
      </c>
      <c r="O261" s="58" t="str">
        <f aca="false">IF(M261&lt;&gt;1,"",COUNTIFS($M$5:$M$304,1,$N$5:$N$304,"&gt;"&amp;N261)+COUNTIFS($M$5:$M$304,1,$N$5:$N$304,N261,$A$5:$A$304,"&lt;"&amp;A261)+1)</f>
        <v/>
      </c>
    </row>
    <row r="262" customFormat="false" ht="15" hidden="false" customHeight="false" outlineLevel="0" collapsed="false">
      <c r="A262" s="55" t="str">
        <f aca="false">IF(B262="","",ROW()-4)</f>
        <v/>
      </c>
      <c r="B262" s="57"/>
      <c r="C262" s="57"/>
      <c r="D262" s="57"/>
      <c r="E262" s="57"/>
      <c r="F262" s="58" t="str">
        <f aca="false">IF(B262="","",IF(COUNTIF(取込チェック!$C$6:$C$505,B262)&gt;0,1,0))</f>
        <v/>
      </c>
      <c r="G262" s="59" t="str">
        <f aca="false">IF(B262="","",SUMIF(取込チェック!$C$6:$C$505,B262,取込チェック!$D$6:$D$505))</f>
        <v/>
      </c>
      <c r="H262" s="59" t="str">
        <f aca="false">IF(B262="","",SUMIF(取込チェック!$C$6:$C$505,B262,取込チェック!$E$6:$E$505))</f>
        <v/>
      </c>
      <c r="I262" s="59" t="str">
        <f aca="false">IF(B262="","",SUMIF(取込チェック!$C$6:$C$505,B262,取込チェック!$F$6:$F$505))</f>
        <v/>
      </c>
      <c r="J262" s="60" t="str">
        <f aca="false">IF(F262&lt;&gt;1,"",IF(H262=0,-1,G262/H262))</f>
        <v/>
      </c>
      <c r="K262" s="58" t="str">
        <f aca="false">IF(F262&lt;&gt;1,"",COUNTIFS($E$5:$E$304,E262,$F$5:$F$304,1,$J$5:$J$304,"&gt;"&amp;J262)+COUNTIFS($E$5:$E$304,E262,$F$5:$F$304,1,$J$5:$J$304,J262,$A$5:$A$304,"&lt;"&amp;A262)+1)</f>
        <v/>
      </c>
      <c r="L262" s="58" t="str">
        <f aca="false">IF(K262="","",E262&amp;"|"&amp;K262)</f>
        <v/>
      </c>
      <c r="M262" s="58" t="str">
        <f aca="false">IF(F262&lt;&gt;1,"",IF(COUNTIFS($C$5:C262,C262,$F$5:F262,1)=1,1,0))</f>
        <v/>
      </c>
      <c r="N262" s="59" t="str">
        <f aca="false">IF(M262&lt;&gt;1,"",SUMIF($C$5:$C$304,C262,$G$5:$G$304))</f>
        <v/>
      </c>
      <c r="O262" s="58" t="str">
        <f aca="false">IF(M262&lt;&gt;1,"",COUNTIFS($M$5:$M$304,1,$N$5:$N$304,"&gt;"&amp;N262)+COUNTIFS($M$5:$M$304,1,$N$5:$N$304,N262,$A$5:$A$304,"&lt;"&amp;A262)+1)</f>
        <v/>
      </c>
    </row>
    <row r="263" customFormat="false" ht="15" hidden="false" customHeight="false" outlineLevel="0" collapsed="false">
      <c r="A263" s="55" t="str">
        <f aca="false">IF(B263="","",ROW()-4)</f>
        <v/>
      </c>
      <c r="B263" s="57"/>
      <c r="C263" s="57"/>
      <c r="D263" s="57"/>
      <c r="E263" s="57"/>
      <c r="F263" s="58" t="str">
        <f aca="false">IF(B263="","",IF(COUNTIF(取込チェック!$C$6:$C$505,B263)&gt;0,1,0))</f>
        <v/>
      </c>
      <c r="G263" s="59" t="str">
        <f aca="false">IF(B263="","",SUMIF(取込チェック!$C$6:$C$505,B263,取込チェック!$D$6:$D$505))</f>
        <v/>
      </c>
      <c r="H263" s="59" t="str">
        <f aca="false">IF(B263="","",SUMIF(取込チェック!$C$6:$C$505,B263,取込チェック!$E$6:$E$505))</f>
        <v/>
      </c>
      <c r="I263" s="59" t="str">
        <f aca="false">IF(B263="","",SUMIF(取込チェック!$C$6:$C$505,B263,取込チェック!$F$6:$F$505))</f>
        <v/>
      </c>
      <c r="J263" s="60" t="str">
        <f aca="false">IF(F263&lt;&gt;1,"",IF(H263=0,-1,G263/H263))</f>
        <v/>
      </c>
      <c r="K263" s="58" t="str">
        <f aca="false">IF(F263&lt;&gt;1,"",COUNTIFS($E$5:$E$304,E263,$F$5:$F$304,1,$J$5:$J$304,"&gt;"&amp;J263)+COUNTIFS($E$5:$E$304,E263,$F$5:$F$304,1,$J$5:$J$304,J263,$A$5:$A$304,"&lt;"&amp;A263)+1)</f>
        <v/>
      </c>
      <c r="L263" s="58" t="str">
        <f aca="false">IF(K263="","",E263&amp;"|"&amp;K263)</f>
        <v/>
      </c>
      <c r="M263" s="58" t="str">
        <f aca="false">IF(F263&lt;&gt;1,"",IF(COUNTIFS($C$5:C263,C263,$F$5:F263,1)=1,1,0))</f>
        <v/>
      </c>
      <c r="N263" s="59" t="str">
        <f aca="false">IF(M263&lt;&gt;1,"",SUMIF($C$5:$C$304,C263,$G$5:$G$304))</f>
        <v/>
      </c>
      <c r="O263" s="58" t="str">
        <f aca="false">IF(M263&lt;&gt;1,"",COUNTIFS($M$5:$M$304,1,$N$5:$N$304,"&gt;"&amp;N263)+COUNTIFS($M$5:$M$304,1,$N$5:$N$304,N263,$A$5:$A$304,"&lt;"&amp;A263)+1)</f>
        <v/>
      </c>
    </row>
    <row r="264" customFormat="false" ht="15" hidden="false" customHeight="false" outlineLevel="0" collapsed="false">
      <c r="A264" s="55" t="str">
        <f aca="false">IF(B264="","",ROW()-4)</f>
        <v/>
      </c>
      <c r="B264" s="57"/>
      <c r="C264" s="57"/>
      <c r="D264" s="57"/>
      <c r="E264" s="57"/>
      <c r="F264" s="58" t="str">
        <f aca="false">IF(B264="","",IF(COUNTIF(取込チェック!$C$6:$C$505,B264)&gt;0,1,0))</f>
        <v/>
      </c>
      <c r="G264" s="59" t="str">
        <f aca="false">IF(B264="","",SUMIF(取込チェック!$C$6:$C$505,B264,取込チェック!$D$6:$D$505))</f>
        <v/>
      </c>
      <c r="H264" s="59" t="str">
        <f aca="false">IF(B264="","",SUMIF(取込チェック!$C$6:$C$505,B264,取込チェック!$E$6:$E$505))</f>
        <v/>
      </c>
      <c r="I264" s="59" t="str">
        <f aca="false">IF(B264="","",SUMIF(取込チェック!$C$6:$C$505,B264,取込チェック!$F$6:$F$505))</f>
        <v/>
      </c>
      <c r="J264" s="60" t="str">
        <f aca="false">IF(F264&lt;&gt;1,"",IF(H264=0,-1,G264/H264))</f>
        <v/>
      </c>
      <c r="K264" s="58" t="str">
        <f aca="false">IF(F264&lt;&gt;1,"",COUNTIFS($E$5:$E$304,E264,$F$5:$F$304,1,$J$5:$J$304,"&gt;"&amp;J264)+COUNTIFS($E$5:$E$304,E264,$F$5:$F$304,1,$J$5:$J$304,J264,$A$5:$A$304,"&lt;"&amp;A264)+1)</f>
        <v/>
      </c>
      <c r="L264" s="58" t="str">
        <f aca="false">IF(K264="","",E264&amp;"|"&amp;K264)</f>
        <v/>
      </c>
      <c r="M264" s="58" t="str">
        <f aca="false">IF(F264&lt;&gt;1,"",IF(COUNTIFS($C$5:C264,C264,$F$5:F264,1)=1,1,0))</f>
        <v/>
      </c>
      <c r="N264" s="59" t="str">
        <f aca="false">IF(M264&lt;&gt;1,"",SUMIF($C$5:$C$304,C264,$G$5:$G$304))</f>
        <v/>
      </c>
      <c r="O264" s="58" t="str">
        <f aca="false">IF(M264&lt;&gt;1,"",COUNTIFS($M$5:$M$304,1,$N$5:$N$304,"&gt;"&amp;N264)+COUNTIFS($M$5:$M$304,1,$N$5:$N$304,N264,$A$5:$A$304,"&lt;"&amp;A264)+1)</f>
        <v/>
      </c>
    </row>
    <row r="265" customFormat="false" ht="15" hidden="false" customHeight="false" outlineLevel="0" collapsed="false">
      <c r="A265" s="55" t="str">
        <f aca="false">IF(B265="","",ROW()-4)</f>
        <v/>
      </c>
      <c r="B265" s="57"/>
      <c r="C265" s="57"/>
      <c r="D265" s="57"/>
      <c r="E265" s="57"/>
      <c r="F265" s="58" t="str">
        <f aca="false">IF(B265="","",IF(COUNTIF(取込チェック!$C$6:$C$505,B265)&gt;0,1,0))</f>
        <v/>
      </c>
      <c r="G265" s="59" t="str">
        <f aca="false">IF(B265="","",SUMIF(取込チェック!$C$6:$C$505,B265,取込チェック!$D$6:$D$505))</f>
        <v/>
      </c>
      <c r="H265" s="59" t="str">
        <f aca="false">IF(B265="","",SUMIF(取込チェック!$C$6:$C$505,B265,取込チェック!$E$6:$E$505))</f>
        <v/>
      </c>
      <c r="I265" s="59" t="str">
        <f aca="false">IF(B265="","",SUMIF(取込チェック!$C$6:$C$505,B265,取込チェック!$F$6:$F$505))</f>
        <v/>
      </c>
      <c r="J265" s="60" t="str">
        <f aca="false">IF(F265&lt;&gt;1,"",IF(H265=0,-1,G265/H265))</f>
        <v/>
      </c>
      <c r="K265" s="58" t="str">
        <f aca="false">IF(F265&lt;&gt;1,"",COUNTIFS($E$5:$E$304,E265,$F$5:$F$304,1,$J$5:$J$304,"&gt;"&amp;J265)+COUNTIFS($E$5:$E$304,E265,$F$5:$F$304,1,$J$5:$J$304,J265,$A$5:$A$304,"&lt;"&amp;A265)+1)</f>
        <v/>
      </c>
      <c r="L265" s="58" t="str">
        <f aca="false">IF(K265="","",E265&amp;"|"&amp;K265)</f>
        <v/>
      </c>
      <c r="M265" s="58" t="str">
        <f aca="false">IF(F265&lt;&gt;1,"",IF(COUNTIFS($C$5:C265,C265,$F$5:F265,1)=1,1,0))</f>
        <v/>
      </c>
      <c r="N265" s="59" t="str">
        <f aca="false">IF(M265&lt;&gt;1,"",SUMIF($C$5:$C$304,C265,$G$5:$G$304))</f>
        <v/>
      </c>
      <c r="O265" s="58" t="str">
        <f aca="false">IF(M265&lt;&gt;1,"",COUNTIFS($M$5:$M$304,1,$N$5:$N$304,"&gt;"&amp;N265)+COUNTIFS($M$5:$M$304,1,$N$5:$N$304,N265,$A$5:$A$304,"&lt;"&amp;A265)+1)</f>
        <v/>
      </c>
    </row>
    <row r="266" customFormat="false" ht="15" hidden="false" customHeight="false" outlineLevel="0" collapsed="false">
      <c r="A266" s="55" t="str">
        <f aca="false">IF(B266="","",ROW()-4)</f>
        <v/>
      </c>
      <c r="B266" s="57"/>
      <c r="C266" s="57"/>
      <c r="D266" s="57"/>
      <c r="E266" s="57"/>
      <c r="F266" s="58" t="str">
        <f aca="false">IF(B266="","",IF(COUNTIF(取込チェック!$C$6:$C$505,B266)&gt;0,1,0))</f>
        <v/>
      </c>
      <c r="G266" s="59" t="str">
        <f aca="false">IF(B266="","",SUMIF(取込チェック!$C$6:$C$505,B266,取込チェック!$D$6:$D$505))</f>
        <v/>
      </c>
      <c r="H266" s="59" t="str">
        <f aca="false">IF(B266="","",SUMIF(取込チェック!$C$6:$C$505,B266,取込チェック!$E$6:$E$505))</f>
        <v/>
      </c>
      <c r="I266" s="59" t="str">
        <f aca="false">IF(B266="","",SUMIF(取込チェック!$C$6:$C$505,B266,取込チェック!$F$6:$F$505))</f>
        <v/>
      </c>
      <c r="J266" s="60" t="str">
        <f aca="false">IF(F266&lt;&gt;1,"",IF(H266=0,-1,G266/H266))</f>
        <v/>
      </c>
      <c r="K266" s="58" t="str">
        <f aca="false">IF(F266&lt;&gt;1,"",COUNTIFS($E$5:$E$304,E266,$F$5:$F$304,1,$J$5:$J$304,"&gt;"&amp;J266)+COUNTIFS($E$5:$E$304,E266,$F$5:$F$304,1,$J$5:$J$304,J266,$A$5:$A$304,"&lt;"&amp;A266)+1)</f>
        <v/>
      </c>
      <c r="L266" s="58" t="str">
        <f aca="false">IF(K266="","",E266&amp;"|"&amp;K266)</f>
        <v/>
      </c>
      <c r="M266" s="58" t="str">
        <f aca="false">IF(F266&lt;&gt;1,"",IF(COUNTIFS($C$5:C266,C266,$F$5:F266,1)=1,1,0))</f>
        <v/>
      </c>
      <c r="N266" s="59" t="str">
        <f aca="false">IF(M266&lt;&gt;1,"",SUMIF($C$5:$C$304,C266,$G$5:$G$304))</f>
        <v/>
      </c>
      <c r="O266" s="58" t="str">
        <f aca="false">IF(M266&lt;&gt;1,"",COUNTIFS($M$5:$M$304,1,$N$5:$N$304,"&gt;"&amp;N266)+COUNTIFS($M$5:$M$304,1,$N$5:$N$304,N266,$A$5:$A$304,"&lt;"&amp;A266)+1)</f>
        <v/>
      </c>
    </row>
    <row r="267" customFormat="false" ht="15" hidden="false" customHeight="false" outlineLevel="0" collapsed="false">
      <c r="A267" s="55" t="str">
        <f aca="false">IF(B267="","",ROW()-4)</f>
        <v/>
      </c>
      <c r="B267" s="57"/>
      <c r="C267" s="57"/>
      <c r="D267" s="57"/>
      <c r="E267" s="57"/>
      <c r="F267" s="58" t="str">
        <f aca="false">IF(B267="","",IF(COUNTIF(取込チェック!$C$6:$C$505,B267)&gt;0,1,0))</f>
        <v/>
      </c>
      <c r="G267" s="59" t="str">
        <f aca="false">IF(B267="","",SUMIF(取込チェック!$C$6:$C$505,B267,取込チェック!$D$6:$D$505))</f>
        <v/>
      </c>
      <c r="H267" s="59" t="str">
        <f aca="false">IF(B267="","",SUMIF(取込チェック!$C$6:$C$505,B267,取込チェック!$E$6:$E$505))</f>
        <v/>
      </c>
      <c r="I267" s="59" t="str">
        <f aca="false">IF(B267="","",SUMIF(取込チェック!$C$6:$C$505,B267,取込チェック!$F$6:$F$505))</f>
        <v/>
      </c>
      <c r="J267" s="60" t="str">
        <f aca="false">IF(F267&lt;&gt;1,"",IF(H267=0,-1,G267/H267))</f>
        <v/>
      </c>
      <c r="K267" s="58" t="str">
        <f aca="false">IF(F267&lt;&gt;1,"",COUNTIFS($E$5:$E$304,E267,$F$5:$F$304,1,$J$5:$J$304,"&gt;"&amp;J267)+COUNTIFS($E$5:$E$304,E267,$F$5:$F$304,1,$J$5:$J$304,J267,$A$5:$A$304,"&lt;"&amp;A267)+1)</f>
        <v/>
      </c>
      <c r="L267" s="58" t="str">
        <f aca="false">IF(K267="","",E267&amp;"|"&amp;K267)</f>
        <v/>
      </c>
      <c r="M267" s="58" t="str">
        <f aca="false">IF(F267&lt;&gt;1,"",IF(COUNTIFS($C$5:C267,C267,$F$5:F267,1)=1,1,0))</f>
        <v/>
      </c>
      <c r="N267" s="59" t="str">
        <f aca="false">IF(M267&lt;&gt;1,"",SUMIF($C$5:$C$304,C267,$G$5:$G$304))</f>
        <v/>
      </c>
      <c r="O267" s="58" t="str">
        <f aca="false">IF(M267&lt;&gt;1,"",COUNTIFS($M$5:$M$304,1,$N$5:$N$304,"&gt;"&amp;N267)+COUNTIFS($M$5:$M$304,1,$N$5:$N$304,N267,$A$5:$A$304,"&lt;"&amp;A267)+1)</f>
        <v/>
      </c>
    </row>
    <row r="268" customFormat="false" ht="15" hidden="false" customHeight="false" outlineLevel="0" collapsed="false">
      <c r="A268" s="55" t="str">
        <f aca="false">IF(B268="","",ROW()-4)</f>
        <v/>
      </c>
      <c r="B268" s="57"/>
      <c r="C268" s="57"/>
      <c r="D268" s="57"/>
      <c r="E268" s="57"/>
      <c r="F268" s="58" t="str">
        <f aca="false">IF(B268="","",IF(COUNTIF(取込チェック!$C$6:$C$505,B268)&gt;0,1,0))</f>
        <v/>
      </c>
      <c r="G268" s="59" t="str">
        <f aca="false">IF(B268="","",SUMIF(取込チェック!$C$6:$C$505,B268,取込チェック!$D$6:$D$505))</f>
        <v/>
      </c>
      <c r="H268" s="59" t="str">
        <f aca="false">IF(B268="","",SUMIF(取込チェック!$C$6:$C$505,B268,取込チェック!$E$6:$E$505))</f>
        <v/>
      </c>
      <c r="I268" s="59" t="str">
        <f aca="false">IF(B268="","",SUMIF(取込チェック!$C$6:$C$505,B268,取込チェック!$F$6:$F$505))</f>
        <v/>
      </c>
      <c r="J268" s="60" t="str">
        <f aca="false">IF(F268&lt;&gt;1,"",IF(H268=0,-1,G268/H268))</f>
        <v/>
      </c>
      <c r="K268" s="58" t="str">
        <f aca="false">IF(F268&lt;&gt;1,"",COUNTIFS($E$5:$E$304,E268,$F$5:$F$304,1,$J$5:$J$304,"&gt;"&amp;J268)+COUNTIFS($E$5:$E$304,E268,$F$5:$F$304,1,$J$5:$J$304,J268,$A$5:$A$304,"&lt;"&amp;A268)+1)</f>
        <v/>
      </c>
      <c r="L268" s="58" t="str">
        <f aca="false">IF(K268="","",E268&amp;"|"&amp;K268)</f>
        <v/>
      </c>
      <c r="M268" s="58" t="str">
        <f aca="false">IF(F268&lt;&gt;1,"",IF(COUNTIFS($C$5:C268,C268,$F$5:F268,1)=1,1,0))</f>
        <v/>
      </c>
      <c r="N268" s="59" t="str">
        <f aca="false">IF(M268&lt;&gt;1,"",SUMIF($C$5:$C$304,C268,$G$5:$G$304))</f>
        <v/>
      </c>
      <c r="O268" s="58" t="str">
        <f aca="false">IF(M268&lt;&gt;1,"",COUNTIFS($M$5:$M$304,1,$N$5:$N$304,"&gt;"&amp;N268)+COUNTIFS($M$5:$M$304,1,$N$5:$N$304,N268,$A$5:$A$304,"&lt;"&amp;A268)+1)</f>
        <v/>
      </c>
    </row>
    <row r="269" customFormat="false" ht="15" hidden="false" customHeight="false" outlineLevel="0" collapsed="false">
      <c r="A269" s="55" t="str">
        <f aca="false">IF(B269="","",ROW()-4)</f>
        <v/>
      </c>
      <c r="B269" s="57"/>
      <c r="C269" s="57"/>
      <c r="D269" s="57"/>
      <c r="E269" s="57"/>
      <c r="F269" s="58" t="str">
        <f aca="false">IF(B269="","",IF(COUNTIF(取込チェック!$C$6:$C$505,B269)&gt;0,1,0))</f>
        <v/>
      </c>
      <c r="G269" s="59" t="str">
        <f aca="false">IF(B269="","",SUMIF(取込チェック!$C$6:$C$505,B269,取込チェック!$D$6:$D$505))</f>
        <v/>
      </c>
      <c r="H269" s="59" t="str">
        <f aca="false">IF(B269="","",SUMIF(取込チェック!$C$6:$C$505,B269,取込チェック!$E$6:$E$505))</f>
        <v/>
      </c>
      <c r="I269" s="59" t="str">
        <f aca="false">IF(B269="","",SUMIF(取込チェック!$C$6:$C$505,B269,取込チェック!$F$6:$F$505))</f>
        <v/>
      </c>
      <c r="J269" s="60" t="str">
        <f aca="false">IF(F269&lt;&gt;1,"",IF(H269=0,-1,G269/H269))</f>
        <v/>
      </c>
      <c r="K269" s="58" t="str">
        <f aca="false">IF(F269&lt;&gt;1,"",COUNTIFS($E$5:$E$304,E269,$F$5:$F$304,1,$J$5:$J$304,"&gt;"&amp;J269)+COUNTIFS($E$5:$E$304,E269,$F$5:$F$304,1,$J$5:$J$304,J269,$A$5:$A$304,"&lt;"&amp;A269)+1)</f>
        <v/>
      </c>
      <c r="L269" s="58" t="str">
        <f aca="false">IF(K269="","",E269&amp;"|"&amp;K269)</f>
        <v/>
      </c>
      <c r="M269" s="58" t="str">
        <f aca="false">IF(F269&lt;&gt;1,"",IF(COUNTIFS($C$5:C269,C269,$F$5:F269,1)=1,1,0))</f>
        <v/>
      </c>
      <c r="N269" s="59" t="str">
        <f aca="false">IF(M269&lt;&gt;1,"",SUMIF($C$5:$C$304,C269,$G$5:$G$304))</f>
        <v/>
      </c>
      <c r="O269" s="58" t="str">
        <f aca="false">IF(M269&lt;&gt;1,"",COUNTIFS($M$5:$M$304,1,$N$5:$N$304,"&gt;"&amp;N269)+COUNTIFS($M$5:$M$304,1,$N$5:$N$304,N269,$A$5:$A$304,"&lt;"&amp;A269)+1)</f>
        <v/>
      </c>
    </row>
    <row r="270" customFormat="false" ht="15" hidden="false" customHeight="false" outlineLevel="0" collapsed="false">
      <c r="A270" s="55" t="str">
        <f aca="false">IF(B270="","",ROW()-4)</f>
        <v/>
      </c>
      <c r="B270" s="57"/>
      <c r="C270" s="57"/>
      <c r="D270" s="57"/>
      <c r="E270" s="57"/>
      <c r="F270" s="58" t="str">
        <f aca="false">IF(B270="","",IF(COUNTIF(取込チェック!$C$6:$C$505,B270)&gt;0,1,0))</f>
        <v/>
      </c>
      <c r="G270" s="59" t="str">
        <f aca="false">IF(B270="","",SUMIF(取込チェック!$C$6:$C$505,B270,取込チェック!$D$6:$D$505))</f>
        <v/>
      </c>
      <c r="H270" s="59" t="str">
        <f aca="false">IF(B270="","",SUMIF(取込チェック!$C$6:$C$505,B270,取込チェック!$E$6:$E$505))</f>
        <v/>
      </c>
      <c r="I270" s="59" t="str">
        <f aca="false">IF(B270="","",SUMIF(取込チェック!$C$6:$C$505,B270,取込チェック!$F$6:$F$505))</f>
        <v/>
      </c>
      <c r="J270" s="60" t="str">
        <f aca="false">IF(F270&lt;&gt;1,"",IF(H270=0,-1,G270/H270))</f>
        <v/>
      </c>
      <c r="K270" s="58" t="str">
        <f aca="false">IF(F270&lt;&gt;1,"",COUNTIFS($E$5:$E$304,E270,$F$5:$F$304,1,$J$5:$J$304,"&gt;"&amp;J270)+COUNTIFS($E$5:$E$304,E270,$F$5:$F$304,1,$J$5:$J$304,J270,$A$5:$A$304,"&lt;"&amp;A270)+1)</f>
        <v/>
      </c>
      <c r="L270" s="58" t="str">
        <f aca="false">IF(K270="","",E270&amp;"|"&amp;K270)</f>
        <v/>
      </c>
      <c r="M270" s="58" t="str">
        <f aca="false">IF(F270&lt;&gt;1,"",IF(COUNTIFS($C$5:C270,C270,$F$5:F270,1)=1,1,0))</f>
        <v/>
      </c>
      <c r="N270" s="59" t="str">
        <f aca="false">IF(M270&lt;&gt;1,"",SUMIF($C$5:$C$304,C270,$G$5:$G$304))</f>
        <v/>
      </c>
      <c r="O270" s="58" t="str">
        <f aca="false">IF(M270&lt;&gt;1,"",COUNTIFS($M$5:$M$304,1,$N$5:$N$304,"&gt;"&amp;N270)+COUNTIFS($M$5:$M$304,1,$N$5:$N$304,N270,$A$5:$A$304,"&lt;"&amp;A270)+1)</f>
        <v/>
      </c>
    </row>
    <row r="271" customFormat="false" ht="15" hidden="false" customHeight="false" outlineLevel="0" collapsed="false">
      <c r="A271" s="55" t="str">
        <f aca="false">IF(B271="","",ROW()-4)</f>
        <v/>
      </c>
      <c r="B271" s="57"/>
      <c r="C271" s="57"/>
      <c r="D271" s="57"/>
      <c r="E271" s="57"/>
      <c r="F271" s="58" t="str">
        <f aca="false">IF(B271="","",IF(COUNTIF(取込チェック!$C$6:$C$505,B271)&gt;0,1,0))</f>
        <v/>
      </c>
      <c r="G271" s="59" t="str">
        <f aca="false">IF(B271="","",SUMIF(取込チェック!$C$6:$C$505,B271,取込チェック!$D$6:$D$505))</f>
        <v/>
      </c>
      <c r="H271" s="59" t="str">
        <f aca="false">IF(B271="","",SUMIF(取込チェック!$C$6:$C$505,B271,取込チェック!$E$6:$E$505))</f>
        <v/>
      </c>
      <c r="I271" s="59" t="str">
        <f aca="false">IF(B271="","",SUMIF(取込チェック!$C$6:$C$505,B271,取込チェック!$F$6:$F$505))</f>
        <v/>
      </c>
      <c r="J271" s="60" t="str">
        <f aca="false">IF(F271&lt;&gt;1,"",IF(H271=0,-1,G271/H271))</f>
        <v/>
      </c>
      <c r="K271" s="58" t="str">
        <f aca="false">IF(F271&lt;&gt;1,"",COUNTIFS($E$5:$E$304,E271,$F$5:$F$304,1,$J$5:$J$304,"&gt;"&amp;J271)+COUNTIFS($E$5:$E$304,E271,$F$5:$F$304,1,$J$5:$J$304,J271,$A$5:$A$304,"&lt;"&amp;A271)+1)</f>
        <v/>
      </c>
      <c r="L271" s="58" t="str">
        <f aca="false">IF(K271="","",E271&amp;"|"&amp;K271)</f>
        <v/>
      </c>
      <c r="M271" s="58" t="str">
        <f aca="false">IF(F271&lt;&gt;1,"",IF(COUNTIFS($C$5:C271,C271,$F$5:F271,1)=1,1,0))</f>
        <v/>
      </c>
      <c r="N271" s="59" t="str">
        <f aca="false">IF(M271&lt;&gt;1,"",SUMIF($C$5:$C$304,C271,$G$5:$G$304))</f>
        <v/>
      </c>
      <c r="O271" s="58" t="str">
        <f aca="false">IF(M271&lt;&gt;1,"",COUNTIFS($M$5:$M$304,1,$N$5:$N$304,"&gt;"&amp;N271)+COUNTIFS($M$5:$M$304,1,$N$5:$N$304,N271,$A$5:$A$304,"&lt;"&amp;A271)+1)</f>
        <v/>
      </c>
    </row>
    <row r="272" customFormat="false" ht="15" hidden="false" customHeight="false" outlineLevel="0" collapsed="false">
      <c r="A272" s="55" t="str">
        <f aca="false">IF(B272="","",ROW()-4)</f>
        <v/>
      </c>
      <c r="B272" s="57"/>
      <c r="C272" s="57"/>
      <c r="D272" s="57"/>
      <c r="E272" s="57"/>
      <c r="F272" s="58" t="str">
        <f aca="false">IF(B272="","",IF(COUNTIF(取込チェック!$C$6:$C$505,B272)&gt;0,1,0))</f>
        <v/>
      </c>
      <c r="G272" s="59" t="str">
        <f aca="false">IF(B272="","",SUMIF(取込チェック!$C$6:$C$505,B272,取込チェック!$D$6:$D$505))</f>
        <v/>
      </c>
      <c r="H272" s="59" t="str">
        <f aca="false">IF(B272="","",SUMIF(取込チェック!$C$6:$C$505,B272,取込チェック!$E$6:$E$505))</f>
        <v/>
      </c>
      <c r="I272" s="59" t="str">
        <f aca="false">IF(B272="","",SUMIF(取込チェック!$C$6:$C$505,B272,取込チェック!$F$6:$F$505))</f>
        <v/>
      </c>
      <c r="J272" s="60" t="str">
        <f aca="false">IF(F272&lt;&gt;1,"",IF(H272=0,-1,G272/H272))</f>
        <v/>
      </c>
      <c r="K272" s="58" t="str">
        <f aca="false">IF(F272&lt;&gt;1,"",COUNTIFS($E$5:$E$304,E272,$F$5:$F$304,1,$J$5:$J$304,"&gt;"&amp;J272)+COUNTIFS($E$5:$E$304,E272,$F$5:$F$304,1,$J$5:$J$304,J272,$A$5:$A$304,"&lt;"&amp;A272)+1)</f>
        <v/>
      </c>
      <c r="L272" s="58" t="str">
        <f aca="false">IF(K272="","",E272&amp;"|"&amp;K272)</f>
        <v/>
      </c>
      <c r="M272" s="58" t="str">
        <f aca="false">IF(F272&lt;&gt;1,"",IF(COUNTIFS($C$5:C272,C272,$F$5:F272,1)=1,1,0))</f>
        <v/>
      </c>
      <c r="N272" s="59" t="str">
        <f aca="false">IF(M272&lt;&gt;1,"",SUMIF($C$5:$C$304,C272,$G$5:$G$304))</f>
        <v/>
      </c>
      <c r="O272" s="58" t="str">
        <f aca="false">IF(M272&lt;&gt;1,"",COUNTIFS($M$5:$M$304,1,$N$5:$N$304,"&gt;"&amp;N272)+COUNTIFS($M$5:$M$304,1,$N$5:$N$304,N272,$A$5:$A$304,"&lt;"&amp;A272)+1)</f>
        <v/>
      </c>
    </row>
    <row r="273" customFormat="false" ht="15" hidden="false" customHeight="false" outlineLevel="0" collapsed="false">
      <c r="A273" s="55" t="str">
        <f aca="false">IF(B273="","",ROW()-4)</f>
        <v/>
      </c>
      <c r="B273" s="57"/>
      <c r="C273" s="57"/>
      <c r="D273" s="57"/>
      <c r="E273" s="57"/>
      <c r="F273" s="58" t="str">
        <f aca="false">IF(B273="","",IF(COUNTIF(取込チェック!$C$6:$C$505,B273)&gt;0,1,0))</f>
        <v/>
      </c>
      <c r="G273" s="59" t="str">
        <f aca="false">IF(B273="","",SUMIF(取込チェック!$C$6:$C$505,B273,取込チェック!$D$6:$D$505))</f>
        <v/>
      </c>
      <c r="H273" s="59" t="str">
        <f aca="false">IF(B273="","",SUMIF(取込チェック!$C$6:$C$505,B273,取込チェック!$E$6:$E$505))</f>
        <v/>
      </c>
      <c r="I273" s="59" t="str">
        <f aca="false">IF(B273="","",SUMIF(取込チェック!$C$6:$C$505,B273,取込チェック!$F$6:$F$505))</f>
        <v/>
      </c>
      <c r="J273" s="60" t="str">
        <f aca="false">IF(F273&lt;&gt;1,"",IF(H273=0,-1,G273/H273))</f>
        <v/>
      </c>
      <c r="K273" s="58" t="str">
        <f aca="false">IF(F273&lt;&gt;1,"",COUNTIFS($E$5:$E$304,E273,$F$5:$F$304,1,$J$5:$J$304,"&gt;"&amp;J273)+COUNTIFS($E$5:$E$304,E273,$F$5:$F$304,1,$J$5:$J$304,J273,$A$5:$A$304,"&lt;"&amp;A273)+1)</f>
        <v/>
      </c>
      <c r="L273" s="58" t="str">
        <f aca="false">IF(K273="","",E273&amp;"|"&amp;K273)</f>
        <v/>
      </c>
      <c r="M273" s="58" t="str">
        <f aca="false">IF(F273&lt;&gt;1,"",IF(COUNTIFS($C$5:C273,C273,$F$5:F273,1)=1,1,0))</f>
        <v/>
      </c>
      <c r="N273" s="59" t="str">
        <f aca="false">IF(M273&lt;&gt;1,"",SUMIF($C$5:$C$304,C273,$G$5:$G$304))</f>
        <v/>
      </c>
      <c r="O273" s="58" t="str">
        <f aca="false">IF(M273&lt;&gt;1,"",COUNTIFS($M$5:$M$304,1,$N$5:$N$304,"&gt;"&amp;N273)+COUNTIFS($M$5:$M$304,1,$N$5:$N$304,N273,$A$5:$A$304,"&lt;"&amp;A273)+1)</f>
        <v/>
      </c>
    </row>
    <row r="274" customFormat="false" ht="15" hidden="false" customHeight="false" outlineLevel="0" collapsed="false">
      <c r="A274" s="55" t="str">
        <f aca="false">IF(B274="","",ROW()-4)</f>
        <v/>
      </c>
      <c r="B274" s="57"/>
      <c r="C274" s="57"/>
      <c r="D274" s="57"/>
      <c r="E274" s="57"/>
      <c r="F274" s="58" t="str">
        <f aca="false">IF(B274="","",IF(COUNTIF(取込チェック!$C$6:$C$505,B274)&gt;0,1,0))</f>
        <v/>
      </c>
      <c r="G274" s="59" t="str">
        <f aca="false">IF(B274="","",SUMIF(取込チェック!$C$6:$C$505,B274,取込チェック!$D$6:$D$505))</f>
        <v/>
      </c>
      <c r="H274" s="59" t="str">
        <f aca="false">IF(B274="","",SUMIF(取込チェック!$C$6:$C$505,B274,取込チェック!$E$6:$E$505))</f>
        <v/>
      </c>
      <c r="I274" s="59" t="str">
        <f aca="false">IF(B274="","",SUMIF(取込チェック!$C$6:$C$505,B274,取込チェック!$F$6:$F$505))</f>
        <v/>
      </c>
      <c r="J274" s="60" t="str">
        <f aca="false">IF(F274&lt;&gt;1,"",IF(H274=0,-1,G274/H274))</f>
        <v/>
      </c>
      <c r="K274" s="58" t="str">
        <f aca="false">IF(F274&lt;&gt;1,"",COUNTIFS($E$5:$E$304,E274,$F$5:$F$304,1,$J$5:$J$304,"&gt;"&amp;J274)+COUNTIFS($E$5:$E$304,E274,$F$5:$F$304,1,$J$5:$J$304,J274,$A$5:$A$304,"&lt;"&amp;A274)+1)</f>
        <v/>
      </c>
      <c r="L274" s="58" t="str">
        <f aca="false">IF(K274="","",E274&amp;"|"&amp;K274)</f>
        <v/>
      </c>
      <c r="M274" s="58" t="str">
        <f aca="false">IF(F274&lt;&gt;1,"",IF(COUNTIFS($C$5:C274,C274,$F$5:F274,1)=1,1,0))</f>
        <v/>
      </c>
      <c r="N274" s="59" t="str">
        <f aca="false">IF(M274&lt;&gt;1,"",SUMIF($C$5:$C$304,C274,$G$5:$G$304))</f>
        <v/>
      </c>
      <c r="O274" s="58" t="str">
        <f aca="false">IF(M274&lt;&gt;1,"",COUNTIFS($M$5:$M$304,1,$N$5:$N$304,"&gt;"&amp;N274)+COUNTIFS($M$5:$M$304,1,$N$5:$N$304,N274,$A$5:$A$304,"&lt;"&amp;A274)+1)</f>
        <v/>
      </c>
    </row>
    <row r="275" customFormat="false" ht="15" hidden="false" customHeight="false" outlineLevel="0" collapsed="false">
      <c r="A275" s="55" t="str">
        <f aca="false">IF(B275="","",ROW()-4)</f>
        <v/>
      </c>
      <c r="B275" s="57"/>
      <c r="C275" s="57"/>
      <c r="D275" s="57"/>
      <c r="E275" s="57"/>
      <c r="F275" s="58" t="str">
        <f aca="false">IF(B275="","",IF(COUNTIF(取込チェック!$C$6:$C$505,B275)&gt;0,1,0))</f>
        <v/>
      </c>
      <c r="G275" s="59" t="str">
        <f aca="false">IF(B275="","",SUMIF(取込チェック!$C$6:$C$505,B275,取込チェック!$D$6:$D$505))</f>
        <v/>
      </c>
      <c r="H275" s="59" t="str">
        <f aca="false">IF(B275="","",SUMIF(取込チェック!$C$6:$C$505,B275,取込チェック!$E$6:$E$505))</f>
        <v/>
      </c>
      <c r="I275" s="59" t="str">
        <f aca="false">IF(B275="","",SUMIF(取込チェック!$C$6:$C$505,B275,取込チェック!$F$6:$F$505))</f>
        <v/>
      </c>
      <c r="J275" s="60" t="str">
        <f aca="false">IF(F275&lt;&gt;1,"",IF(H275=0,-1,G275/H275))</f>
        <v/>
      </c>
      <c r="K275" s="58" t="str">
        <f aca="false">IF(F275&lt;&gt;1,"",COUNTIFS($E$5:$E$304,E275,$F$5:$F$304,1,$J$5:$J$304,"&gt;"&amp;J275)+COUNTIFS($E$5:$E$304,E275,$F$5:$F$304,1,$J$5:$J$304,J275,$A$5:$A$304,"&lt;"&amp;A275)+1)</f>
        <v/>
      </c>
      <c r="L275" s="58" t="str">
        <f aca="false">IF(K275="","",E275&amp;"|"&amp;K275)</f>
        <v/>
      </c>
      <c r="M275" s="58" t="str">
        <f aca="false">IF(F275&lt;&gt;1,"",IF(COUNTIFS($C$5:C275,C275,$F$5:F275,1)=1,1,0))</f>
        <v/>
      </c>
      <c r="N275" s="59" t="str">
        <f aca="false">IF(M275&lt;&gt;1,"",SUMIF($C$5:$C$304,C275,$G$5:$G$304))</f>
        <v/>
      </c>
      <c r="O275" s="58" t="str">
        <f aca="false">IF(M275&lt;&gt;1,"",COUNTIFS($M$5:$M$304,1,$N$5:$N$304,"&gt;"&amp;N275)+COUNTIFS($M$5:$M$304,1,$N$5:$N$304,N275,$A$5:$A$304,"&lt;"&amp;A275)+1)</f>
        <v/>
      </c>
    </row>
    <row r="276" customFormat="false" ht="15" hidden="false" customHeight="false" outlineLevel="0" collapsed="false">
      <c r="A276" s="55" t="str">
        <f aca="false">IF(B276="","",ROW()-4)</f>
        <v/>
      </c>
      <c r="B276" s="57"/>
      <c r="C276" s="57"/>
      <c r="D276" s="57"/>
      <c r="E276" s="57"/>
      <c r="F276" s="58" t="str">
        <f aca="false">IF(B276="","",IF(COUNTIF(取込チェック!$C$6:$C$505,B276)&gt;0,1,0))</f>
        <v/>
      </c>
      <c r="G276" s="59" t="str">
        <f aca="false">IF(B276="","",SUMIF(取込チェック!$C$6:$C$505,B276,取込チェック!$D$6:$D$505))</f>
        <v/>
      </c>
      <c r="H276" s="59" t="str">
        <f aca="false">IF(B276="","",SUMIF(取込チェック!$C$6:$C$505,B276,取込チェック!$E$6:$E$505))</f>
        <v/>
      </c>
      <c r="I276" s="59" t="str">
        <f aca="false">IF(B276="","",SUMIF(取込チェック!$C$6:$C$505,B276,取込チェック!$F$6:$F$505))</f>
        <v/>
      </c>
      <c r="J276" s="60" t="str">
        <f aca="false">IF(F276&lt;&gt;1,"",IF(H276=0,-1,G276/H276))</f>
        <v/>
      </c>
      <c r="K276" s="58" t="str">
        <f aca="false">IF(F276&lt;&gt;1,"",COUNTIFS($E$5:$E$304,E276,$F$5:$F$304,1,$J$5:$J$304,"&gt;"&amp;J276)+COUNTIFS($E$5:$E$304,E276,$F$5:$F$304,1,$J$5:$J$304,J276,$A$5:$A$304,"&lt;"&amp;A276)+1)</f>
        <v/>
      </c>
      <c r="L276" s="58" t="str">
        <f aca="false">IF(K276="","",E276&amp;"|"&amp;K276)</f>
        <v/>
      </c>
      <c r="M276" s="58" t="str">
        <f aca="false">IF(F276&lt;&gt;1,"",IF(COUNTIFS($C$5:C276,C276,$F$5:F276,1)=1,1,0))</f>
        <v/>
      </c>
      <c r="N276" s="59" t="str">
        <f aca="false">IF(M276&lt;&gt;1,"",SUMIF($C$5:$C$304,C276,$G$5:$G$304))</f>
        <v/>
      </c>
      <c r="O276" s="58" t="str">
        <f aca="false">IF(M276&lt;&gt;1,"",COUNTIFS($M$5:$M$304,1,$N$5:$N$304,"&gt;"&amp;N276)+COUNTIFS($M$5:$M$304,1,$N$5:$N$304,N276,$A$5:$A$304,"&lt;"&amp;A276)+1)</f>
        <v/>
      </c>
    </row>
    <row r="277" customFormat="false" ht="15" hidden="false" customHeight="false" outlineLevel="0" collapsed="false">
      <c r="A277" s="55" t="str">
        <f aca="false">IF(B277="","",ROW()-4)</f>
        <v/>
      </c>
      <c r="B277" s="57"/>
      <c r="C277" s="57"/>
      <c r="D277" s="57"/>
      <c r="E277" s="57"/>
      <c r="F277" s="58" t="str">
        <f aca="false">IF(B277="","",IF(COUNTIF(取込チェック!$C$6:$C$505,B277)&gt;0,1,0))</f>
        <v/>
      </c>
      <c r="G277" s="59" t="str">
        <f aca="false">IF(B277="","",SUMIF(取込チェック!$C$6:$C$505,B277,取込チェック!$D$6:$D$505))</f>
        <v/>
      </c>
      <c r="H277" s="59" t="str">
        <f aca="false">IF(B277="","",SUMIF(取込チェック!$C$6:$C$505,B277,取込チェック!$E$6:$E$505))</f>
        <v/>
      </c>
      <c r="I277" s="59" t="str">
        <f aca="false">IF(B277="","",SUMIF(取込チェック!$C$6:$C$505,B277,取込チェック!$F$6:$F$505))</f>
        <v/>
      </c>
      <c r="J277" s="60" t="str">
        <f aca="false">IF(F277&lt;&gt;1,"",IF(H277=0,-1,G277/H277))</f>
        <v/>
      </c>
      <c r="K277" s="58" t="str">
        <f aca="false">IF(F277&lt;&gt;1,"",COUNTIFS($E$5:$E$304,E277,$F$5:$F$304,1,$J$5:$J$304,"&gt;"&amp;J277)+COUNTIFS($E$5:$E$304,E277,$F$5:$F$304,1,$J$5:$J$304,J277,$A$5:$A$304,"&lt;"&amp;A277)+1)</f>
        <v/>
      </c>
      <c r="L277" s="58" t="str">
        <f aca="false">IF(K277="","",E277&amp;"|"&amp;K277)</f>
        <v/>
      </c>
      <c r="M277" s="58" t="str">
        <f aca="false">IF(F277&lt;&gt;1,"",IF(COUNTIFS($C$5:C277,C277,$F$5:F277,1)=1,1,0))</f>
        <v/>
      </c>
      <c r="N277" s="59" t="str">
        <f aca="false">IF(M277&lt;&gt;1,"",SUMIF($C$5:$C$304,C277,$G$5:$G$304))</f>
        <v/>
      </c>
      <c r="O277" s="58" t="str">
        <f aca="false">IF(M277&lt;&gt;1,"",COUNTIFS($M$5:$M$304,1,$N$5:$N$304,"&gt;"&amp;N277)+COUNTIFS($M$5:$M$304,1,$N$5:$N$304,N277,$A$5:$A$304,"&lt;"&amp;A277)+1)</f>
        <v/>
      </c>
    </row>
    <row r="278" customFormat="false" ht="15" hidden="false" customHeight="false" outlineLevel="0" collapsed="false">
      <c r="A278" s="55" t="str">
        <f aca="false">IF(B278="","",ROW()-4)</f>
        <v/>
      </c>
      <c r="B278" s="57"/>
      <c r="C278" s="57"/>
      <c r="D278" s="57"/>
      <c r="E278" s="57"/>
      <c r="F278" s="58" t="str">
        <f aca="false">IF(B278="","",IF(COUNTIF(取込チェック!$C$6:$C$505,B278)&gt;0,1,0))</f>
        <v/>
      </c>
      <c r="G278" s="59" t="str">
        <f aca="false">IF(B278="","",SUMIF(取込チェック!$C$6:$C$505,B278,取込チェック!$D$6:$D$505))</f>
        <v/>
      </c>
      <c r="H278" s="59" t="str">
        <f aca="false">IF(B278="","",SUMIF(取込チェック!$C$6:$C$505,B278,取込チェック!$E$6:$E$505))</f>
        <v/>
      </c>
      <c r="I278" s="59" t="str">
        <f aca="false">IF(B278="","",SUMIF(取込チェック!$C$6:$C$505,B278,取込チェック!$F$6:$F$505))</f>
        <v/>
      </c>
      <c r="J278" s="60" t="str">
        <f aca="false">IF(F278&lt;&gt;1,"",IF(H278=0,-1,G278/H278))</f>
        <v/>
      </c>
      <c r="K278" s="58" t="str">
        <f aca="false">IF(F278&lt;&gt;1,"",COUNTIFS($E$5:$E$304,E278,$F$5:$F$304,1,$J$5:$J$304,"&gt;"&amp;J278)+COUNTIFS($E$5:$E$304,E278,$F$5:$F$304,1,$J$5:$J$304,J278,$A$5:$A$304,"&lt;"&amp;A278)+1)</f>
        <v/>
      </c>
      <c r="L278" s="58" t="str">
        <f aca="false">IF(K278="","",E278&amp;"|"&amp;K278)</f>
        <v/>
      </c>
      <c r="M278" s="58" t="str">
        <f aca="false">IF(F278&lt;&gt;1,"",IF(COUNTIFS($C$5:C278,C278,$F$5:F278,1)=1,1,0))</f>
        <v/>
      </c>
      <c r="N278" s="59" t="str">
        <f aca="false">IF(M278&lt;&gt;1,"",SUMIF($C$5:$C$304,C278,$G$5:$G$304))</f>
        <v/>
      </c>
      <c r="O278" s="58" t="str">
        <f aca="false">IF(M278&lt;&gt;1,"",COUNTIFS($M$5:$M$304,1,$N$5:$N$304,"&gt;"&amp;N278)+COUNTIFS($M$5:$M$304,1,$N$5:$N$304,N278,$A$5:$A$304,"&lt;"&amp;A278)+1)</f>
        <v/>
      </c>
    </row>
    <row r="279" customFormat="false" ht="15" hidden="false" customHeight="false" outlineLevel="0" collapsed="false">
      <c r="A279" s="55" t="str">
        <f aca="false">IF(B279="","",ROW()-4)</f>
        <v/>
      </c>
      <c r="B279" s="57"/>
      <c r="C279" s="57"/>
      <c r="D279" s="57"/>
      <c r="E279" s="57"/>
      <c r="F279" s="58" t="str">
        <f aca="false">IF(B279="","",IF(COUNTIF(取込チェック!$C$6:$C$505,B279)&gt;0,1,0))</f>
        <v/>
      </c>
      <c r="G279" s="59" t="str">
        <f aca="false">IF(B279="","",SUMIF(取込チェック!$C$6:$C$505,B279,取込チェック!$D$6:$D$505))</f>
        <v/>
      </c>
      <c r="H279" s="59" t="str">
        <f aca="false">IF(B279="","",SUMIF(取込チェック!$C$6:$C$505,B279,取込チェック!$E$6:$E$505))</f>
        <v/>
      </c>
      <c r="I279" s="59" t="str">
        <f aca="false">IF(B279="","",SUMIF(取込チェック!$C$6:$C$505,B279,取込チェック!$F$6:$F$505))</f>
        <v/>
      </c>
      <c r="J279" s="60" t="str">
        <f aca="false">IF(F279&lt;&gt;1,"",IF(H279=0,-1,G279/H279))</f>
        <v/>
      </c>
      <c r="K279" s="58" t="str">
        <f aca="false">IF(F279&lt;&gt;1,"",COUNTIFS($E$5:$E$304,E279,$F$5:$F$304,1,$J$5:$J$304,"&gt;"&amp;J279)+COUNTIFS($E$5:$E$304,E279,$F$5:$F$304,1,$J$5:$J$304,J279,$A$5:$A$304,"&lt;"&amp;A279)+1)</f>
        <v/>
      </c>
      <c r="L279" s="58" t="str">
        <f aca="false">IF(K279="","",E279&amp;"|"&amp;K279)</f>
        <v/>
      </c>
      <c r="M279" s="58" t="str">
        <f aca="false">IF(F279&lt;&gt;1,"",IF(COUNTIFS($C$5:C279,C279,$F$5:F279,1)=1,1,0))</f>
        <v/>
      </c>
      <c r="N279" s="59" t="str">
        <f aca="false">IF(M279&lt;&gt;1,"",SUMIF($C$5:$C$304,C279,$G$5:$G$304))</f>
        <v/>
      </c>
      <c r="O279" s="58" t="str">
        <f aca="false">IF(M279&lt;&gt;1,"",COUNTIFS($M$5:$M$304,1,$N$5:$N$304,"&gt;"&amp;N279)+COUNTIFS($M$5:$M$304,1,$N$5:$N$304,N279,$A$5:$A$304,"&lt;"&amp;A279)+1)</f>
        <v/>
      </c>
    </row>
    <row r="280" customFormat="false" ht="15" hidden="false" customHeight="false" outlineLevel="0" collapsed="false">
      <c r="A280" s="55" t="str">
        <f aca="false">IF(B280="","",ROW()-4)</f>
        <v/>
      </c>
      <c r="B280" s="57"/>
      <c r="C280" s="57"/>
      <c r="D280" s="57"/>
      <c r="E280" s="57"/>
      <c r="F280" s="58" t="str">
        <f aca="false">IF(B280="","",IF(COUNTIF(取込チェック!$C$6:$C$505,B280)&gt;0,1,0))</f>
        <v/>
      </c>
      <c r="G280" s="59" t="str">
        <f aca="false">IF(B280="","",SUMIF(取込チェック!$C$6:$C$505,B280,取込チェック!$D$6:$D$505))</f>
        <v/>
      </c>
      <c r="H280" s="59" t="str">
        <f aca="false">IF(B280="","",SUMIF(取込チェック!$C$6:$C$505,B280,取込チェック!$E$6:$E$505))</f>
        <v/>
      </c>
      <c r="I280" s="59" t="str">
        <f aca="false">IF(B280="","",SUMIF(取込チェック!$C$6:$C$505,B280,取込チェック!$F$6:$F$505))</f>
        <v/>
      </c>
      <c r="J280" s="60" t="str">
        <f aca="false">IF(F280&lt;&gt;1,"",IF(H280=0,-1,G280/H280))</f>
        <v/>
      </c>
      <c r="K280" s="58" t="str">
        <f aca="false">IF(F280&lt;&gt;1,"",COUNTIFS($E$5:$E$304,E280,$F$5:$F$304,1,$J$5:$J$304,"&gt;"&amp;J280)+COUNTIFS($E$5:$E$304,E280,$F$5:$F$304,1,$J$5:$J$304,J280,$A$5:$A$304,"&lt;"&amp;A280)+1)</f>
        <v/>
      </c>
      <c r="L280" s="58" t="str">
        <f aca="false">IF(K280="","",E280&amp;"|"&amp;K280)</f>
        <v/>
      </c>
      <c r="M280" s="58" t="str">
        <f aca="false">IF(F280&lt;&gt;1,"",IF(COUNTIFS($C$5:C280,C280,$F$5:F280,1)=1,1,0))</f>
        <v/>
      </c>
      <c r="N280" s="59" t="str">
        <f aca="false">IF(M280&lt;&gt;1,"",SUMIF($C$5:$C$304,C280,$G$5:$G$304))</f>
        <v/>
      </c>
      <c r="O280" s="58" t="str">
        <f aca="false">IF(M280&lt;&gt;1,"",COUNTIFS($M$5:$M$304,1,$N$5:$N$304,"&gt;"&amp;N280)+COUNTIFS($M$5:$M$304,1,$N$5:$N$304,N280,$A$5:$A$304,"&lt;"&amp;A280)+1)</f>
        <v/>
      </c>
    </row>
    <row r="281" customFormat="false" ht="15" hidden="false" customHeight="false" outlineLevel="0" collapsed="false">
      <c r="A281" s="55" t="str">
        <f aca="false">IF(B281="","",ROW()-4)</f>
        <v/>
      </c>
      <c r="B281" s="57"/>
      <c r="C281" s="57"/>
      <c r="D281" s="57"/>
      <c r="E281" s="57"/>
      <c r="F281" s="58" t="str">
        <f aca="false">IF(B281="","",IF(COUNTIF(取込チェック!$C$6:$C$505,B281)&gt;0,1,0))</f>
        <v/>
      </c>
      <c r="G281" s="59" t="str">
        <f aca="false">IF(B281="","",SUMIF(取込チェック!$C$6:$C$505,B281,取込チェック!$D$6:$D$505))</f>
        <v/>
      </c>
      <c r="H281" s="59" t="str">
        <f aca="false">IF(B281="","",SUMIF(取込チェック!$C$6:$C$505,B281,取込チェック!$E$6:$E$505))</f>
        <v/>
      </c>
      <c r="I281" s="59" t="str">
        <f aca="false">IF(B281="","",SUMIF(取込チェック!$C$6:$C$505,B281,取込チェック!$F$6:$F$505))</f>
        <v/>
      </c>
      <c r="J281" s="60" t="str">
        <f aca="false">IF(F281&lt;&gt;1,"",IF(H281=0,-1,G281/H281))</f>
        <v/>
      </c>
      <c r="K281" s="58" t="str">
        <f aca="false">IF(F281&lt;&gt;1,"",COUNTIFS($E$5:$E$304,E281,$F$5:$F$304,1,$J$5:$J$304,"&gt;"&amp;J281)+COUNTIFS($E$5:$E$304,E281,$F$5:$F$304,1,$J$5:$J$304,J281,$A$5:$A$304,"&lt;"&amp;A281)+1)</f>
        <v/>
      </c>
      <c r="L281" s="58" t="str">
        <f aca="false">IF(K281="","",E281&amp;"|"&amp;K281)</f>
        <v/>
      </c>
      <c r="M281" s="58" t="str">
        <f aca="false">IF(F281&lt;&gt;1,"",IF(COUNTIFS($C$5:C281,C281,$F$5:F281,1)=1,1,0))</f>
        <v/>
      </c>
      <c r="N281" s="59" t="str">
        <f aca="false">IF(M281&lt;&gt;1,"",SUMIF($C$5:$C$304,C281,$G$5:$G$304))</f>
        <v/>
      </c>
      <c r="O281" s="58" t="str">
        <f aca="false">IF(M281&lt;&gt;1,"",COUNTIFS($M$5:$M$304,1,$N$5:$N$304,"&gt;"&amp;N281)+COUNTIFS($M$5:$M$304,1,$N$5:$N$304,N281,$A$5:$A$304,"&lt;"&amp;A281)+1)</f>
        <v/>
      </c>
    </row>
    <row r="282" customFormat="false" ht="15" hidden="false" customHeight="false" outlineLevel="0" collapsed="false">
      <c r="A282" s="55" t="str">
        <f aca="false">IF(B282="","",ROW()-4)</f>
        <v/>
      </c>
      <c r="B282" s="57"/>
      <c r="C282" s="57"/>
      <c r="D282" s="57"/>
      <c r="E282" s="57"/>
      <c r="F282" s="58" t="str">
        <f aca="false">IF(B282="","",IF(COUNTIF(取込チェック!$C$6:$C$505,B282)&gt;0,1,0))</f>
        <v/>
      </c>
      <c r="G282" s="59" t="str">
        <f aca="false">IF(B282="","",SUMIF(取込チェック!$C$6:$C$505,B282,取込チェック!$D$6:$D$505))</f>
        <v/>
      </c>
      <c r="H282" s="59" t="str">
        <f aca="false">IF(B282="","",SUMIF(取込チェック!$C$6:$C$505,B282,取込チェック!$E$6:$E$505))</f>
        <v/>
      </c>
      <c r="I282" s="59" t="str">
        <f aca="false">IF(B282="","",SUMIF(取込チェック!$C$6:$C$505,B282,取込チェック!$F$6:$F$505))</f>
        <v/>
      </c>
      <c r="J282" s="60" t="str">
        <f aca="false">IF(F282&lt;&gt;1,"",IF(H282=0,-1,G282/H282))</f>
        <v/>
      </c>
      <c r="K282" s="58" t="str">
        <f aca="false">IF(F282&lt;&gt;1,"",COUNTIFS($E$5:$E$304,E282,$F$5:$F$304,1,$J$5:$J$304,"&gt;"&amp;J282)+COUNTIFS($E$5:$E$304,E282,$F$5:$F$304,1,$J$5:$J$304,J282,$A$5:$A$304,"&lt;"&amp;A282)+1)</f>
        <v/>
      </c>
      <c r="L282" s="58" t="str">
        <f aca="false">IF(K282="","",E282&amp;"|"&amp;K282)</f>
        <v/>
      </c>
      <c r="M282" s="58" t="str">
        <f aca="false">IF(F282&lt;&gt;1,"",IF(COUNTIFS($C$5:C282,C282,$F$5:F282,1)=1,1,0))</f>
        <v/>
      </c>
      <c r="N282" s="59" t="str">
        <f aca="false">IF(M282&lt;&gt;1,"",SUMIF($C$5:$C$304,C282,$G$5:$G$304))</f>
        <v/>
      </c>
      <c r="O282" s="58" t="str">
        <f aca="false">IF(M282&lt;&gt;1,"",COUNTIFS($M$5:$M$304,1,$N$5:$N$304,"&gt;"&amp;N282)+COUNTIFS($M$5:$M$304,1,$N$5:$N$304,N282,$A$5:$A$304,"&lt;"&amp;A282)+1)</f>
        <v/>
      </c>
    </row>
    <row r="283" customFormat="false" ht="15" hidden="false" customHeight="false" outlineLevel="0" collapsed="false">
      <c r="A283" s="55" t="str">
        <f aca="false">IF(B283="","",ROW()-4)</f>
        <v/>
      </c>
      <c r="B283" s="57"/>
      <c r="C283" s="57"/>
      <c r="D283" s="57"/>
      <c r="E283" s="57"/>
      <c r="F283" s="58" t="str">
        <f aca="false">IF(B283="","",IF(COUNTIF(取込チェック!$C$6:$C$505,B283)&gt;0,1,0))</f>
        <v/>
      </c>
      <c r="G283" s="59" t="str">
        <f aca="false">IF(B283="","",SUMIF(取込チェック!$C$6:$C$505,B283,取込チェック!$D$6:$D$505))</f>
        <v/>
      </c>
      <c r="H283" s="59" t="str">
        <f aca="false">IF(B283="","",SUMIF(取込チェック!$C$6:$C$505,B283,取込チェック!$E$6:$E$505))</f>
        <v/>
      </c>
      <c r="I283" s="59" t="str">
        <f aca="false">IF(B283="","",SUMIF(取込チェック!$C$6:$C$505,B283,取込チェック!$F$6:$F$505))</f>
        <v/>
      </c>
      <c r="J283" s="60" t="str">
        <f aca="false">IF(F283&lt;&gt;1,"",IF(H283=0,-1,G283/H283))</f>
        <v/>
      </c>
      <c r="K283" s="58" t="str">
        <f aca="false">IF(F283&lt;&gt;1,"",COUNTIFS($E$5:$E$304,E283,$F$5:$F$304,1,$J$5:$J$304,"&gt;"&amp;J283)+COUNTIFS($E$5:$E$304,E283,$F$5:$F$304,1,$J$5:$J$304,J283,$A$5:$A$304,"&lt;"&amp;A283)+1)</f>
        <v/>
      </c>
      <c r="L283" s="58" t="str">
        <f aca="false">IF(K283="","",E283&amp;"|"&amp;K283)</f>
        <v/>
      </c>
      <c r="M283" s="58" t="str">
        <f aca="false">IF(F283&lt;&gt;1,"",IF(COUNTIFS($C$5:C283,C283,$F$5:F283,1)=1,1,0))</f>
        <v/>
      </c>
      <c r="N283" s="59" t="str">
        <f aca="false">IF(M283&lt;&gt;1,"",SUMIF($C$5:$C$304,C283,$G$5:$G$304))</f>
        <v/>
      </c>
      <c r="O283" s="58" t="str">
        <f aca="false">IF(M283&lt;&gt;1,"",COUNTIFS($M$5:$M$304,1,$N$5:$N$304,"&gt;"&amp;N283)+COUNTIFS($M$5:$M$304,1,$N$5:$N$304,N283,$A$5:$A$304,"&lt;"&amp;A283)+1)</f>
        <v/>
      </c>
    </row>
    <row r="284" customFormat="false" ht="15" hidden="false" customHeight="false" outlineLevel="0" collapsed="false">
      <c r="A284" s="55" t="str">
        <f aca="false">IF(B284="","",ROW()-4)</f>
        <v/>
      </c>
      <c r="B284" s="57"/>
      <c r="C284" s="57"/>
      <c r="D284" s="57"/>
      <c r="E284" s="57"/>
      <c r="F284" s="58" t="str">
        <f aca="false">IF(B284="","",IF(COUNTIF(取込チェック!$C$6:$C$505,B284)&gt;0,1,0))</f>
        <v/>
      </c>
      <c r="G284" s="59" t="str">
        <f aca="false">IF(B284="","",SUMIF(取込チェック!$C$6:$C$505,B284,取込チェック!$D$6:$D$505))</f>
        <v/>
      </c>
      <c r="H284" s="59" t="str">
        <f aca="false">IF(B284="","",SUMIF(取込チェック!$C$6:$C$505,B284,取込チェック!$E$6:$E$505))</f>
        <v/>
      </c>
      <c r="I284" s="59" t="str">
        <f aca="false">IF(B284="","",SUMIF(取込チェック!$C$6:$C$505,B284,取込チェック!$F$6:$F$505))</f>
        <v/>
      </c>
      <c r="J284" s="60" t="str">
        <f aca="false">IF(F284&lt;&gt;1,"",IF(H284=0,-1,G284/H284))</f>
        <v/>
      </c>
      <c r="K284" s="58" t="str">
        <f aca="false">IF(F284&lt;&gt;1,"",COUNTIFS($E$5:$E$304,E284,$F$5:$F$304,1,$J$5:$J$304,"&gt;"&amp;J284)+COUNTIFS($E$5:$E$304,E284,$F$5:$F$304,1,$J$5:$J$304,J284,$A$5:$A$304,"&lt;"&amp;A284)+1)</f>
        <v/>
      </c>
      <c r="L284" s="58" t="str">
        <f aca="false">IF(K284="","",E284&amp;"|"&amp;K284)</f>
        <v/>
      </c>
      <c r="M284" s="58" t="str">
        <f aca="false">IF(F284&lt;&gt;1,"",IF(COUNTIFS($C$5:C284,C284,$F$5:F284,1)=1,1,0))</f>
        <v/>
      </c>
      <c r="N284" s="59" t="str">
        <f aca="false">IF(M284&lt;&gt;1,"",SUMIF($C$5:$C$304,C284,$G$5:$G$304))</f>
        <v/>
      </c>
      <c r="O284" s="58" t="str">
        <f aca="false">IF(M284&lt;&gt;1,"",COUNTIFS($M$5:$M$304,1,$N$5:$N$304,"&gt;"&amp;N284)+COUNTIFS($M$5:$M$304,1,$N$5:$N$304,N284,$A$5:$A$304,"&lt;"&amp;A284)+1)</f>
        <v/>
      </c>
    </row>
    <row r="285" customFormat="false" ht="15" hidden="false" customHeight="false" outlineLevel="0" collapsed="false">
      <c r="A285" s="55" t="str">
        <f aca="false">IF(B285="","",ROW()-4)</f>
        <v/>
      </c>
      <c r="B285" s="57"/>
      <c r="C285" s="57"/>
      <c r="D285" s="57"/>
      <c r="E285" s="57"/>
      <c r="F285" s="58" t="str">
        <f aca="false">IF(B285="","",IF(COUNTIF(取込チェック!$C$6:$C$505,B285)&gt;0,1,0))</f>
        <v/>
      </c>
      <c r="G285" s="59" t="str">
        <f aca="false">IF(B285="","",SUMIF(取込チェック!$C$6:$C$505,B285,取込チェック!$D$6:$D$505))</f>
        <v/>
      </c>
      <c r="H285" s="59" t="str">
        <f aca="false">IF(B285="","",SUMIF(取込チェック!$C$6:$C$505,B285,取込チェック!$E$6:$E$505))</f>
        <v/>
      </c>
      <c r="I285" s="59" t="str">
        <f aca="false">IF(B285="","",SUMIF(取込チェック!$C$6:$C$505,B285,取込チェック!$F$6:$F$505))</f>
        <v/>
      </c>
      <c r="J285" s="60" t="str">
        <f aca="false">IF(F285&lt;&gt;1,"",IF(H285=0,-1,G285/H285))</f>
        <v/>
      </c>
      <c r="K285" s="58" t="str">
        <f aca="false">IF(F285&lt;&gt;1,"",COUNTIFS($E$5:$E$304,E285,$F$5:$F$304,1,$J$5:$J$304,"&gt;"&amp;J285)+COUNTIFS($E$5:$E$304,E285,$F$5:$F$304,1,$J$5:$J$304,J285,$A$5:$A$304,"&lt;"&amp;A285)+1)</f>
        <v/>
      </c>
      <c r="L285" s="58" t="str">
        <f aca="false">IF(K285="","",E285&amp;"|"&amp;K285)</f>
        <v/>
      </c>
      <c r="M285" s="58" t="str">
        <f aca="false">IF(F285&lt;&gt;1,"",IF(COUNTIFS($C$5:C285,C285,$F$5:F285,1)=1,1,0))</f>
        <v/>
      </c>
      <c r="N285" s="59" t="str">
        <f aca="false">IF(M285&lt;&gt;1,"",SUMIF($C$5:$C$304,C285,$G$5:$G$304))</f>
        <v/>
      </c>
      <c r="O285" s="58" t="str">
        <f aca="false">IF(M285&lt;&gt;1,"",COUNTIFS($M$5:$M$304,1,$N$5:$N$304,"&gt;"&amp;N285)+COUNTIFS($M$5:$M$304,1,$N$5:$N$304,N285,$A$5:$A$304,"&lt;"&amp;A285)+1)</f>
        <v/>
      </c>
    </row>
    <row r="286" customFormat="false" ht="15" hidden="false" customHeight="false" outlineLevel="0" collapsed="false">
      <c r="A286" s="55" t="str">
        <f aca="false">IF(B286="","",ROW()-4)</f>
        <v/>
      </c>
      <c r="B286" s="57"/>
      <c r="C286" s="57"/>
      <c r="D286" s="57"/>
      <c r="E286" s="57"/>
      <c r="F286" s="58" t="str">
        <f aca="false">IF(B286="","",IF(COUNTIF(取込チェック!$C$6:$C$505,B286)&gt;0,1,0))</f>
        <v/>
      </c>
      <c r="G286" s="59" t="str">
        <f aca="false">IF(B286="","",SUMIF(取込チェック!$C$6:$C$505,B286,取込チェック!$D$6:$D$505))</f>
        <v/>
      </c>
      <c r="H286" s="59" t="str">
        <f aca="false">IF(B286="","",SUMIF(取込チェック!$C$6:$C$505,B286,取込チェック!$E$6:$E$505))</f>
        <v/>
      </c>
      <c r="I286" s="59" t="str">
        <f aca="false">IF(B286="","",SUMIF(取込チェック!$C$6:$C$505,B286,取込チェック!$F$6:$F$505))</f>
        <v/>
      </c>
      <c r="J286" s="60" t="str">
        <f aca="false">IF(F286&lt;&gt;1,"",IF(H286=0,-1,G286/H286))</f>
        <v/>
      </c>
      <c r="K286" s="58" t="str">
        <f aca="false">IF(F286&lt;&gt;1,"",COUNTIFS($E$5:$E$304,E286,$F$5:$F$304,1,$J$5:$J$304,"&gt;"&amp;J286)+COUNTIFS($E$5:$E$304,E286,$F$5:$F$304,1,$J$5:$J$304,J286,$A$5:$A$304,"&lt;"&amp;A286)+1)</f>
        <v/>
      </c>
      <c r="L286" s="58" t="str">
        <f aca="false">IF(K286="","",E286&amp;"|"&amp;K286)</f>
        <v/>
      </c>
      <c r="M286" s="58" t="str">
        <f aca="false">IF(F286&lt;&gt;1,"",IF(COUNTIFS($C$5:C286,C286,$F$5:F286,1)=1,1,0))</f>
        <v/>
      </c>
      <c r="N286" s="59" t="str">
        <f aca="false">IF(M286&lt;&gt;1,"",SUMIF($C$5:$C$304,C286,$G$5:$G$304))</f>
        <v/>
      </c>
      <c r="O286" s="58" t="str">
        <f aca="false">IF(M286&lt;&gt;1,"",COUNTIFS($M$5:$M$304,1,$N$5:$N$304,"&gt;"&amp;N286)+COUNTIFS($M$5:$M$304,1,$N$5:$N$304,N286,$A$5:$A$304,"&lt;"&amp;A286)+1)</f>
        <v/>
      </c>
    </row>
    <row r="287" customFormat="false" ht="15" hidden="false" customHeight="false" outlineLevel="0" collapsed="false">
      <c r="A287" s="55" t="str">
        <f aca="false">IF(B287="","",ROW()-4)</f>
        <v/>
      </c>
      <c r="B287" s="57"/>
      <c r="C287" s="57"/>
      <c r="D287" s="57"/>
      <c r="E287" s="57"/>
      <c r="F287" s="58" t="str">
        <f aca="false">IF(B287="","",IF(COUNTIF(取込チェック!$C$6:$C$505,B287)&gt;0,1,0))</f>
        <v/>
      </c>
      <c r="G287" s="59" t="str">
        <f aca="false">IF(B287="","",SUMIF(取込チェック!$C$6:$C$505,B287,取込チェック!$D$6:$D$505))</f>
        <v/>
      </c>
      <c r="H287" s="59" t="str">
        <f aca="false">IF(B287="","",SUMIF(取込チェック!$C$6:$C$505,B287,取込チェック!$E$6:$E$505))</f>
        <v/>
      </c>
      <c r="I287" s="59" t="str">
        <f aca="false">IF(B287="","",SUMIF(取込チェック!$C$6:$C$505,B287,取込チェック!$F$6:$F$505))</f>
        <v/>
      </c>
      <c r="J287" s="60" t="str">
        <f aca="false">IF(F287&lt;&gt;1,"",IF(H287=0,-1,G287/H287))</f>
        <v/>
      </c>
      <c r="K287" s="58" t="str">
        <f aca="false">IF(F287&lt;&gt;1,"",COUNTIFS($E$5:$E$304,E287,$F$5:$F$304,1,$J$5:$J$304,"&gt;"&amp;J287)+COUNTIFS($E$5:$E$304,E287,$F$5:$F$304,1,$J$5:$J$304,J287,$A$5:$A$304,"&lt;"&amp;A287)+1)</f>
        <v/>
      </c>
      <c r="L287" s="58" t="str">
        <f aca="false">IF(K287="","",E287&amp;"|"&amp;K287)</f>
        <v/>
      </c>
      <c r="M287" s="58" t="str">
        <f aca="false">IF(F287&lt;&gt;1,"",IF(COUNTIFS($C$5:C287,C287,$F$5:F287,1)=1,1,0))</f>
        <v/>
      </c>
      <c r="N287" s="59" t="str">
        <f aca="false">IF(M287&lt;&gt;1,"",SUMIF($C$5:$C$304,C287,$G$5:$G$304))</f>
        <v/>
      </c>
      <c r="O287" s="58" t="str">
        <f aca="false">IF(M287&lt;&gt;1,"",COUNTIFS($M$5:$M$304,1,$N$5:$N$304,"&gt;"&amp;N287)+COUNTIFS($M$5:$M$304,1,$N$5:$N$304,N287,$A$5:$A$304,"&lt;"&amp;A287)+1)</f>
        <v/>
      </c>
    </row>
    <row r="288" customFormat="false" ht="15" hidden="false" customHeight="false" outlineLevel="0" collapsed="false">
      <c r="A288" s="55" t="str">
        <f aca="false">IF(B288="","",ROW()-4)</f>
        <v/>
      </c>
      <c r="B288" s="57"/>
      <c r="C288" s="57"/>
      <c r="D288" s="57"/>
      <c r="E288" s="57"/>
      <c r="F288" s="58" t="str">
        <f aca="false">IF(B288="","",IF(COUNTIF(取込チェック!$C$6:$C$505,B288)&gt;0,1,0))</f>
        <v/>
      </c>
      <c r="G288" s="59" t="str">
        <f aca="false">IF(B288="","",SUMIF(取込チェック!$C$6:$C$505,B288,取込チェック!$D$6:$D$505))</f>
        <v/>
      </c>
      <c r="H288" s="59" t="str">
        <f aca="false">IF(B288="","",SUMIF(取込チェック!$C$6:$C$505,B288,取込チェック!$E$6:$E$505))</f>
        <v/>
      </c>
      <c r="I288" s="59" t="str">
        <f aca="false">IF(B288="","",SUMIF(取込チェック!$C$6:$C$505,B288,取込チェック!$F$6:$F$505))</f>
        <v/>
      </c>
      <c r="J288" s="60" t="str">
        <f aca="false">IF(F288&lt;&gt;1,"",IF(H288=0,-1,G288/H288))</f>
        <v/>
      </c>
      <c r="K288" s="58" t="str">
        <f aca="false">IF(F288&lt;&gt;1,"",COUNTIFS($E$5:$E$304,E288,$F$5:$F$304,1,$J$5:$J$304,"&gt;"&amp;J288)+COUNTIFS($E$5:$E$304,E288,$F$5:$F$304,1,$J$5:$J$304,J288,$A$5:$A$304,"&lt;"&amp;A288)+1)</f>
        <v/>
      </c>
      <c r="L288" s="58" t="str">
        <f aca="false">IF(K288="","",E288&amp;"|"&amp;K288)</f>
        <v/>
      </c>
      <c r="M288" s="58" t="str">
        <f aca="false">IF(F288&lt;&gt;1,"",IF(COUNTIFS($C$5:C288,C288,$F$5:F288,1)=1,1,0))</f>
        <v/>
      </c>
      <c r="N288" s="59" t="str">
        <f aca="false">IF(M288&lt;&gt;1,"",SUMIF($C$5:$C$304,C288,$G$5:$G$304))</f>
        <v/>
      </c>
      <c r="O288" s="58" t="str">
        <f aca="false">IF(M288&lt;&gt;1,"",COUNTIFS($M$5:$M$304,1,$N$5:$N$304,"&gt;"&amp;N288)+COUNTIFS($M$5:$M$304,1,$N$5:$N$304,N288,$A$5:$A$304,"&lt;"&amp;A288)+1)</f>
        <v/>
      </c>
    </row>
    <row r="289" customFormat="false" ht="15" hidden="false" customHeight="false" outlineLevel="0" collapsed="false">
      <c r="A289" s="55" t="str">
        <f aca="false">IF(B289="","",ROW()-4)</f>
        <v/>
      </c>
      <c r="B289" s="57"/>
      <c r="C289" s="57"/>
      <c r="D289" s="57"/>
      <c r="E289" s="57"/>
      <c r="F289" s="58" t="str">
        <f aca="false">IF(B289="","",IF(COUNTIF(取込チェック!$C$6:$C$505,B289)&gt;0,1,0))</f>
        <v/>
      </c>
      <c r="G289" s="59" t="str">
        <f aca="false">IF(B289="","",SUMIF(取込チェック!$C$6:$C$505,B289,取込チェック!$D$6:$D$505))</f>
        <v/>
      </c>
      <c r="H289" s="59" t="str">
        <f aca="false">IF(B289="","",SUMIF(取込チェック!$C$6:$C$505,B289,取込チェック!$E$6:$E$505))</f>
        <v/>
      </c>
      <c r="I289" s="59" t="str">
        <f aca="false">IF(B289="","",SUMIF(取込チェック!$C$6:$C$505,B289,取込チェック!$F$6:$F$505))</f>
        <v/>
      </c>
      <c r="J289" s="60" t="str">
        <f aca="false">IF(F289&lt;&gt;1,"",IF(H289=0,-1,G289/H289))</f>
        <v/>
      </c>
      <c r="K289" s="58" t="str">
        <f aca="false">IF(F289&lt;&gt;1,"",COUNTIFS($E$5:$E$304,E289,$F$5:$F$304,1,$J$5:$J$304,"&gt;"&amp;J289)+COUNTIFS($E$5:$E$304,E289,$F$5:$F$304,1,$J$5:$J$304,J289,$A$5:$A$304,"&lt;"&amp;A289)+1)</f>
        <v/>
      </c>
      <c r="L289" s="58" t="str">
        <f aca="false">IF(K289="","",E289&amp;"|"&amp;K289)</f>
        <v/>
      </c>
      <c r="M289" s="58" t="str">
        <f aca="false">IF(F289&lt;&gt;1,"",IF(COUNTIFS($C$5:C289,C289,$F$5:F289,1)=1,1,0))</f>
        <v/>
      </c>
      <c r="N289" s="59" t="str">
        <f aca="false">IF(M289&lt;&gt;1,"",SUMIF($C$5:$C$304,C289,$G$5:$G$304))</f>
        <v/>
      </c>
      <c r="O289" s="58" t="str">
        <f aca="false">IF(M289&lt;&gt;1,"",COUNTIFS($M$5:$M$304,1,$N$5:$N$304,"&gt;"&amp;N289)+COUNTIFS($M$5:$M$304,1,$N$5:$N$304,N289,$A$5:$A$304,"&lt;"&amp;A289)+1)</f>
        <v/>
      </c>
    </row>
    <row r="290" customFormat="false" ht="15" hidden="false" customHeight="false" outlineLevel="0" collapsed="false">
      <c r="A290" s="55" t="str">
        <f aca="false">IF(B290="","",ROW()-4)</f>
        <v/>
      </c>
      <c r="B290" s="57"/>
      <c r="C290" s="57"/>
      <c r="D290" s="57"/>
      <c r="E290" s="57"/>
      <c r="F290" s="58" t="str">
        <f aca="false">IF(B290="","",IF(COUNTIF(取込チェック!$C$6:$C$505,B290)&gt;0,1,0))</f>
        <v/>
      </c>
      <c r="G290" s="59" t="str">
        <f aca="false">IF(B290="","",SUMIF(取込チェック!$C$6:$C$505,B290,取込チェック!$D$6:$D$505))</f>
        <v/>
      </c>
      <c r="H290" s="59" t="str">
        <f aca="false">IF(B290="","",SUMIF(取込チェック!$C$6:$C$505,B290,取込チェック!$E$6:$E$505))</f>
        <v/>
      </c>
      <c r="I290" s="59" t="str">
        <f aca="false">IF(B290="","",SUMIF(取込チェック!$C$6:$C$505,B290,取込チェック!$F$6:$F$505))</f>
        <v/>
      </c>
      <c r="J290" s="60" t="str">
        <f aca="false">IF(F290&lt;&gt;1,"",IF(H290=0,-1,G290/H290))</f>
        <v/>
      </c>
      <c r="K290" s="58" t="str">
        <f aca="false">IF(F290&lt;&gt;1,"",COUNTIFS($E$5:$E$304,E290,$F$5:$F$304,1,$J$5:$J$304,"&gt;"&amp;J290)+COUNTIFS($E$5:$E$304,E290,$F$5:$F$304,1,$J$5:$J$304,J290,$A$5:$A$304,"&lt;"&amp;A290)+1)</f>
        <v/>
      </c>
      <c r="L290" s="58" t="str">
        <f aca="false">IF(K290="","",E290&amp;"|"&amp;K290)</f>
        <v/>
      </c>
      <c r="M290" s="58" t="str">
        <f aca="false">IF(F290&lt;&gt;1,"",IF(COUNTIFS($C$5:C290,C290,$F$5:F290,1)=1,1,0))</f>
        <v/>
      </c>
      <c r="N290" s="59" t="str">
        <f aca="false">IF(M290&lt;&gt;1,"",SUMIF($C$5:$C$304,C290,$G$5:$G$304))</f>
        <v/>
      </c>
      <c r="O290" s="58" t="str">
        <f aca="false">IF(M290&lt;&gt;1,"",COUNTIFS($M$5:$M$304,1,$N$5:$N$304,"&gt;"&amp;N290)+COUNTIFS($M$5:$M$304,1,$N$5:$N$304,N290,$A$5:$A$304,"&lt;"&amp;A290)+1)</f>
        <v/>
      </c>
    </row>
    <row r="291" customFormat="false" ht="15" hidden="false" customHeight="false" outlineLevel="0" collapsed="false">
      <c r="A291" s="55" t="str">
        <f aca="false">IF(B291="","",ROW()-4)</f>
        <v/>
      </c>
      <c r="B291" s="57"/>
      <c r="C291" s="57"/>
      <c r="D291" s="57"/>
      <c r="E291" s="57"/>
      <c r="F291" s="58" t="str">
        <f aca="false">IF(B291="","",IF(COUNTIF(取込チェック!$C$6:$C$505,B291)&gt;0,1,0))</f>
        <v/>
      </c>
      <c r="G291" s="59" t="str">
        <f aca="false">IF(B291="","",SUMIF(取込チェック!$C$6:$C$505,B291,取込チェック!$D$6:$D$505))</f>
        <v/>
      </c>
      <c r="H291" s="59" t="str">
        <f aca="false">IF(B291="","",SUMIF(取込チェック!$C$6:$C$505,B291,取込チェック!$E$6:$E$505))</f>
        <v/>
      </c>
      <c r="I291" s="59" t="str">
        <f aca="false">IF(B291="","",SUMIF(取込チェック!$C$6:$C$505,B291,取込チェック!$F$6:$F$505))</f>
        <v/>
      </c>
      <c r="J291" s="60" t="str">
        <f aca="false">IF(F291&lt;&gt;1,"",IF(H291=0,-1,G291/H291))</f>
        <v/>
      </c>
      <c r="K291" s="58" t="str">
        <f aca="false">IF(F291&lt;&gt;1,"",COUNTIFS($E$5:$E$304,E291,$F$5:$F$304,1,$J$5:$J$304,"&gt;"&amp;J291)+COUNTIFS($E$5:$E$304,E291,$F$5:$F$304,1,$J$5:$J$304,J291,$A$5:$A$304,"&lt;"&amp;A291)+1)</f>
        <v/>
      </c>
      <c r="L291" s="58" t="str">
        <f aca="false">IF(K291="","",E291&amp;"|"&amp;K291)</f>
        <v/>
      </c>
      <c r="M291" s="58" t="str">
        <f aca="false">IF(F291&lt;&gt;1,"",IF(COUNTIFS($C$5:C291,C291,$F$5:F291,1)=1,1,0))</f>
        <v/>
      </c>
      <c r="N291" s="59" t="str">
        <f aca="false">IF(M291&lt;&gt;1,"",SUMIF($C$5:$C$304,C291,$G$5:$G$304))</f>
        <v/>
      </c>
      <c r="O291" s="58" t="str">
        <f aca="false">IF(M291&lt;&gt;1,"",COUNTIFS($M$5:$M$304,1,$N$5:$N$304,"&gt;"&amp;N291)+COUNTIFS($M$5:$M$304,1,$N$5:$N$304,N291,$A$5:$A$304,"&lt;"&amp;A291)+1)</f>
        <v/>
      </c>
    </row>
    <row r="292" customFormat="false" ht="15" hidden="false" customHeight="false" outlineLevel="0" collapsed="false">
      <c r="A292" s="55" t="str">
        <f aca="false">IF(B292="","",ROW()-4)</f>
        <v/>
      </c>
      <c r="B292" s="57"/>
      <c r="C292" s="57"/>
      <c r="D292" s="57"/>
      <c r="E292" s="57"/>
      <c r="F292" s="58" t="str">
        <f aca="false">IF(B292="","",IF(COUNTIF(取込チェック!$C$6:$C$505,B292)&gt;0,1,0))</f>
        <v/>
      </c>
      <c r="G292" s="59" t="str">
        <f aca="false">IF(B292="","",SUMIF(取込チェック!$C$6:$C$505,B292,取込チェック!$D$6:$D$505))</f>
        <v/>
      </c>
      <c r="H292" s="59" t="str">
        <f aca="false">IF(B292="","",SUMIF(取込チェック!$C$6:$C$505,B292,取込チェック!$E$6:$E$505))</f>
        <v/>
      </c>
      <c r="I292" s="59" t="str">
        <f aca="false">IF(B292="","",SUMIF(取込チェック!$C$6:$C$505,B292,取込チェック!$F$6:$F$505))</f>
        <v/>
      </c>
      <c r="J292" s="60" t="str">
        <f aca="false">IF(F292&lt;&gt;1,"",IF(H292=0,-1,G292/H292))</f>
        <v/>
      </c>
      <c r="K292" s="58" t="str">
        <f aca="false">IF(F292&lt;&gt;1,"",COUNTIFS($E$5:$E$304,E292,$F$5:$F$304,1,$J$5:$J$304,"&gt;"&amp;J292)+COUNTIFS($E$5:$E$304,E292,$F$5:$F$304,1,$J$5:$J$304,J292,$A$5:$A$304,"&lt;"&amp;A292)+1)</f>
        <v/>
      </c>
      <c r="L292" s="58" t="str">
        <f aca="false">IF(K292="","",E292&amp;"|"&amp;K292)</f>
        <v/>
      </c>
      <c r="M292" s="58" t="str">
        <f aca="false">IF(F292&lt;&gt;1,"",IF(COUNTIFS($C$5:C292,C292,$F$5:F292,1)=1,1,0))</f>
        <v/>
      </c>
      <c r="N292" s="59" t="str">
        <f aca="false">IF(M292&lt;&gt;1,"",SUMIF($C$5:$C$304,C292,$G$5:$G$304))</f>
        <v/>
      </c>
      <c r="O292" s="58" t="str">
        <f aca="false">IF(M292&lt;&gt;1,"",COUNTIFS($M$5:$M$304,1,$N$5:$N$304,"&gt;"&amp;N292)+COUNTIFS($M$5:$M$304,1,$N$5:$N$304,N292,$A$5:$A$304,"&lt;"&amp;A292)+1)</f>
        <v/>
      </c>
    </row>
    <row r="293" customFormat="false" ht="15" hidden="false" customHeight="false" outlineLevel="0" collapsed="false">
      <c r="A293" s="55" t="str">
        <f aca="false">IF(B293="","",ROW()-4)</f>
        <v/>
      </c>
      <c r="B293" s="57"/>
      <c r="C293" s="57"/>
      <c r="D293" s="57"/>
      <c r="E293" s="57"/>
      <c r="F293" s="58" t="str">
        <f aca="false">IF(B293="","",IF(COUNTIF(取込チェック!$C$6:$C$505,B293)&gt;0,1,0))</f>
        <v/>
      </c>
      <c r="G293" s="59" t="str">
        <f aca="false">IF(B293="","",SUMIF(取込チェック!$C$6:$C$505,B293,取込チェック!$D$6:$D$505))</f>
        <v/>
      </c>
      <c r="H293" s="59" t="str">
        <f aca="false">IF(B293="","",SUMIF(取込チェック!$C$6:$C$505,B293,取込チェック!$E$6:$E$505))</f>
        <v/>
      </c>
      <c r="I293" s="59" t="str">
        <f aca="false">IF(B293="","",SUMIF(取込チェック!$C$6:$C$505,B293,取込チェック!$F$6:$F$505))</f>
        <v/>
      </c>
      <c r="J293" s="60" t="str">
        <f aca="false">IF(F293&lt;&gt;1,"",IF(H293=0,-1,G293/H293))</f>
        <v/>
      </c>
      <c r="K293" s="58" t="str">
        <f aca="false">IF(F293&lt;&gt;1,"",COUNTIFS($E$5:$E$304,E293,$F$5:$F$304,1,$J$5:$J$304,"&gt;"&amp;J293)+COUNTIFS($E$5:$E$304,E293,$F$5:$F$304,1,$J$5:$J$304,J293,$A$5:$A$304,"&lt;"&amp;A293)+1)</f>
        <v/>
      </c>
      <c r="L293" s="58" t="str">
        <f aca="false">IF(K293="","",E293&amp;"|"&amp;K293)</f>
        <v/>
      </c>
      <c r="M293" s="58" t="str">
        <f aca="false">IF(F293&lt;&gt;1,"",IF(COUNTIFS($C$5:C293,C293,$F$5:F293,1)=1,1,0))</f>
        <v/>
      </c>
      <c r="N293" s="59" t="str">
        <f aca="false">IF(M293&lt;&gt;1,"",SUMIF($C$5:$C$304,C293,$G$5:$G$304))</f>
        <v/>
      </c>
      <c r="O293" s="58" t="str">
        <f aca="false">IF(M293&lt;&gt;1,"",COUNTIFS($M$5:$M$304,1,$N$5:$N$304,"&gt;"&amp;N293)+COUNTIFS($M$5:$M$304,1,$N$5:$N$304,N293,$A$5:$A$304,"&lt;"&amp;A293)+1)</f>
        <v/>
      </c>
    </row>
    <row r="294" customFormat="false" ht="15" hidden="false" customHeight="false" outlineLevel="0" collapsed="false">
      <c r="A294" s="55" t="str">
        <f aca="false">IF(B294="","",ROW()-4)</f>
        <v/>
      </c>
      <c r="B294" s="57"/>
      <c r="C294" s="57"/>
      <c r="D294" s="57"/>
      <c r="E294" s="57"/>
      <c r="F294" s="58" t="str">
        <f aca="false">IF(B294="","",IF(COUNTIF(取込チェック!$C$6:$C$505,B294)&gt;0,1,0))</f>
        <v/>
      </c>
      <c r="G294" s="59" t="str">
        <f aca="false">IF(B294="","",SUMIF(取込チェック!$C$6:$C$505,B294,取込チェック!$D$6:$D$505))</f>
        <v/>
      </c>
      <c r="H294" s="59" t="str">
        <f aca="false">IF(B294="","",SUMIF(取込チェック!$C$6:$C$505,B294,取込チェック!$E$6:$E$505))</f>
        <v/>
      </c>
      <c r="I294" s="59" t="str">
        <f aca="false">IF(B294="","",SUMIF(取込チェック!$C$6:$C$505,B294,取込チェック!$F$6:$F$505))</f>
        <v/>
      </c>
      <c r="J294" s="60" t="str">
        <f aca="false">IF(F294&lt;&gt;1,"",IF(H294=0,-1,G294/H294))</f>
        <v/>
      </c>
      <c r="K294" s="58" t="str">
        <f aca="false">IF(F294&lt;&gt;1,"",COUNTIFS($E$5:$E$304,E294,$F$5:$F$304,1,$J$5:$J$304,"&gt;"&amp;J294)+COUNTIFS($E$5:$E$304,E294,$F$5:$F$304,1,$J$5:$J$304,J294,$A$5:$A$304,"&lt;"&amp;A294)+1)</f>
        <v/>
      </c>
      <c r="L294" s="58" t="str">
        <f aca="false">IF(K294="","",E294&amp;"|"&amp;K294)</f>
        <v/>
      </c>
      <c r="M294" s="58" t="str">
        <f aca="false">IF(F294&lt;&gt;1,"",IF(COUNTIFS($C$5:C294,C294,$F$5:F294,1)=1,1,0))</f>
        <v/>
      </c>
      <c r="N294" s="59" t="str">
        <f aca="false">IF(M294&lt;&gt;1,"",SUMIF($C$5:$C$304,C294,$G$5:$G$304))</f>
        <v/>
      </c>
      <c r="O294" s="58" t="str">
        <f aca="false">IF(M294&lt;&gt;1,"",COUNTIFS($M$5:$M$304,1,$N$5:$N$304,"&gt;"&amp;N294)+COUNTIFS($M$5:$M$304,1,$N$5:$N$304,N294,$A$5:$A$304,"&lt;"&amp;A294)+1)</f>
        <v/>
      </c>
    </row>
    <row r="295" customFormat="false" ht="15" hidden="false" customHeight="false" outlineLevel="0" collapsed="false">
      <c r="A295" s="55" t="str">
        <f aca="false">IF(B295="","",ROW()-4)</f>
        <v/>
      </c>
      <c r="B295" s="57"/>
      <c r="C295" s="57"/>
      <c r="D295" s="57"/>
      <c r="E295" s="57"/>
      <c r="F295" s="58" t="str">
        <f aca="false">IF(B295="","",IF(COUNTIF(取込チェック!$C$6:$C$505,B295)&gt;0,1,0))</f>
        <v/>
      </c>
      <c r="G295" s="59" t="str">
        <f aca="false">IF(B295="","",SUMIF(取込チェック!$C$6:$C$505,B295,取込チェック!$D$6:$D$505))</f>
        <v/>
      </c>
      <c r="H295" s="59" t="str">
        <f aca="false">IF(B295="","",SUMIF(取込チェック!$C$6:$C$505,B295,取込チェック!$E$6:$E$505))</f>
        <v/>
      </c>
      <c r="I295" s="59" t="str">
        <f aca="false">IF(B295="","",SUMIF(取込チェック!$C$6:$C$505,B295,取込チェック!$F$6:$F$505))</f>
        <v/>
      </c>
      <c r="J295" s="60" t="str">
        <f aca="false">IF(F295&lt;&gt;1,"",IF(H295=0,-1,G295/H295))</f>
        <v/>
      </c>
      <c r="K295" s="58" t="str">
        <f aca="false">IF(F295&lt;&gt;1,"",COUNTIFS($E$5:$E$304,E295,$F$5:$F$304,1,$J$5:$J$304,"&gt;"&amp;J295)+COUNTIFS($E$5:$E$304,E295,$F$5:$F$304,1,$J$5:$J$304,J295,$A$5:$A$304,"&lt;"&amp;A295)+1)</f>
        <v/>
      </c>
      <c r="L295" s="58" t="str">
        <f aca="false">IF(K295="","",E295&amp;"|"&amp;K295)</f>
        <v/>
      </c>
      <c r="M295" s="58" t="str">
        <f aca="false">IF(F295&lt;&gt;1,"",IF(COUNTIFS($C$5:C295,C295,$F$5:F295,1)=1,1,0))</f>
        <v/>
      </c>
      <c r="N295" s="59" t="str">
        <f aca="false">IF(M295&lt;&gt;1,"",SUMIF($C$5:$C$304,C295,$G$5:$G$304))</f>
        <v/>
      </c>
      <c r="O295" s="58" t="str">
        <f aca="false">IF(M295&lt;&gt;1,"",COUNTIFS($M$5:$M$304,1,$N$5:$N$304,"&gt;"&amp;N295)+COUNTIFS($M$5:$M$304,1,$N$5:$N$304,N295,$A$5:$A$304,"&lt;"&amp;A295)+1)</f>
        <v/>
      </c>
    </row>
    <row r="296" customFormat="false" ht="15" hidden="false" customHeight="false" outlineLevel="0" collapsed="false">
      <c r="A296" s="55" t="str">
        <f aca="false">IF(B296="","",ROW()-4)</f>
        <v/>
      </c>
      <c r="B296" s="57"/>
      <c r="C296" s="57"/>
      <c r="D296" s="57"/>
      <c r="E296" s="57"/>
      <c r="F296" s="58" t="str">
        <f aca="false">IF(B296="","",IF(COUNTIF(取込チェック!$C$6:$C$505,B296)&gt;0,1,0))</f>
        <v/>
      </c>
      <c r="G296" s="59" t="str">
        <f aca="false">IF(B296="","",SUMIF(取込チェック!$C$6:$C$505,B296,取込チェック!$D$6:$D$505))</f>
        <v/>
      </c>
      <c r="H296" s="59" t="str">
        <f aca="false">IF(B296="","",SUMIF(取込チェック!$C$6:$C$505,B296,取込チェック!$E$6:$E$505))</f>
        <v/>
      </c>
      <c r="I296" s="59" t="str">
        <f aca="false">IF(B296="","",SUMIF(取込チェック!$C$6:$C$505,B296,取込チェック!$F$6:$F$505))</f>
        <v/>
      </c>
      <c r="J296" s="60" t="str">
        <f aca="false">IF(F296&lt;&gt;1,"",IF(H296=0,-1,G296/H296))</f>
        <v/>
      </c>
      <c r="K296" s="58" t="str">
        <f aca="false">IF(F296&lt;&gt;1,"",COUNTIFS($E$5:$E$304,E296,$F$5:$F$304,1,$J$5:$J$304,"&gt;"&amp;J296)+COUNTIFS($E$5:$E$304,E296,$F$5:$F$304,1,$J$5:$J$304,J296,$A$5:$A$304,"&lt;"&amp;A296)+1)</f>
        <v/>
      </c>
      <c r="L296" s="58" t="str">
        <f aca="false">IF(K296="","",E296&amp;"|"&amp;K296)</f>
        <v/>
      </c>
      <c r="M296" s="58" t="str">
        <f aca="false">IF(F296&lt;&gt;1,"",IF(COUNTIFS($C$5:C296,C296,$F$5:F296,1)=1,1,0))</f>
        <v/>
      </c>
      <c r="N296" s="59" t="str">
        <f aca="false">IF(M296&lt;&gt;1,"",SUMIF($C$5:$C$304,C296,$G$5:$G$304))</f>
        <v/>
      </c>
      <c r="O296" s="58" t="str">
        <f aca="false">IF(M296&lt;&gt;1,"",COUNTIFS($M$5:$M$304,1,$N$5:$N$304,"&gt;"&amp;N296)+COUNTIFS($M$5:$M$304,1,$N$5:$N$304,N296,$A$5:$A$304,"&lt;"&amp;A296)+1)</f>
        <v/>
      </c>
    </row>
    <row r="297" customFormat="false" ht="15" hidden="false" customHeight="false" outlineLevel="0" collapsed="false">
      <c r="A297" s="55" t="str">
        <f aca="false">IF(B297="","",ROW()-4)</f>
        <v/>
      </c>
      <c r="B297" s="57"/>
      <c r="C297" s="57"/>
      <c r="D297" s="57"/>
      <c r="E297" s="57"/>
      <c r="F297" s="58" t="str">
        <f aca="false">IF(B297="","",IF(COUNTIF(取込チェック!$C$6:$C$505,B297)&gt;0,1,0))</f>
        <v/>
      </c>
      <c r="G297" s="59" t="str">
        <f aca="false">IF(B297="","",SUMIF(取込チェック!$C$6:$C$505,B297,取込チェック!$D$6:$D$505))</f>
        <v/>
      </c>
      <c r="H297" s="59" t="str">
        <f aca="false">IF(B297="","",SUMIF(取込チェック!$C$6:$C$505,B297,取込チェック!$E$6:$E$505))</f>
        <v/>
      </c>
      <c r="I297" s="59" t="str">
        <f aca="false">IF(B297="","",SUMIF(取込チェック!$C$6:$C$505,B297,取込チェック!$F$6:$F$505))</f>
        <v/>
      </c>
      <c r="J297" s="60" t="str">
        <f aca="false">IF(F297&lt;&gt;1,"",IF(H297=0,-1,G297/H297))</f>
        <v/>
      </c>
      <c r="K297" s="58" t="str">
        <f aca="false">IF(F297&lt;&gt;1,"",COUNTIFS($E$5:$E$304,E297,$F$5:$F$304,1,$J$5:$J$304,"&gt;"&amp;J297)+COUNTIFS($E$5:$E$304,E297,$F$5:$F$304,1,$J$5:$J$304,J297,$A$5:$A$304,"&lt;"&amp;A297)+1)</f>
        <v/>
      </c>
      <c r="L297" s="58" t="str">
        <f aca="false">IF(K297="","",E297&amp;"|"&amp;K297)</f>
        <v/>
      </c>
      <c r="M297" s="58" t="str">
        <f aca="false">IF(F297&lt;&gt;1,"",IF(COUNTIFS($C$5:C297,C297,$F$5:F297,1)=1,1,0))</f>
        <v/>
      </c>
      <c r="N297" s="59" t="str">
        <f aca="false">IF(M297&lt;&gt;1,"",SUMIF($C$5:$C$304,C297,$G$5:$G$304))</f>
        <v/>
      </c>
      <c r="O297" s="58" t="str">
        <f aca="false">IF(M297&lt;&gt;1,"",COUNTIFS($M$5:$M$304,1,$N$5:$N$304,"&gt;"&amp;N297)+COUNTIFS($M$5:$M$304,1,$N$5:$N$304,N297,$A$5:$A$304,"&lt;"&amp;A297)+1)</f>
        <v/>
      </c>
    </row>
    <row r="298" customFormat="false" ht="15" hidden="false" customHeight="false" outlineLevel="0" collapsed="false">
      <c r="A298" s="55" t="str">
        <f aca="false">IF(B298="","",ROW()-4)</f>
        <v/>
      </c>
      <c r="B298" s="57"/>
      <c r="C298" s="57"/>
      <c r="D298" s="57"/>
      <c r="E298" s="57"/>
      <c r="F298" s="58" t="str">
        <f aca="false">IF(B298="","",IF(COUNTIF(取込チェック!$C$6:$C$505,B298)&gt;0,1,0))</f>
        <v/>
      </c>
      <c r="G298" s="59" t="str">
        <f aca="false">IF(B298="","",SUMIF(取込チェック!$C$6:$C$505,B298,取込チェック!$D$6:$D$505))</f>
        <v/>
      </c>
      <c r="H298" s="59" t="str">
        <f aca="false">IF(B298="","",SUMIF(取込チェック!$C$6:$C$505,B298,取込チェック!$E$6:$E$505))</f>
        <v/>
      </c>
      <c r="I298" s="59" t="str">
        <f aca="false">IF(B298="","",SUMIF(取込チェック!$C$6:$C$505,B298,取込チェック!$F$6:$F$505))</f>
        <v/>
      </c>
      <c r="J298" s="60" t="str">
        <f aca="false">IF(F298&lt;&gt;1,"",IF(H298=0,-1,G298/H298))</f>
        <v/>
      </c>
      <c r="K298" s="58" t="str">
        <f aca="false">IF(F298&lt;&gt;1,"",COUNTIFS($E$5:$E$304,E298,$F$5:$F$304,1,$J$5:$J$304,"&gt;"&amp;J298)+COUNTIFS($E$5:$E$304,E298,$F$5:$F$304,1,$J$5:$J$304,J298,$A$5:$A$304,"&lt;"&amp;A298)+1)</f>
        <v/>
      </c>
      <c r="L298" s="58" t="str">
        <f aca="false">IF(K298="","",E298&amp;"|"&amp;K298)</f>
        <v/>
      </c>
      <c r="M298" s="58" t="str">
        <f aca="false">IF(F298&lt;&gt;1,"",IF(COUNTIFS($C$5:C298,C298,$F$5:F298,1)=1,1,0))</f>
        <v/>
      </c>
      <c r="N298" s="59" t="str">
        <f aca="false">IF(M298&lt;&gt;1,"",SUMIF($C$5:$C$304,C298,$G$5:$G$304))</f>
        <v/>
      </c>
      <c r="O298" s="58" t="str">
        <f aca="false">IF(M298&lt;&gt;1,"",COUNTIFS($M$5:$M$304,1,$N$5:$N$304,"&gt;"&amp;N298)+COUNTIFS($M$5:$M$304,1,$N$5:$N$304,N298,$A$5:$A$304,"&lt;"&amp;A298)+1)</f>
        <v/>
      </c>
    </row>
    <row r="299" customFormat="false" ht="15" hidden="false" customHeight="false" outlineLevel="0" collapsed="false">
      <c r="A299" s="55" t="str">
        <f aca="false">IF(B299="","",ROW()-4)</f>
        <v/>
      </c>
      <c r="B299" s="57"/>
      <c r="C299" s="57"/>
      <c r="D299" s="57"/>
      <c r="E299" s="57"/>
      <c r="F299" s="58" t="str">
        <f aca="false">IF(B299="","",IF(COUNTIF(取込チェック!$C$6:$C$505,B299)&gt;0,1,0))</f>
        <v/>
      </c>
      <c r="G299" s="59" t="str">
        <f aca="false">IF(B299="","",SUMIF(取込チェック!$C$6:$C$505,B299,取込チェック!$D$6:$D$505))</f>
        <v/>
      </c>
      <c r="H299" s="59" t="str">
        <f aca="false">IF(B299="","",SUMIF(取込チェック!$C$6:$C$505,B299,取込チェック!$E$6:$E$505))</f>
        <v/>
      </c>
      <c r="I299" s="59" t="str">
        <f aca="false">IF(B299="","",SUMIF(取込チェック!$C$6:$C$505,B299,取込チェック!$F$6:$F$505))</f>
        <v/>
      </c>
      <c r="J299" s="60" t="str">
        <f aca="false">IF(F299&lt;&gt;1,"",IF(H299=0,-1,G299/H299))</f>
        <v/>
      </c>
      <c r="K299" s="58" t="str">
        <f aca="false">IF(F299&lt;&gt;1,"",COUNTIFS($E$5:$E$304,E299,$F$5:$F$304,1,$J$5:$J$304,"&gt;"&amp;J299)+COUNTIFS($E$5:$E$304,E299,$F$5:$F$304,1,$J$5:$J$304,J299,$A$5:$A$304,"&lt;"&amp;A299)+1)</f>
        <v/>
      </c>
      <c r="L299" s="58" t="str">
        <f aca="false">IF(K299="","",E299&amp;"|"&amp;K299)</f>
        <v/>
      </c>
      <c r="M299" s="58" t="str">
        <f aca="false">IF(F299&lt;&gt;1,"",IF(COUNTIFS($C$5:C299,C299,$F$5:F299,1)=1,1,0))</f>
        <v/>
      </c>
      <c r="N299" s="59" t="str">
        <f aca="false">IF(M299&lt;&gt;1,"",SUMIF($C$5:$C$304,C299,$G$5:$G$304))</f>
        <v/>
      </c>
      <c r="O299" s="58" t="str">
        <f aca="false">IF(M299&lt;&gt;1,"",COUNTIFS($M$5:$M$304,1,$N$5:$N$304,"&gt;"&amp;N299)+COUNTIFS($M$5:$M$304,1,$N$5:$N$304,N299,$A$5:$A$304,"&lt;"&amp;A299)+1)</f>
        <v/>
      </c>
    </row>
    <row r="300" customFormat="false" ht="15" hidden="false" customHeight="false" outlineLevel="0" collapsed="false">
      <c r="A300" s="55" t="str">
        <f aca="false">IF(B300="","",ROW()-4)</f>
        <v/>
      </c>
      <c r="B300" s="57"/>
      <c r="C300" s="57"/>
      <c r="D300" s="57"/>
      <c r="E300" s="57"/>
      <c r="F300" s="58" t="str">
        <f aca="false">IF(B300="","",IF(COUNTIF(取込チェック!$C$6:$C$505,B300)&gt;0,1,0))</f>
        <v/>
      </c>
      <c r="G300" s="59" t="str">
        <f aca="false">IF(B300="","",SUMIF(取込チェック!$C$6:$C$505,B300,取込チェック!$D$6:$D$505))</f>
        <v/>
      </c>
      <c r="H300" s="59" t="str">
        <f aca="false">IF(B300="","",SUMIF(取込チェック!$C$6:$C$505,B300,取込チェック!$E$6:$E$505))</f>
        <v/>
      </c>
      <c r="I300" s="59" t="str">
        <f aca="false">IF(B300="","",SUMIF(取込チェック!$C$6:$C$505,B300,取込チェック!$F$6:$F$505))</f>
        <v/>
      </c>
      <c r="J300" s="60" t="str">
        <f aca="false">IF(F300&lt;&gt;1,"",IF(H300=0,-1,G300/H300))</f>
        <v/>
      </c>
      <c r="K300" s="58" t="str">
        <f aca="false">IF(F300&lt;&gt;1,"",COUNTIFS($E$5:$E$304,E300,$F$5:$F$304,1,$J$5:$J$304,"&gt;"&amp;J300)+COUNTIFS($E$5:$E$304,E300,$F$5:$F$304,1,$J$5:$J$304,J300,$A$5:$A$304,"&lt;"&amp;A300)+1)</f>
        <v/>
      </c>
      <c r="L300" s="58" t="str">
        <f aca="false">IF(K300="","",E300&amp;"|"&amp;K300)</f>
        <v/>
      </c>
      <c r="M300" s="58" t="str">
        <f aca="false">IF(F300&lt;&gt;1,"",IF(COUNTIFS($C$5:C300,C300,$F$5:F300,1)=1,1,0))</f>
        <v/>
      </c>
      <c r="N300" s="59" t="str">
        <f aca="false">IF(M300&lt;&gt;1,"",SUMIF($C$5:$C$304,C300,$G$5:$G$304))</f>
        <v/>
      </c>
      <c r="O300" s="58" t="str">
        <f aca="false">IF(M300&lt;&gt;1,"",COUNTIFS($M$5:$M$304,1,$N$5:$N$304,"&gt;"&amp;N300)+COUNTIFS($M$5:$M$304,1,$N$5:$N$304,N300,$A$5:$A$304,"&lt;"&amp;A300)+1)</f>
        <v/>
      </c>
    </row>
    <row r="301" customFormat="false" ht="15" hidden="false" customHeight="false" outlineLevel="0" collapsed="false">
      <c r="A301" s="55" t="str">
        <f aca="false">IF(B301="","",ROW()-4)</f>
        <v/>
      </c>
      <c r="B301" s="57"/>
      <c r="C301" s="57"/>
      <c r="D301" s="57"/>
      <c r="E301" s="57"/>
      <c r="F301" s="58" t="str">
        <f aca="false">IF(B301="","",IF(COUNTIF(取込チェック!$C$6:$C$505,B301)&gt;0,1,0))</f>
        <v/>
      </c>
      <c r="G301" s="59" t="str">
        <f aca="false">IF(B301="","",SUMIF(取込チェック!$C$6:$C$505,B301,取込チェック!$D$6:$D$505))</f>
        <v/>
      </c>
      <c r="H301" s="59" t="str">
        <f aca="false">IF(B301="","",SUMIF(取込チェック!$C$6:$C$505,B301,取込チェック!$E$6:$E$505))</f>
        <v/>
      </c>
      <c r="I301" s="59" t="str">
        <f aca="false">IF(B301="","",SUMIF(取込チェック!$C$6:$C$505,B301,取込チェック!$F$6:$F$505))</f>
        <v/>
      </c>
      <c r="J301" s="60" t="str">
        <f aca="false">IF(F301&lt;&gt;1,"",IF(H301=0,-1,G301/H301))</f>
        <v/>
      </c>
      <c r="K301" s="58" t="str">
        <f aca="false">IF(F301&lt;&gt;1,"",COUNTIFS($E$5:$E$304,E301,$F$5:$F$304,1,$J$5:$J$304,"&gt;"&amp;J301)+COUNTIFS($E$5:$E$304,E301,$F$5:$F$304,1,$J$5:$J$304,J301,$A$5:$A$304,"&lt;"&amp;A301)+1)</f>
        <v/>
      </c>
      <c r="L301" s="58" t="str">
        <f aca="false">IF(K301="","",E301&amp;"|"&amp;K301)</f>
        <v/>
      </c>
      <c r="M301" s="58" t="str">
        <f aca="false">IF(F301&lt;&gt;1,"",IF(COUNTIFS($C$5:C301,C301,$F$5:F301,1)=1,1,0))</f>
        <v/>
      </c>
      <c r="N301" s="59" t="str">
        <f aca="false">IF(M301&lt;&gt;1,"",SUMIF($C$5:$C$304,C301,$G$5:$G$304))</f>
        <v/>
      </c>
      <c r="O301" s="58" t="str">
        <f aca="false">IF(M301&lt;&gt;1,"",COUNTIFS($M$5:$M$304,1,$N$5:$N$304,"&gt;"&amp;N301)+COUNTIFS($M$5:$M$304,1,$N$5:$N$304,N301,$A$5:$A$304,"&lt;"&amp;A301)+1)</f>
        <v/>
      </c>
    </row>
    <row r="302" customFormat="false" ht="15" hidden="false" customHeight="false" outlineLevel="0" collapsed="false">
      <c r="A302" s="55" t="str">
        <f aca="false">IF(B302="","",ROW()-4)</f>
        <v/>
      </c>
      <c r="B302" s="57"/>
      <c r="C302" s="57"/>
      <c r="D302" s="57"/>
      <c r="E302" s="57"/>
      <c r="F302" s="58" t="str">
        <f aca="false">IF(B302="","",IF(COUNTIF(取込チェック!$C$6:$C$505,B302)&gt;0,1,0))</f>
        <v/>
      </c>
      <c r="G302" s="59" t="str">
        <f aca="false">IF(B302="","",SUMIF(取込チェック!$C$6:$C$505,B302,取込チェック!$D$6:$D$505))</f>
        <v/>
      </c>
      <c r="H302" s="59" t="str">
        <f aca="false">IF(B302="","",SUMIF(取込チェック!$C$6:$C$505,B302,取込チェック!$E$6:$E$505))</f>
        <v/>
      </c>
      <c r="I302" s="59" t="str">
        <f aca="false">IF(B302="","",SUMIF(取込チェック!$C$6:$C$505,B302,取込チェック!$F$6:$F$505))</f>
        <v/>
      </c>
      <c r="J302" s="60" t="str">
        <f aca="false">IF(F302&lt;&gt;1,"",IF(H302=0,-1,G302/H302))</f>
        <v/>
      </c>
      <c r="K302" s="58" t="str">
        <f aca="false">IF(F302&lt;&gt;1,"",COUNTIFS($E$5:$E$304,E302,$F$5:$F$304,1,$J$5:$J$304,"&gt;"&amp;J302)+COUNTIFS($E$5:$E$304,E302,$F$5:$F$304,1,$J$5:$J$304,J302,$A$5:$A$304,"&lt;"&amp;A302)+1)</f>
        <v/>
      </c>
      <c r="L302" s="58" t="str">
        <f aca="false">IF(K302="","",E302&amp;"|"&amp;K302)</f>
        <v/>
      </c>
      <c r="M302" s="58" t="str">
        <f aca="false">IF(F302&lt;&gt;1,"",IF(COUNTIFS($C$5:C302,C302,$F$5:F302,1)=1,1,0))</f>
        <v/>
      </c>
      <c r="N302" s="59" t="str">
        <f aca="false">IF(M302&lt;&gt;1,"",SUMIF($C$5:$C$304,C302,$G$5:$G$304))</f>
        <v/>
      </c>
      <c r="O302" s="58" t="str">
        <f aca="false">IF(M302&lt;&gt;1,"",COUNTIFS($M$5:$M$304,1,$N$5:$N$304,"&gt;"&amp;N302)+COUNTIFS($M$5:$M$304,1,$N$5:$N$304,N302,$A$5:$A$304,"&lt;"&amp;A302)+1)</f>
        <v/>
      </c>
    </row>
    <row r="303" customFormat="false" ht="15" hidden="false" customHeight="false" outlineLevel="0" collapsed="false">
      <c r="A303" s="55" t="str">
        <f aca="false">IF(B303="","",ROW()-4)</f>
        <v/>
      </c>
      <c r="B303" s="57"/>
      <c r="C303" s="57"/>
      <c r="D303" s="57"/>
      <c r="E303" s="57"/>
      <c r="F303" s="58" t="str">
        <f aca="false">IF(B303="","",IF(COUNTIF(取込チェック!$C$6:$C$505,B303)&gt;0,1,0))</f>
        <v/>
      </c>
      <c r="G303" s="59" t="str">
        <f aca="false">IF(B303="","",SUMIF(取込チェック!$C$6:$C$505,B303,取込チェック!$D$6:$D$505))</f>
        <v/>
      </c>
      <c r="H303" s="59" t="str">
        <f aca="false">IF(B303="","",SUMIF(取込チェック!$C$6:$C$505,B303,取込チェック!$E$6:$E$505))</f>
        <v/>
      </c>
      <c r="I303" s="59" t="str">
        <f aca="false">IF(B303="","",SUMIF(取込チェック!$C$6:$C$505,B303,取込チェック!$F$6:$F$505))</f>
        <v/>
      </c>
      <c r="J303" s="60" t="str">
        <f aca="false">IF(F303&lt;&gt;1,"",IF(H303=0,-1,G303/H303))</f>
        <v/>
      </c>
      <c r="K303" s="58" t="str">
        <f aca="false">IF(F303&lt;&gt;1,"",COUNTIFS($E$5:$E$304,E303,$F$5:$F$304,1,$J$5:$J$304,"&gt;"&amp;J303)+COUNTIFS($E$5:$E$304,E303,$F$5:$F$304,1,$J$5:$J$304,J303,$A$5:$A$304,"&lt;"&amp;A303)+1)</f>
        <v/>
      </c>
      <c r="L303" s="58" t="str">
        <f aca="false">IF(K303="","",E303&amp;"|"&amp;K303)</f>
        <v/>
      </c>
      <c r="M303" s="58" t="str">
        <f aca="false">IF(F303&lt;&gt;1,"",IF(COUNTIFS($C$5:C303,C303,$F$5:F303,1)=1,1,0))</f>
        <v/>
      </c>
      <c r="N303" s="59" t="str">
        <f aca="false">IF(M303&lt;&gt;1,"",SUMIF($C$5:$C$304,C303,$G$5:$G$304))</f>
        <v/>
      </c>
      <c r="O303" s="58" t="str">
        <f aca="false">IF(M303&lt;&gt;1,"",COUNTIFS($M$5:$M$304,1,$N$5:$N$304,"&gt;"&amp;N303)+COUNTIFS($M$5:$M$304,1,$N$5:$N$304,N303,$A$5:$A$304,"&lt;"&amp;A303)+1)</f>
        <v/>
      </c>
    </row>
    <row r="304" customFormat="false" ht="15" hidden="false" customHeight="false" outlineLevel="0" collapsed="false">
      <c r="A304" s="55" t="str">
        <f aca="false">IF(B304="","",ROW()-4)</f>
        <v/>
      </c>
      <c r="B304" s="57"/>
      <c r="C304" s="57"/>
      <c r="D304" s="57"/>
      <c r="E304" s="57"/>
      <c r="F304" s="58" t="str">
        <f aca="false">IF(B304="","",IF(COUNTIF(取込チェック!$C$6:$C$505,B304)&gt;0,1,0))</f>
        <v/>
      </c>
      <c r="G304" s="59" t="str">
        <f aca="false">IF(B304="","",SUMIF(取込チェック!$C$6:$C$505,B304,取込チェック!$D$6:$D$505))</f>
        <v/>
      </c>
      <c r="H304" s="59" t="str">
        <f aca="false">IF(B304="","",SUMIF(取込チェック!$C$6:$C$505,B304,取込チェック!$E$6:$E$505))</f>
        <v/>
      </c>
      <c r="I304" s="59" t="str">
        <f aca="false">IF(B304="","",SUMIF(取込チェック!$C$6:$C$505,B304,取込チェック!$F$6:$F$505))</f>
        <v/>
      </c>
      <c r="J304" s="60" t="str">
        <f aca="false">IF(F304&lt;&gt;1,"",IF(H304=0,-1,G304/H304))</f>
        <v/>
      </c>
      <c r="K304" s="58" t="str">
        <f aca="false">IF(F304&lt;&gt;1,"",COUNTIFS($E$5:$E$304,E304,$F$5:$F$304,1,$J$5:$J$304,"&gt;"&amp;J304)+COUNTIFS($E$5:$E$304,E304,$F$5:$F$304,1,$J$5:$J$304,J304,$A$5:$A$304,"&lt;"&amp;A304)+1)</f>
        <v/>
      </c>
      <c r="L304" s="58" t="str">
        <f aca="false">IF(K304="","",E304&amp;"|"&amp;K304)</f>
        <v/>
      </c>
      <c r="M304" s="58" t="str">
        <f aca="false">IF(F304&lt;&gt;1,"",IF(COUNTIFS($C$5:C304,C304,$F$5:F304,1)=1,1,0))</f>
        <v/>
      </c>
      <c r="N304" s="59" t="str">
        <f aca="false">IF(M304&lt;&gt;1,"",SUMIF($C$5:$C$304,C304,$G$5:$G$304))</f>
        <v/>
      </c>
      <c r="O304" s="58" t="str">
        <f aca="false">IF(M304&lt;&gt;1,"",COUNTIFS($M$5:$M$304,1,$N$5:$N$304,"&gt;"&amp;N304)+COUNTIFS($M$5:$M$304,1,$N$5:$N$304,N304,$A$5:$A$304,"&lt;"&amp;A304)+1)</f>
        <v/>
      </c>
    </row>
  </sheetData>
  <autoFilter ref="A4:O304"/>
  <dataValidations count="1">
    <dataValidation allowBlank="true" error="リストから選択してください" errorStyle="stop" errorTitle="ブランド系統" operator="between" showDropDown="false" showErrorMessage="true" showInputMessage="false" sqref="E5:E304" type="list">
      <formula1>"アルチビオ,スタジオピッコーネ／ピッコーネクラブ,ピッコーネ,複合（アルチビオ＋ピッコーネ系）"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H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50" t="s">
        <v>149</v>
      </c>
    </row>
    <row r="2" customFormat="false" ht="15" hidden="false" customHeight="false" outlineLevel="0" collapsed="false">
      <c r="A2" s="2" t="s">
        <v>150</v>
      </c>
    </row>
    <row r="3" customFormat="false" ht="15" hidden="false" customHeight="false" outlineLevel="0" collapsed="false">
      <c r="A3" s="61" t="s">
        <v>151</v>
      </c>
      <c r="B3" s="62" t="str">
        <f aca="false">IFERROR(LEFT(TRIM(MID(元データ!$B$1,FIND("前年同月",元データ!$B$1)+4,20)),7),"")</f>
        <v>2025/10</v>
      </c>
      <c r="C3" s="61" t="s">
        <v>152</v>
      </c>
      <c r="D3" s="62" t="n">
        <f aca="false">IFERROR(VALUE(LEFT($B$3,4)),"")</f>
        <v>2025</v>
      </c>
      <c r="E3" s="61" t="s">
        <v>153</v>
      </c>
      <c r="F3" s="62" t="n">
        <f aca="false">IFERROR(VALUE(MID($B$3,6,2)),"")</f>
        <v>10</v>
      </c>
      <c r="G3" s="61" t="s">
        <v>154</v>
      </c>
      <c r="H3" s="62" t="str">
        <f aca="false">IF($D$3="","POS売上 予算・前年対比（対象月を読み取れません：元データB1を確認）","POS売上 予算・前年対比（"&amp;($D$3+1)&amp;"年"&amp;$F$3&amp;"月度／前年同月 "&amp;$D$3&amp;"年"&amp;$F$3&amp;"月）")</f>
        <v>POS売上 予算・前年対比（2026年10月度／前年同月 2025年10月）</v>
      </c>
    </row>
    <row r="5" customFormat="false" ht="31.5" hidden="false" customHeight="true" outlineLevel="0" collapsed="false">
      <c r="A5" s="3" t="s">
        <v>155</v>
      </c>
      <c r="B5" s="3" t="s">
        <v>156</v>
      </c>
      <c r="C5" s="3" t="s">
        <v>32</v>
      </c>
      <c r="D5" s="3" t="s">
        <v>3</v>
      </c>
      <c r="E5" s="3" t="s">
        <v>5</v>
      </c>
      <c r="F5" s="3" t="s">
        <v>8</v>
      </c>
      <c r="G5" s="3" t="s">
        <v>157</v>
      </c>
    </row>
    <row r="6" customFormat="false" ht="15" hidden="false" customHeight="false" outlineLevel="0" collapsed="false">
      <c r="A6" s="63" t="n">
        <v>4</v>
      </c>
      <c r="B6" s="63" t="str">
        <f aca="false">IF(元データ!$A$4="","",元データ!$A$4)</f>
        <v>(32673900)高島屋高崎店アルチビオ</v>
      </c>
      <c r="C6" s="63" t="n">
        <f aca="false">IF(LEFT(B6,1)="(",IFERROR(VALUE(MID(B6,2,FIND(")",B6)-2)),""),"")</f>
        <v>32673900</v>
      </c>
      <c r="D6" s="64" t="n">
        <f aca="false">IF($C6="","",N(元データ!$B$4))</f>
        <v>897774</v>
      </c>
      <c r="E6" s="64" t="n">
        <f aca="false">IF($C6="","",N(元データ!$C$4))</f>
        <v>1200000</v>
      </c>
      <c r="F6" s="64" t="n">
        <f aca="false">IF($C6="","",N(元データ!$F$4))</f>
        <v>1184930</v>
      </c>
      <c r="G6" s="63" t="str">
        <f aca="false">IF($C6="","",IF(COUNTIF(店舗マスタ!$B$5:$B$304,$C6)&gt;0,"登録済","未登録→マスタに追加"))</f>
        <v>登録済</v>
      </c>
    </row>
    <row r="7" customFormat="false" ht="15" hidden="false" customHeight="false" outlineLevel="0" collapsed="false">
      <c r="A7" s="63" t="n">
        <v>5</v>
      </c>
      <c r="B7" s="63" t="str">
        <f aca="false">IF(元データ!$A$5="","",元データ!$A$5)</f>
        <v>(32580400)ハービスPLAZA店アルチビオ</v>
      </c>
      <c r="C7" s="63" t="n">
        <f aca="false">IF(LEFT(B7,1)="(",IFERROR(VALUE(MID(B7,2,FIND(")",B7)-2)),""),"")</f>
        <v>32580400</v>
      </c>
      <c r="D7" s="64" t="n">
        <f aca="false">IF($C7="","",N(元データ!$B$5))</f>
        <v>1942301</v>
      </c>
      <c r="E7" s="64" t="n">
        <f aca="false">IF($C7="","",N(元データ!$C$5))</f>
        <v>3812000</v>
      </c>
      <c r="F7" s="64" t="n">
        <f aca="false">IF($C7="","",N(元データ!$F$5))</f>
        <v>3514950</v>
      </c>
      <c r="G7" s="63" t="str">
        <f aca="false">IF($C7="","",IF(COUNTIF(店舗マスタ!$B$5:$B$304,$C7)&gt;0,"登録済","未登録→マスタに追加"))</f>
        <v>登録済</v>
      </c>
    </row>
    <row r="8" customFormat="false" ht="15" hidden="false" customHeight="false" outlineLevel="0" collapsed="false">
      <c r="A8" s="63" t="n">
        <v>6</v>
      </c>
      <c r="B8" s="63" t="str">
        <f aca="false">IF(元データ!$A$6="","",元データ!$A$6)</f>
        <v>(32670600)高島屋新宿店アルチビオ</v>
      </c>
      <c r="C8" s="63" t="n">
        <f aca="false">IF(LEFT(B8,1)="(",IFERROR(VALUE(MID(B8,2,FIND(")",B8)-2)),""),"")</f>
        <v>32670600</v>
      </c>
      <c r="D8" s="64" t="n">
        <f aca="false">IF($C8="","",N(元データ!$B$6))</f>
        <v>1202200</v>
      </c>
      <c r="E8" s="64" t="n">
        <f aca="false">IF($C8="","",N(元データ!$C$6))</f>
        <v>3958000</v>
      </c>
      <c r="F8" s="64" t="n">
        <f aca="false">IF($C8="","",N(元データ!$F$6))</f>
        <v>3803490</v>
      </c>
      <c r="G8" s="63" t="str">
        <f aca="false">IF($C8="","",IF(COUNTIF(店舗マスタ!$B$5:$B$304,$C8)&gt;0,"登録済","未登録→マスタに追加"))</f>
        <v>登録済</v>
      </c>
    </row>
    <row r="9" customFormat="false" ht="15" hidden="false" customHeight="false" outlineLevel="0" collapsed="false">
      <c r="A9" s="63" t="n">
        <v>7</v>
      </c>
      <c r="B9" s="63" t="str">
        <f aca="false">IF(元データ!$A$7="","",元データ!$A$7)</f>
        <v>(32671500)札幌三越ピッコーネ・アルチビオ</v>
      </c>
      <c r="C9" s="63" t="n">
        <f aca="false">IF(LEFT(B9,1)="(",IFERROR(VALUE(MID(B9,2,FIND(")",B9)-2)),""),"")</f>
        <v>32671500</v>
      </c>
      <c r="D9" s="64" t="n">
        <f aca="false">IF($C9="","",N(元データ!$B$7))</f>
        <v>922530</v>
      </c>
      <c r="E9" s="64" t="n">
        <f aca="false">IF($C9="","",N(元データ!$C$7))</f>
        <v>3079000</v>
      </c>
      <c r="F9" s="64" t="n">
        <f aca="false">IF($C9="","",N(元データ!$F$7))</f>
        <v>2912300</v>
      </c>
      <c r="G9" s="63" t="str">
        <f aca="false">IF($C9="","",IF(COUNTIF(店舗マスタ!$B$5:$B$304,$C9)&gt;0,"登録済","未登録→マスタに追加"))</f>
        <v>登録済</v>
      </c>
    </row>
    <row r="10" customFormat="false" ht="15" hidden="false" customHeight="false" outlineLevel="0" collapsed="false">
      <c r="A10" s="63" t="n">
        <v>8</v>
      </c>
      <c r="B10" s="63" t="str">
        <f aca="false">IF(元データ!$A$8="","",元データ!$A$8)</f>
        <v>(32674900)松屋銀座本店アルチビオ</v>
      </c>
      <c r="C10" s="63" t="n">
        <f aca="false">IF(LEFT(B10,1)="(",IFERROR(VALUE(MID(B10,2,FIND(")",B10)-2)),""),"")</f>
        <v>32674900</v>
      </c>
      <c r="D10" s="64" t="n">
        <f aca="false">IF($C10="","",N(元データ!$B$8))</f>
        <v>856826</v>
      </c>
      <c r="E10" s="64" t="n">
        <f aca="false">IF($C10="","",N(元データ!$C$8))</f>
        <v>2900000</v>
      </c>
      <c r="F10" s="64" t="n">
        <f aca="false">IF($C10="","",N(元データ!$F$8))</f>
        <v>2769045</v>
      </c>
      <c r="G10" s="63" t="str">
        <f aca="false">IF($C10="","",IF(COUNTIF(店舗マスタ!$B$5:$B$304,$C10)&gt;0,"登録済","未登録→マスタに追加"))</f>
        <v>登録済</v>
      </c>
    </row>
    <row r="11" customFormat="false" ht="15" hidden="false" customHeight="false" outlineLevel="0" collapsed="false">
      <c r="A11" s="63" t="n">
        <v>9</v>
      </c>
      <c r="B11" s="63" t="str">
        <f aca="false">IF(元データ!$A$9="","",元データ!$A$9)</f>
        <v>(32570100)高島屋大阪店アルチビオ</v>
      </c>
      <c r="C11" s="63" t="n">
        <f aca="false">IF(LEFT(B11,1)="(",IFERROR(VALUE(MID(B11,2,FIND(")",B11)-2)),""),"")</f>
        <v>32570100</v>
      </c>
      <c r="D11" s="64" t="n">
        <f aca="false">IF($C11="","",N(元データ!$B$9))</f>
        <v>1650946</v>
      </c>
      <c r="E11" s="64" t="n">
        <f aca="false">IF($C11="","",N(元データ!$C$9))</f>
        <v>6591000</v>
      </c>
      <c r="F11" s="64" t="n">
        <f aca="false">IF($C11="","",N(元データ!$F$9))</f>
        <v>4992300</v>
      </c>
      <c r="G11" s="63" t="str">
        <f aca="false">IF($C11="","",IF(COUNTIF(店舗マスタ!$B$5:$B$304,$C11)&gt;0,"登録済","未登録→マスタに追加"))</f>
        <v>登録済</v>
      </c>
    </row>
    <row r="12" customFormat="false" ht="15" hidden="false" customHeight="false" outlineLevel="0" collapsed="false">
      <c r="A12" s="63" t="n">
        <v>10</v>
      </c>
      <c r="B12" s="63" t="str">
        <f aca="false">IF(元データ!$A$10="","",元データ!$A$10)</f>
        <v>(32570200)高島屋大阪店ｽﾀｼﾞｵﾋﾟｯｺｰﾈ・ﾋﾟｯｺｰﾈｸﾗﾌﾞ</v>
      </c>
      <c r="C12" s="63" t="n">
        <f aca="false">IF(LEFT(B12,1)="(",IFERROR(VALUE(MID(B12,2,FIND(")",B12)-2)),""),"")</f>
        <v>32570200</v>
      </c>
      <c r="D12" s="64" t="n">
        <f aca="false">IF($C12="","",N(元データ!$B$10))</f>
        <v>1262854</v>
      </c>
      <c r="E12" s="64" t="n">
        <f aca="false">IF($C12="","",N(元データ!$C$10))</f>
        <v>5370000</v>
      </c>
      <c r="F12" s="64" t="n">
        <f aca="false">IF($C12="","",N(元データ!$F$10))</f>
        <v>4965460</v>
      </c>
      <c r="G12" s="63" t="str">
        <f aca="false">IF($C12="","",IF(COUNTIF(店舗マスタ!$B$5:$B$304,$C12)&gt;0,"登録済","未登録→マスタに追加"))</f>
        <v>登録済</v>
      </c>
    </row>
    <row r="13" customFormat="false" ht="15" hidden="false" customHeight="false" outlineLevel="0" collapsed="false">
      <c r="A13" s="63" t="n">
        <v>11</v>
      </c>
      <c r="B13" s="63" t="str">
        <f aca="false">IF(元データ!$A$11="","",元データ!$A$11)</f>
        <v>(32676200)東武宇都宮百貨店ｽﾀｼﾞｵﾋﾟｯｺｰﾈ・ﾋﾟｯｺｰﾈｸﾗﾌﾞ</v>
      </c>
      <c r="C13" s="63" t="n">
        <f aca="false">IF(LEFT(B13,1)="(",IFERROR(VALUE(MID(B13,2,FIND(")",B13)-2)),""),"")</f>
        <v>32676200</v>
      </c>
      <c r="D13" s="64" t="n">
        <f aca="false">IF($C13="","",N(元データ!$B$11))</f>
        <v>419700</v>
      </c>
      <c r="E13" s="64" t="n">
        <f aca="false">IF($C13="","",N(元データ!$C$11))</f>
        <v>2100000</v>
      </c>
      <c r="F13" s="64" t="n">
        <f aca="false">IF($C13="","",N(元データ!$F$11))</f>
        <v>1953490</v>
      </c>
      <c r="G13" s="63" t="str">
        <f aca="false">IF($C13="","",IF(COUNTIF(店舗マスタ!$B$5:$B$304,$C13)&gt;0,"登録済","未登録→マスタに追加"))</f>
        <v>登録済</v>
      </c>
    </row>
    <row r="14" customFormat="false" ht="15" hidden="false" customHeight="false" outlineLevel="0" collapsed="false">
      <c r="A14" s="63" t="n">
        <v>12</v>
      </c>
      <c r="B14" s="63" t="str">
        <f aca="false">IF(元データ!$A$12="","",元データ!$A$12)</f>
        <v>(32574100)広島三越店スタジオピッコーネ</v>
      </c>
      <c r="C14" s="63" t="n">
        <f aca="false">IF(LEFT(B14,1)="(",IFERROR(VALUE(MID(B14,2,FIND(")",B14)-2)),""),"")</f>
        <v>32574100</v>
      </c>
      <c r="D14" s="64" t="n">
        <f aca="false">IF($C14="","",N(元データ!$B$12))</f>
        <v>507400</v>
      </c>
      <c r="E14" s="64" t="n">
        <f aca="false">IF($C14="","",N(元データ!$C$12))</f>
        <v>2600000</v>
      </c>
      <c r="F14" s="64" t="n">
        <f aca="false">IF($C14="","",N(元データ!$F$12))</f>
        <v>1796500</v>
      </c>
      <c r="G14" s="63" t="str">
        <f aca="false">IF($C14="","",IF(COUNTIF(店舗マスタ!$B$5:$B$304,$C14)&gt;0,"登録済","未登録→マスタに追加"))</f>
        <v>登録済</v>
      </c>
    </row>
    <row r="15" customFormat="false" ht="15" hidden="false" customHeight="false" outlineLevel="0" collapsed="false">
      <c r="A15" s="63" t="n">
        <v>13</v>
      </c>
      <c r="B15" s="63" t="str">
        <f aca="false">IF(元データ!$A$13="","",元データ!$A$13)</f>
        <v>(32675700)静岡伊勢丹ｽﾀｼﾞｵﾋﾟｯｺｰﾈ・ﾋﾟｯｺｰﾈｸﾗﾌﾞ</v>
      </c>
      <c r="C15" s="63" t="n">
        <f aca="false">IF(LEFT(B15,1)="(",IFERROR(VALUE(MID(B15,2,FIND(")",B15)-2)),""),"")</f>
        <v>32675700</v>
      </c>
      <c r="D15" s="64" t="n">
        <f aca="false">IF($C15="","",N(元データ!$B$13))</f>
        <v>241380</v>
      </c>
      <c r="E15" s="64" t="n">
        <f aca="false">IF($C15="","",N(元データ!$C$13))</f>
        <v>1250000</v>
      </c>
      <c r="F15" s="64" t="n">
        <f aca="false">IF($C15="","",N(元データ!$F$13))</f>
        <v>997950</v>
      </c>
      <c r="G15" s="63" t="str">
        <f aca="false">IF($C15="","",IF(COUNTIF(店舗マスタ!$B$5:$B$304,$C15)&gt;0,"登録済","未登録→マスタに追加"))</f>
        <v>登録済</v>
      </c>
    </row>
    <row r="16" customFormat="false" ht="15" hidden="false" customHeight="false" outlineLevel="0" collapsed="false">
      <c r="A16" s="63" t="n">
        <v>14</v>
      </c>
      <c r="B16" s="63" t="str">
        <f aca="false">IF(元データ!$A$14="","",元データ!$A$14)</f>
        <v>(32670400)高島屋高崎店ｽﾀｼﾞｵﾋﾟｯｺｰﾈ・ﾋﾟｯｺｰﾈｸﾗﾌﾞ</v>
      </c>
      <c r="C16" s="63" t="n">
        <f aca="false">IF(LEFT(B16,1)="(",IFERROR(VALUE(MID(B16,2,FIND(")",B16)-2)),""),"")</f>
        <v>32670400</v>
      </c>
      <c r="D16" s="64" t="n">
        <f aca="false">IF($C16="","",N(元データ!$B$14))</f>
        <v>776168</v>
      </c>
      <c r="E16" s="64" t="n">
        <f aca="false">IF($C16="","",N(元データ!$C$14))</f>
        <v>4050000</v>
      </c>
      <c r="F16" s="64" t="n">
        <f aca="false">IF($C16="","",N(元データ!$F$14))</f>
        <v>3884330</v>
      </c>
      <c r="G16" s="63" t="str">
        <f aca="false">IF($C16="","",IF(COUNTIF(店舗マスタ!$B$5:$B$304,$C16)&gt;0,"登録済","未登録→マスタに追加"))</f>
        <v>登録済</v>
      </c>
    </row>
    <row r="17" customFormat="false" ht="15" hidden="false" customHeight="false" outlineLevel="0" collapsed="false">
      <c r="A17" s="63" t="n">
        <v>15</v>
      </c>
      <c r="B17" s="63" t="str">
        <f aca="false">IF(元データ!$A$15="","",元データ!$A$15)</f>
        <v>(32581000)堀江店アルチビオ</v>
      </c>
      <c r="C17" s="63" t="n">
        <f aca="false">IF(LEFT(B17,1)="(",IFERROR(VALUE(MID(B17,2,FIND(")",B17)-2)),""),"")</f>
        <v>32581000</v>
      </c>
      <c r="D17" s="64" t="n">
        <f aca="false">IF($C17="","",N(元データ!$B$15))</f>
        <v>898194</v>
      </c>
      <c r="E17" s="64" t="n">
        <f aca="false">IF($C17="","",N(元データ!$C$15))</f>
        <v>4782000</v>
      </c>
      <c r="F17" s="64" t="n">
        <f aca="false">IF($C17="","",N(元データ!$F$15))</f>
        <v>4451408</v>
      </c>
      <c r="G17" s="63" t="str">
        <f aca="false">IF($C17="","",IF(COUNTIF(店舗マスタ!$B$5:$B$304,$C17)&gt;0,"登録済","未登録→マスタに追加"))</f>
        <v>登録済</v>
      </c>
    </row>
    <row r="18" customFormat="false" ht="15" hidden="false" customHeight="false" outlineLevel="0" collapsed="false">
      <c r="A18" s="63" t="n">
        <v>16</v>
      </c>
      <c r="B18" s="63" t="str">
        <f aca="false">IF(元データ!$A$16="","",元データ!$A$16)</f>
        <v>(32572600)大丸福岡天神店ｽﾀｼﾞｵﾋﾟｯｺｰﾈ・ﾋﾟｯｺｰﾈｸﾗﾌﾞ</v>
      </c>
      <c r="C18" s="63" t="n">
        <f aca="false">IF(LEFT(B18,1)="(",IFERROR(VALUE(MID(B18,2,FIND(")",B18)-2)),""),"")</f>
        <v>32572600</v>
      </c>
      <c r="D18" s="64" t="n">
        <f aca="false">IF($C18="","",N(元データ!$B$16))</f>
        <v>521900</v>
      </c>
      <c r="E18" s="64" t="n">
        <f aca="false">IF($C18="","",N(元データ!$C$16))</f>
        <v>2830000</v>
      </c>
      <c r="F18" s="64" t="n">
        <f aca="false">IF($C18="","",N(元データ!$F$16))</f>
        <v>2230000</v>
      </c>
      <c r="G18" s="63" t="str">
        <f aca="false">IF($C18="","",IF(COUNTIF(店舗マスタ!$B$5:$B$304,$C18)&gt;0,"登録済","未登録→マスタに追加"))</f>
        <v>登録済</v>
      </c>
    </row>
    <row r="19" customFormat="false" ht="15" hidden="false" customHeight="false" outlineLevel="0" collapsed="false">
      <c r="A19" s="63" t="n">
        <v>17</v>
      </c>
      <c r="B19" s="63" t="str">
        <f aca="false">IF(元データ!$A$17="","",元データ!$A$17)</f>
        <v>(32670200)髙島屋横浜店ｽﾀｼﾞｵﾋﾟｯｺｰﾈ・ﾋﾟｯｺｰﾈｸﾗﾌﾞ</v>
      </c>
      <c r="C19" s="63" t="n">
        <f aca="false">IF(LEFT(B19,1)="(",IFERROR(VALUE(MID(B19,2,FIND(")",B19)-2)),""),"")</f>
        <v>32670200</v>
      </c>
      <c r="D19" s="64" t="n">
        <f aca="false">IF($C19="","",N(元データ!$B$17))</f>
        <v>920100</v>
      </c>
      <c r="E19" s="64" t="n">
        <f aca="false">IF($C19="","",N(元データ!$C$17))</f>
        <v>5100000</v>
      </c>
      <c r="F19" s="64" t="n">
        <f aca="false">IF($C19="","",N(元データ!$F$17))</f>
        <v>4342490</v>
      </c>
      <c r="G19" s="63" t="str">
        <f aca="false">IF($C19="","",IF(COUNTIF(店舗マスタ!$B$5:$B$304,$C19)&gt;0,"登録済","未登録→マスタに追加"))</f>
        <v>登録済</v>
      </c>
    </row>
    <row r="20" customFormat="false" ht="15" hidden="false" customHeight="false" outlineLevel="0" collapsed="false">
      <c r="A20" s="63" t="n">
        <v>18</v>
      </c>
      <c r="B20" s="63" t="str">
        <f aca="false">IF(元データ!$A$18="","",元データ!$A$18)</f>
        <v>(32573700)近鉄百貨店上本町店ｽﾀｼﾞｵﾋﾟｯｺｰﾈ・ﾋﾟｯｺｰﾈｸﾗﾌ</v>
      </c>
      <c r="C20" s="63" t="n">
        <f aca="false">IF(LEFT(B20,1)="(",IFERROR(VALUE(MID(B20,2,FIND(")",B20)-2)),""),"")</f>
        <v>32573700</v>
      </c>
      <c r="D20" s="64" t="n">
        <f aca="false">IF($C20="","",N(元データ!$B$18))</f>
        <v>691454</v>
      </c>
      <c r="E20" s="64" t="n">
        <f aca="false">IF($C20="","",N(元データ!$C$18))</f>
        <v>3940000</v>
      </c>
      <c r="F20" s="64" t="n">
        <f aca="false">IF($C20="","",N(元データ!$F$18))</f>
        <v>3597695</v>
      </c>
      <c r="G20" s="63" t="str">
        <f aca="false">IF($C20="","",IF(COUNTIF(店舗マスタ!$B$5:$B$304,$C20)&gt;0,"登録済","未登録→マスタに追加"))</f>
        <v>登録済</v>
      </c>
    </row>
    <row r="21" customFormat="false" ht="15" hidden="false" customHeight="false" outlineLevel="0" collapsed="false">
      <c r="A21" s="63" t="n">
        <v>19</v>
      </c>
      <c r="B21" s="63" t="str">
        <f aca="false">IF(元データ!$A$19="","",元データ!$A$19)</f>
        <v>(32575700)名古屋三越栄店スタジオピッコーネ</v>
      </c>
      <c r="C21" s="63" t="n">
        <f aca="false">IF(LEFT(B21,1)="(",IFERROR(VALUE(MID(B21,2,FIND(")",B21)-2)),""),"")</f>
        <v>32575700</v>
      </c>
      <c r="D21" s="64" t="n">
        <f aca="false">IF($C21="","",N(元データ!$B$19))</f>
        <v>721272</v>
      </c>
      <c r="E21" s="64" t="n">
        <f aca="false">IF($C21="","",N(元データ!$C$19))</f>
        <v>4200000</v>
      </c>
      <c r="F21" s="64" t="n">
        <f aca="false">IF($C21="","",N(元データ!$F$19))</f>
        <v>4050580</v>
      </c>
      <c r="G21" s="63" t="str">
        <f aca="false">IF($C21="","",IF(COUNTIF(店舗マスタ!$B$5:$B$304,$C21)&gt;0,"登録済","未登録→マスタに追加"))</f>
        <v>登録済</v>
      </c>
    </row>
    <row r="22" customFormat="false" ht="15" hidden="false" customHeight="false" outlineLevel="0" collapsed="false">
      <c r="A22" s="63" t="n">
        <v>20</v>
      </c>
      <c r="B22" s="63" t="str">
        <f aca="false">IF(元データ!$A$20="","",元データ!$A$20)</f>
        <v>(32671900)松坂屋上野店ｽﾀｼﾞｵﾋﾟｯｺｰﾈ・ﾋﾟｯｺｰﾈｸﾗﾌﾞ</v>
      </c>
      <c r="C22" s="63" t="n">
        <f aca="false">IF(LEFT(B22,1)="(",IFERROR(VALUE(MID(B22,2,FIND(")",B22)-2)),""),"")</f>
        <v>32671900</v>
      </c>
      <c r="D22" s="64" t="n">
        <f aca="false">IF($C22="","",N(元データ!$B$20))</f>
        <v>492100</v>
      </c>
      <c r="E22" s="64" t="n">
        <f aca="false">IF($C22="","",N(元データ!$C$20))</f>
        <v>2900000</v>
      </c>
      <c r="F22" s="64" t="n">
        <f aca="false">IF($C22="","",N(元データ!$F$20))</f>
        <v>2327950</v>
      </c>
      <c r="G22" s="63" t="str">
        <f aca="false">IF($C22="","",IF(COUNTIF(店舗マスタ!$B$5:$B$304,$C22)&gt;0,"登録済","未登録→マスタに追加"))</f>
        <v>登録済</v>
      </c>
    </row>
    <row r="23" customFormat="false" ht="15" hidden="false" customHeight="false" outlineLevel="0" collapsed="false">
      <c r="A23" s="63" t="n">
        <v>21</v>
      </c>
      <c r="B23" s="63" t="str">
        <f aca="false">IF(元データ!$A$21="","",元データ!$A$21)</f>
        <v>(32673800)高島屋横浜店アルチビオ</v>
      </c>
      <c r="C23" s="63" t="n">
        <f aca="false">IF(LEFT(B23,1)="(",IFERROR(VALUE(MID(B23,2,FIND(")",B23)-2)),""),"")</f>
        <v>32673800</v>
      </c>
      <c r="D23" s="64" t="n">
        <f aca="false">IF($C23="","",N(元データ!$B$21))</f>
        <v>371528</v>
      </c>
      <c r="E23" s="64" t="n">
        <f aca="false">IF($C23="","",N(元データ!$C$21))</f>
        <v>2180000</v>
      </c>
      <c r="F23" s="64" t="n">
        <f aca="false">IF($C23="","",N(元データ!$F$21))</f>
        <v>1807900</v>
      </c>
      <c r="G23" s="63" t="str">
        <f aca="false">IF($C23="","",IF(COUNTIF(店舗マスタ!$B$5:$B$304,$C23)&gt;0,"登録済","未登録→マスタに追加"))</f>
        <v>登録済</v>
      </c>
    </row>
    <row r="24" customFormat="false" ht="15" hidden="false" customHeight="false" outlineLevel="0" collapsed="false">
      <c r="A24" s="63" t="n">
        <v>22</v>
      </c>
      <c r="B24" s="63" t="str">
        <f aca="false">IF(元データ!$A$22="","",元データ!$A$22)</f>
        <v>(32572200)松坂屋名古屋店アルチビオ・ピッコーネクラ</v>
      </c>
      <c r="C24" s="63" t="n">
        <f aca="false">IF(LEFT(B24,1)="(",IFERROR(VALUE(MID(B24,2,FIND(")",B24)-2)),""),"")</f>
        <v>32572200</v>
      </c>
      <c r="D24" s="64" t="n">
        <f aca="false">IF($C24="","",N(元データ!$B$22))</f>
        <v>1582708</v>
      </c>
      <c r="E24" s="64" t="n">
        <f aca="false">IF($C24="","",N(元データ!$C$22))</f>
        <v>9500000</v>
      </c>
      <c r="F24" s="64" t="n">
        <f aca="false">IF($C24="","",N(元データ!$F$22))</f>
        <v>9277415</v>
      </c>
      <c r="G24" s="63" t="str">
        <f aca="false">IF($C24="","",IF(COUNTIF(店舗マスタ!$B$5:$B$304,$C24)&gt;0,"登録済","未登録→マスタに追加"))</f>
        <v>登録済</v>
      </c>
    </row>
    <row r="25" customFormat="false" ht="15" hidden="false" customHeight="false" outlineLevel="0" collapsed="false">
      <c r="A25" s="63" t="n">
        <v>23</v>
      </c>
      <c r="B25" s="63" t="str">
        <f aca="false">IF(元データ!$A$23="","",元データ!$A$23)</f>
        <v>(32675800)伊勢丹立川店ｽﾀｼﾞｵﾋﾟｯｺｰﾈ・ﾋﾟｯｺｰﾈｸﾗﾌﾞ</v>
      </c>
      <c r="C25" s="63" t="n">
        <f aca="false">IF(LEFT(B25,1)="(",IFERROR(VALUE(MID(B25,2,FIND(")",B25)-2)),""),"")</f>
        <v>32675800</v>
      </c>
      <c r="D25" s="64" t="n">
        <f aca="false">IF($C25="","",N(元データ!$B$23))</f>
        <v>414000</v>
      </c>
      <c r="E25" s="64" t="n">
        <f aca="false">IF($C25="","",N(元データ!$C$23))</f>
        <v>2650000</v>
      </c>
      <c r="F25" s="64" t="n">
        <f aca="false">IF($C25="","",N(元データ!$F$23))</f>
        <v>2438700</v>
      </c>
      <c r="G25" s="63" t="str">
        <f aca="false">IF($C25="","",IF(COUNTIF(店舗マスタ!$B$5:$B$304,$C25)&gt;0,"登録済","未登録→マスタに追加"))</f>
        <v>登録済</v>
      </c>
    </row>
    <row r="26" customFormat="false" ht="15" hidden="false" customHeight="false" outlineLevel="0" collapsed="false">
      <c r="A26" s="63" t="n">
        <v>24</v>
      </c>
      <c r="B26" s="63" t="str">
        <f aca="false">IF(元データ!$A$24="","",元データ!$A$24)</f>
        <v>(32674400)伊勢丹浦和店アルチビオ</v>
      </c>
      <c r="C26" s="63" t="n">
        <f aca="false">IF(LEFT(B26,1)="(",IFERROR(VALUE(MID(B26,2,FIND(")",B26)-2)),""),"")</f>
        <v>32674400</v>
      </c>
      <c r="D26" s="64" t="n">
        <f aca="false">IF($C26="","",N(元データ!$B$24))</f>
        <v>212253</v>
      </c>
      <c r="E26" s="64" t="n">
        <f aca="false">IF($C26="","",N(元データ!$C$24))</f>
        <v>1470000</v>
      </c>
      <c r="F26" s="64" t="n">
        <f aca="false">IF($C26="","",N(元データ!$F$24))</f>
        <v>1293200</v>
      </c>
      <c r="G26" s="63" t="str">
        <f aca="false">IF($C26="","",IF(COUNTIF(店舗マスタ!$B$5:$B$304,$C26)&gt;0,"登録済","未登録→マスタに追加"))</f>
        <v>登録済</v>
      </c>
    </row>
    <row r="27" customFormat="false" ht="15" hidden="false" customHeight="false" outlineLevel="0" collapsed="false">
      <c r="A27" s="63" t="n">
        <v>25</v>
      </c>
      <c r="B27" s="63" t="str">
        <f aca="false">IF(元データ!$A$25="","",元データ!$A$25)</f>
        <v>(32573400)近鉄百貨店和歌山店ｽﾀｼﾞｵﾋﾟｯｺｰﾈ・ﾋﾟｯｺｰﾈｸﾗﾌ</v>
      </c>
      <c r="C27" s="63" t="n">
        <f aca="false">IF(LEFT(B27,1)="(",IFERROR(VALUE(MID(B27,2,FIND(")",B27)-2)),""),"")</f>
        <v>32573400</v>
      </c>
      <c r="D27" s="64" t="n">
        <f aca="false">IF($C27="","",N(元データ!$B$25))</f>
        <v>315700</v>
      </c>
      <c r="E27" s="64" t="n">
        <f aca="false">IF($C27="","",N(元データ!$C$25))</f>
        <v>2280000</v>
      </c>
      <c r="F27" s="64" t="n">
        <f aca="false">IF($C27="","",N(元データ!$F$25))</f>
        <v>2014530</v>
      </c>
      <c r="G27" s="63" t="str">
        <f aca="false">IF($C27="","",IF(COUNTIF(店舗マスタ!$B$5:$B$304,$C27)&gt;0,"登録済","未登録→マスタに追加"))</f>
        <v>登録済</v>
      </c>
    </row>
    <row r="28" customFormat="false" ht="15" hidden="false" customHeight="false" outlineLevel="0" collapsed="false">
      <c r="A28" s="63" t="n">
        <v>26</v>
      </c>
      <c r="B28" s="63" t="str">
        <f aca="false">IF(元データ!$A$26="","",元データ!$A$26)</f>
        <v>(32674500)仙台三越ｽﾀｼﾞｵﾋﾟｯｺｰﾈ・ﾋﾟｯｺｰﾈｸﾗﾌﾞ</v>
      </c>
      <c r="C28" s="63" t="n">
        <f aca="false">IF(LEFT(B28,1)="(",IFERROR(VALUE(MID(B28,2,FIND(")",B28)-2)),""),"")</f>
        <v>32674500</v>
      </c>
      <c r="D28" s="64" t="n">
        <f aca="false">IF($C28="","",N(元データ!$B$26))</f>
        <v>255700</v>
      </c>
      <c r="E28" s="64" t="n">
        <f aca="false">IF($C28="","",N(元データ!$C$26))</f>
        <v>1900000</v>
      </c>
      <c r="F28" s="64" t="n">
        <f aca="false">IF($C28="","",N(元データ!$F$26))</f>
        <v>1610700</v>
      </c>
      <c r="G28" s="63" t="str">
        <f aca="false">IF($C28="","",IF(COUNTIF(店舗マスタ!$B$5:$B$304,$C28)&gt;0,"登録済","未登録→マスタに追加"))</f>
        <v>登録済</v>
      </c>
    </row>
    <row r="29" customFormat="false" ht="15" hidden="false" customHeight="false" outlineLevel="0" collapsed="false">
      <c r="A29" s="63" t="n">
        <v>27</v>
      </c>
      <c r="B29" s="63" t="str">
        <f aca="false">IF(元データ!$A$27="","",元データ!$A$27)</f>
        <v>(32570800)高島屋京都店アルチビオ・ピッコーネクラブ</v>
      </c>
      <c r="C29" s="63" t="n">
        <f aca="false">IF(LEFT(B29,1)="(",IFERROR(VALUE(MID(B29,2,FIND(")",B29)-2)),""),"")</f>
        <v>32570800</v>
      </c>
      <c r="D29" s="64" t="n">
        <f aca="false">IF($C29="","",N(元データ!$B$27))</f>
        <v>597712</v>
      </c>
      <c r="E29" s="64" t="n">
        <f aca="false">IF($C29="","",N(元データ!$C$27))</f>
        <v>4687000</v>
      </c>
      <c r="F29" s="64" t="n">
        <f aca="false">IF($C29="","",N(元データ!$F$27))</f>
        <v>3376895</v>
      </c>
      <c r="G29" s="63" t="str">
        <f aca="false">IF($C29="","",IF(COUNTIF(店舗マスタ!$B$5:$B$304,$C29)&gt;0,"登録済","未登録→マスタに追加"))</f>
        <v>登録済</v>
      </c>
    </row>
    <row r="30" customFormat="false" ht="15" hidden="false" customHeight="false" outlineLevel="0" collapsed="false">
      <c r="A30" s="63" t="n">
        <v>28</v>
      </c>
      <c r="B30" s="63" t="str">
        <f aca="false">IF(元データ!$A$28="","",元データ!$A$28)</f>
        <v>(32675600)ながの東急百貨店ｽﾀｼﾞｵﾋﾟｯｺｰﾈ・ﾋﾟｯｺｰﾈｸﾗﾌﾞ</v>
      </c>
      <c r="C30" s="63" t="n">
        <f aca="false">IF(LEFT(B30,1)="(",IFERROR(VALUE(MID(B30,2,FIND(")",B30)-2)),""),"")</f>
        <v>32675600</v>
      </c>
      <c r="D30" s="64" t="n">
        <f aca="false">IF($C30="","",N(元データ!$B$28))</f>
        <v>512090</v>
      </c>
      <c r="E30" s="64" t="n">
        <f aca="false">IF($C30="","",N(元データ!$C$28))</f>
        <v>4100000</v>
      </c>
      <c r="F30" s="64" t="n">
        <f aca="false">IF($C30="","",N(元データ!$F$28))</f>
        <v>4075700</v>
      </c>
      <c r="G30" s="63" t="str">
        <f aca="false">IF($C30="","",IF(COUNTIF(店舗マスタ!$B$5:$B$304,$C30)&gt;0,"登録済","未登録→マスタに追加"))</f>
        <v>登録済</v>
      </c>
    </row>
    <row r="31" customFormat="false" ht="15" hidden="false" customHeight="false" outlineLevel="0" collapsed="false">
      <c r="A31" s="63" t="n">
        <v>29</v>
      </c>
      <c r="B31" s="63" t="str">
        <f aca="false">IF(元データ!$A$29="","",元データ!$A$29)</f>
        <v>(32573900)近鉄百貨店橿原店スタジオピッコーネ</v>
      </c>
      <c r="C31" s="63" t="n">
        <f aca="false">IF(LEFT(B31,1)="(",IFERROR(VALUE(MID(B31,2,FIND(")",B31)-2)),""),"")</f>
        <v>32573900</v>
      </c>
      <c r="D31" s="64" t="n">
        <f aca="false">IF($C31="","",N(元データ!$B$29))</f>
        <v>313800</v>
      </c>
      <c r="E31" s="64" t="n">
        <f aca="false">IF($C31="","",N(元データ!$C$29))</f>
        <v>2600000</v>
      </c>
      <c r="F31" s="64" t="n">
        <f aca="false">IF($C31="","",N(元データ!$F$29))</f>
        <v>2629520</v>
      </c>
      <c r="G31" s="63" t="str">
        <f aca="false">IF($C31="","",IF(COUNTIF(店舗マスタ!$B$5:$B$304,$C31)&gt;0,"登録済","未登録→マスタに追加"))</f>
        <v>登録済</v>
      </c>
    </row>
    <row r="32" customFormat="false" ht="15" hidden="false" customHeight="false" outlineLevel="0" collapsed="false">
      <c r="A32" s="63" t="n">
        <v>30</v>
      </c>
      <c r="B32" s="63" t="str">
        <f aca="false">IF(元データ!$A$30="","",元データ!$A$30)</f>
        <v>(32673500)日本橋三越本店アルチビオ</v>
      </c>
      <c r="C32" s="63" t="n">
        <f aca="false">IF(LEFT(B32,1)="(",IFERROR(VALUE(MID(B32,2,FIND(")",B32)-2)),""),"")</f>
        <v>32673500</v>
      </c>
      <c r="D32" s="64" t="n">
        <f aca="false">IF($C32="","",N(元データ!$B$30))</f>
        <v>526863</v>
      </c>
      <c r="E32" s="64" t="n">
        <f aca="false">IF($C32="","",N(元データ!$C$30))</f>
        <v>4457000</v>
      </c>
      <c r="F32" s="64" t="n">
        <f aca="false">IF($C32="","",N(元データ!$F$30))</f>
        <v>4363100</v>
      </c>
      <c r="G32" s="63" t="str">
        <f aca="false">IF($C32="","",IF(COUNTIF(店舗マスタ!$B$5:$B$304,$C32)&gt;0,"登録済","未登録→マスタに追加"))</f>
        <v>登録済</v>
      </c>
    </row>
    <row r="33" customFormat="false" ht="15" hidden="false" customHeight="false" outlineLevel="0" collapsed="false">
      <c r="A33" s="63" t="n">
        <v>31</v>
      </c>
      <c r="B33" s="63" t="str">
        <f aca="false">IF(元データ!$A$31="","",元データ!$A$31)</f>
        <v>(32573200)あべのハルカス近鉄本店スタジオピッコーネ</v>
      </c>
      <c r="C33" s="63" t="n">
        <f aca="false">IF(LEFT(B33,1)="(",IFERROR(VALUE(MID(B33,2,FIND(")",B33)-2)),""),"")</f>
        <v>32573200</v>
      </c>
      <c r="D33" s="64" t="n">
        <f aca="false">IF($C33="","",N(元データ!$B$31))</f>
        <v>506300</v>
      </c>
      <c r="E33" s="64" t="n">
        <f aca="false">IF($C33="","",N(元データ!$C$31))</f>
        <v>4400000</v>
      </c>
      <c r="F33" s="64" t="n">
        <f aca="false">IF($C33="","",N(元データ!$F$31))</f>
        <v>4159145</v>
      </c>
      <c r="G33" s="63" t="str">
        <f aca="false">IF($C33="","",IF(COUNTIF(店舗マスタ!$B$5:$B$304,$C33)&gt;0,"登録済","未登録→マスタに追加"))</f>
        <v>登録済</v>
      </c>
    </row>
    <row r="34" customFormat="false" ht="15" hidden="false" customHeight="false" outlineLevel="0" collapsed="false">
      <c r="A34" s="63" t="n">
        <v>32</v>
      </c>
      <c r="B34" s="63" t="str">
        <f aca="false">IF(元データ!$A$32="","",元データ!$A$32)</f>
        <v>(32675100)ﾋﾟｯｺｰﾈ　東急百貨店たまﾌﾟﾗｰｻﾞ店</v>
      </c>
      <c r="C34" s="63" t="n">
        <f aca="false">IF(LEFT(B34,1)="(",IFERROR(VALUE(MID(B34,2,FIND(")",B34)-2)),""),"")</f>
        <v>32675100</v>
      </c>
      <c r="D34" s="64" t="n">
        <f aca="false">IF($C34="","",N(元データ!$B$32))</f>
        <v>413000</v>
      </c>
      <c r="E34" s="64" t="n">
        <f aca="false">IF($C34="","",N(元データ!$C$32))</f>
        <v>3650000</v>
      </c>
      <c r="F34" s="64" t="n">
        <f aca="false">IF($C34="","",N(元データ!$F$32))</f>
        <v>3418600</v>
      </c>
      <c r="G34" s="63" t="str">
        <f aca="false">IF($C34="","",IF(COUNTIF(店舗マスタ!$B$5:$B$304,$C34)&gt;0,"登録済","未登録→マスタに追加"))</f>
        <v>登録済</v>
      </c>
    </row>
    <row r="35" customFormat="false" ht="15" hidden="false" customHeight="false" outlineLevel="0" collapsed="false">
      <c r="A35" s="63" t="n">
        <v>33</v>
      </c>
      <c r="B35" s="63" t="str">
        <f aca="false">IF(元データ!$A$33="","",元データ!$A$33)</f>
        <v>(32673300)松屋銀座本店ｽﾀｼﾞｵﾋﾟｯｺｰﾈ・ﾋﾟｯｺｰﾈｸﾗﾌﾞ</v>
      </c>
      <c r="C35" s="63" t="n">
        <f aca="false">IF(LEFT(B35,1)="(",IFERROR(VALUE(MID(B35,2,FIND(")",B35)-2)),""),"")</f>
        <v>32673300</v>
      </c>
      <c r="D35" s="64" t="n">
        <f aca="false">IF($C35="","",N(元データ!$B$33))</f>
        <v>312500</v>
      </c>
      <c r="E35" s="64" t="n">
        <f aca="false">IF($C35="","",N(元データ!$C$33))</f>
        <v>3100000</v>
      </c>
      <c r="F35" s="64" t="n">
        <f aca="false">IF($C35="","",N(元データ!$F$33))</f>
        <v>2923612</v>
      </c>
      <c r="G35" s="63" t="str">
        <f aca="false">IF($C35="","",IF(COUNTIF(店舗マスタ!$B$5:$B$304,$C35)&gt;0,"登録済","未登録→マスタに追加"))</f>
        <v>登録済</v>
      </c>
    </row>
    <row r="36" customFormat="false" ht="15" hidden="false" customHeight="false" outlineLevel="0" collapsed="false">
      <c r="A36" s="63" t="n">
        <v>34</v>
      </c>
      <c r="B36" s="63" t="str">
        <f aca="false">IF(元データ!$A$34="","",元データ!$A$34)</f>
        <v>(32573800)近鉄百貨店奈良店ｽﾀｼﾞｵﾋﾟｯｺｰﾈ・ﾋﾟｯｺｰﾈｸﾗﾌﾞ</v>
      </c>
      <c r="C36" s="63" t="n">
        <f aca="false">IF(LEFT(B36,1)="(",IFERROR(VALUE(MID(B36,2,FIND(")",B36)-2)),""),"")</f>
        <v>32573800</v>
      </c>
      <c r="D36" s="64" t="n">
        <f aca="false">IF($C36="","",N(元データ!$B$34))</f>
        <v>304800</v>
      </c>
      <c r="E36" s="64" t="n">
        <f aca="false">IF($C36="","",N(元データ!$C$34))</f>
        <v>3050000</v>
      </c>
      <c r="F36" s="64" t="n">
        <f aca="false">IF($C36="","",N(元データ!$F$34))</f>
        <v>3027600</v>
      </c>
      <c r="G36" s="63" t="str">
        <f aca="false">IF($C36="","",IF(COUNTIF(店舗マスタ!$B$5:$B$304,$C36)&gt;0,"登録済","未登録→マスタに追加"))</f>
        <v>登録済</v>
      </c>
    </row>
    <row r="37" customFormat="false" ht="15" hidden="false" customHeight="false" outlineLevel="0" collapsed="false">
      <c r="A37" s="63" t="n">
        <v>35</v>
      </c>
      <c r="B37" s="63" t="str">
        <f aca="false">IF(元データ!$A$35="","",元データ!$A$35)</f>
        <v>(32580700)ホテルニューオータニ大阪店ピッコーネ</v>
      </c>
      <c r="C37" s="63" t="n">
        <f aca="false">IF(LEFT(B37,1)="(",IFERROR(VALUE(MID(B37,2,FIND(")",B37)-2)),""),"")</f>
        <v>32580700</v>
      </c>
      <c r="D37" s="64" t="n">
        <f aca="false">IF($C37="","",N(元データ!$B$35))</f>
        <v>147316</v>
      </c>
      <c r="E37" s="64" t="n">
        <f aca="false">IF($C37="","",N(元データ!$C$35))</f>
        <v>1520000</v>
      </c>
      <c r="F37" s="64" t="n">
        <f aca="false">IF($C37="","",N(元データ!$F$35))</f>
        <v>1451810</v>
      </c>
      <c r="G37" s="63" t="str">
        <f aca="false">IF($C37="","",IF(COUNTIF(店舗マスタ!$B$5:$B$304,$C37)&gt;0,"登録済","未登録→マスタに追加"))</f>
        <v>登録済</v>
      </c>
    </row>
    <row r="38" customFormat="false" ht="15" hidden="false" customHeight="false" outlineLevel="0" collapsed="false">
      <c r="A38" s="63" t="n">
        <v>36</v>
      </c>
      <c r="B38" s="63" t="str">
        <f aca="false">IF(元データ!$A$36="","",元データ!$A$36)</f>
        <v>(32670900)東武百貨店池袋店ｽﾀｼﾞｵﾋﾟｯｺｰﾈ・ﾋﾟｯｺｰﾈｸﾗﾌﾞ</v>
      </c>
      <c r="C38" s="63" t="n">
        <f aca="false">IF(LEFT(B38,1)="(",IFERROR(VALUE(MID(B38,2,FIND(")",B38)-2)),""),"")</f>
        <v>32670900</v>
      </c>
      <c r="D38" s="64" t="n">
        <f aca="false">IF($C38="","",N(元データ!$B$36))</f>
        <v>644000</v>
      </c>
      <c r="E38" s="64" t="n">
        <f aca="false">IF($C38="","",N(元データ!$C$36))</f>
        <v>6700000</v>
      </c>
      <c r="F38" s="64" t="n">
        <f aca="false">IF($C38="","",N(元データ!$F$36))</f>
        <v>6535150</v>
      </c>
      <c r="G38" s="63" t="str">
        <f aca="false">IF($C38="","",IF(COUNTIF(店舗マスタ!$B$5:$B$304,$C38)&gt;0,"登録済","未登録→マスタに追加"))</f>
        <v>登録済</v>
      </c>
    </row>
    <row r="39" customFormat="false" ht="15" hidden="false" customHeight="false" outlineLevel="0" collapsed="false">
      <c r="A39" s="63" t="n">
        <v>37</v>
      </c>
      <c r="B39" s="63" t="str">
        <f aca="false">IF(元データ!$A$37="","",元データ!$A$37)</f>
        <v>(32573300)あべのハルカス近鉄本店アルチビオ・ピッコ</v>
      </c>
      <c r="C39" s="63" t="n">
        <f aca="false">IF(LEFT(B39,1)="(",IFERROR(VALUE(MID(B39,2,FIND(")",B39)-2)),""),"")</f>
        <v>32573300</v>
      </c>
      <c r="D39" s="64" t="n">
        <f aca="false">IF($C39="","",N(元データ!$B$37))</f>
        <v>247325</v>
      </c>
      <c r="E39" s="64" t="n">
        <f aca="false">IF($C39="","",N(元データ!$C$37))</f>
        <v>2883000</v>
      </c>
      <c r="F39" s="64" t="n">
        <f aca="false">IF($C39="","",N(元データ!$F$37))</f>
        <v>2232420</v>
      </c>
      <c r="G39" s="63" t="str">
        <f aca="false">IF($C39="","",IF(COUNTIF(店舗マスタ!$B$5:$B$304,$C39)&gt;0,"登録済","未登録→マスタに追加"))</f>
        <v>登録済</v>
      </c>
    </row>
    <row r="40" customFormat="false" ht="15" hidden="false" customHeight="false" outlineLevel="0" collapsed="false">
      <c r="A40" s="63" t="n">
        <v>38</v>
      </c>
      <c r="B40" s="63" t="str">
        <f aca="false">IF(元データ!$A$38="","",元データ!$A$38)</f>
        <v>(32580600)ラポルテ芦屋店ピッコーネ</v>
      </c>
      <c r="C40" s="63" t="n">
        <f aca="false">IF(LEFT(B40,1)="(",IFERROR(VALUE(MID(B40,2,FIND(")",B40)-2)),""),"")</f>
        <v>32580600</v>
      </c>
      <c r="D40" s="64" t="n">
        <f aca="false">IF($C40="","",N(元データ!$B$38))</f>
        <v>263871</v>
      </c>
      <c r="E40" s="64" t="n">
        <f aca="false">IF($C40="","",N(元データ!$C$38))</f>
        <v>3130000</v>
      </c>
      <c r="F40" s="64" t="n">
        <f aca="false">IF($C40="","",N(元データ!$F$38))</f>
        <v>2850123</v>
      </c>
      <c r="G40" s="63" t="str">
        <f aca="false">IF($C40="","",IF(COUNTIF(店舗マスタ!$B$5:$B$304,$C40)&gt;0,"登録済","未登録→マスタに追加"))</f>
        <v>登録済</v>
      </c>
    </row>
    <row r="41" customFormat="false" ht="15" hidden="false" customHeight="false" outlineLevel="0" collapsed="false">
      <c r="A41" s="63" t="n">
        <v>39</v>
      </c>
      <c r="B41" s="63" t="str">
        <f aca="false">IF(元データ!$A$39="","",元データ!$A$39)</f>
        <v>(32570700)西宮阪急店ピッコーネクラブ・アルチビオ</v>
      </c>
      <c r="C41" s="63" t="n">
        <f aca="false">IF(LEFT(B41,1)="(",IFERROR(VALUE(MID(B41,2,FIND(")",B41)-2)),""),"")</f>
        <v>32570700</v>
      </c>
      <c r="D41" s="64" t="n">
        <f aca="false">IF($C41="","",N(元データ!$B$39))</f>
        <v>320226</v>
      </c>
      <c r="E41" s="64" t="n">
        <f aca="false">IF($C41="","",N(元データ!$C$39))</f>
        <v>4172000</v>
      </c>
      <c r="F41" s="64" t="n">
        <f aca="false">IF($C41="","",N(元データ!$F$39))</f>
        <v>2813375</v>
      </c>
      <c r="G41" s="63" t="str">
        <f aca="false">IF($C41="","",IF(COUNTIF(店舗マスタ!$B$5:$B$304,$C41)&gt;0,"登録済","未登録→マスタに追加"))</f>
        <v>登録済</v>
      </c>
    </row>
    <row r="42" customFormat="false" ht="15" hidden="false" customHeight="false" outlineLevel="0" collapsed="false">
      <c r="A42" s="63" t="n">
        <v>40</v>
      </c>
      <c r="B42" s="63" t="str">
        <f aca="false">IF(元データ!$A$40="","",元データ!$A$40)</f>
        <v>(32674100)東武百貨店船橋店ｽﾀｼﾞｵﾋﾟｯｺｰﾈ・ﾋﾟｯｺｰﾈｸﾗﾌﾞ</v>
      </c>
      <c r="C42" s="63" t="n">
        <f aca="false">IF(LEFT(B42,1)="(",IFERROR(VALUE(MID(B42,2,FIND(")",B42)-2)),""),"")</f>
        <v>32674100</v>
      </c>
      <c r="D42" s="64" t="n">
        <f aca="false">IF($C42="","",N(元データ!$B$40))</f>
        <v>151000</v>
      </c>
      <c r="E42" s="64" t="n">
        <f aca="false">IF($C42="","",N(元データ!$C$40))</f>
        <v>2168000</v>
      </c>
      <c r="F42" s="64" t="n">
        <f aca="false">IF($C42="","",N(元データ!$F$40))</f>
        <v>2059800</v>
      </c>
      <c r="G42" s="63" t="str">
        <f aca="false">IF($C42="","",IF(COUNTIF(店舗マスタ!$B$5:$B$304,$C42)&gt;0,"登録済","未登録→マスタに追加"))</f>
        <v>登録済</v>
      </c>
    </row>
    <row r="43" customFormat="false" ht="15" hidden="false" customHeight="false" outlineLevel="0" collapsed="false">
      <c r="A43" s="63" t="n">
        <v>41</v>
      </c>
      <c r="B43" s="63" t="str">
        <f aca="false">IF(元データ!$A$41="","",元データ!$A$41)</f>
        <v>(32676700)大宮高島屋ｽﾀｼﾞｵﾋﾟｯｺｰﾈ・ﾋﾟｯｺｰﾈｸﾗﾌﾞ</v>
      </c>
      <c r="C43" s="63" t="n">
        <f aca="false">IF(LEFT(B43,1)="(",IFERROR(VALUE(MID(B43,2,FIND(")",B43)-2)),""),"")</f>
        <v>32676700</v>
      </c>
      <c r="D43" s="64" t="n">
        <f aca="false">IF($C43="","",N(元データ!$B$41))</f>
        <v>119200</v>
      </c>
      <c r="E43" s="64" t="n">
        <f aca="false">IF($C43="","",N(元データ!$C$41))</f>
        <v>1700000</v>
      </c>
      <c r="F43" s="64" t="n">
        <f aca="false">IF($C43="","",N(元データ!$F$41))</f>
        <v>0</v>
      </c>
      <c r="G43" s="63" t="str">
        <f aca="false">IF($C43="","",IF(COUNTIF(店舗マスタ!$B$5:$B$304,$C43)&gt;0,"登録済","未登録→マスタに追加"))</f>
        <v>登録済</v>
      </c>
    </row>
    <row r="44" customFormat="false" ht="15" hidden="false" customHeight="false" outlineLevel="0" collapsed="false">
      <c r="A44" s="63" t="n">
        <v>42</v>
      </c>
      <c r="B44" s="63" t="str">
        <f aca="false">IF(元データ!$A$42="","",元データ!$A$42)</f>
        <v>(32675300)ピッコーネ　東急百貨店吉祥寺店</v>
      </c>
      <c r="C44" s="63" t="n">
        <f aca="false">IF(LEFT(B44,1)="(",IFERROR(VALUE(MID(B44,2,FIND(")",B44)-2)),""),"")</f>
        <v>32675300</v>
      </c>
      <c r="D44" s="64" t="n">
        <f aca="false">IF($C44="","",N(元データ!$B$42))</f>
        <v>202545</v>
      </c>
      <c r="E44" s="64" t="n">
        <f aca="false">IF($C44="","",N(元データ!$C$42))</f>
        <v>3400000</v>
      </c>
      <c r="F44" s="64" t="n">
        <f aca="false">IF($C44="","",N(元データ!$F$42))</f>
        <v>4550720</v>
      </c>
      <c r="G44" s="63" t="str">
        <f aca="false">IF($C44="","",IF(COUNTIF(店舗マスタ!$B$5:$B$304,$C44)&gt;0,"登録済","未登録→マスタに追加"))</f>
        <v>登録済</v>
      </c>
    </row>
    <row r="45" customFormat="false" ht="15" hidden="false" customHeight="false" outlineLevel="0" collapsed="false">
      <c r="A45" s="63" t="n">
        <v>43</v>
      </c>
      <c r="B45" s="63" t="str">
        <f aca="false">IF(元データ!$A$43="","",元データ!$A$43)</f>
        <v>(32671400)日本橋三越本店ｽﾀｼﾞｵﾋﾟｯｺｰﾈ・ﾋﾟｯｺｰﾈｸﾗﾌﾞ</v>
      </c>
      <c r="C45" s="63" t="n">
        <f aca="false">IF(LEFT(B45,1)="(",IFERROR(VALUE(MID(B45,2,FIND(")",B45)-2)),""),"")</f>
        <v>32671400</v>
      </c>
      <c r="D45" s="64" t="n">
        <f aca="false">IF($C45="","",N(元データ!$B$43))</f>
        <v>619544</v>
      </c>
      <c r="E45" s="64" t="n">
        <f aca="false">IF($C45="","",N(元データ!$C$43))</f>
        <v>12000000</v>
      </c>
      <c r="F45" s="64" t="n">
        <f aca="false">IF($C45="","",N(元データ!$F$43))</f>
        <v>11765100</v>
      </c>
      <c r="G45" s="63" t="str">
        <f aca="false">IF($C45="","",IF(COUNTIF(店舗マスタ!$B$5:$B$304,$C45)&gt;0,"登録済","未登録→マスタに追加"))</f>
        <v>登録済</v>
      </c>
    </row>
    <row r="46" customFormat="false" ht="15" hidden="false" customHeight="false" outlineLevel="0" collapsed="false">
      <c r="A46" s="63" t="n">
        <v>44</v>
      </c>
      <c r="B46" s="63" t="str">
        <f aca="false">IF(元データ!$A$44="","",元データ!$A$44)</f>
        <v>(32680600)那須ｶﾞｰﾃﾞﾝｱｳﾄﾚｯﾄ店アルチビオ</v>
      </c>
      <c r="C46" s="63" t="n">
        <f aca="false">IF(LEFT(B46,1)="(",IFERROR(VALUE(MID(B46,2,FIND(")",B46)-2)),""),"")</f>
        <v>32680600</v>
      </c>
      <c r="D46" s="64" t="n">
        <f aca="false">IF($C46="","",N(元データ!$B$44))</f>
        <v>132320</v>
      </c>
      <c r="E46" s="64" t="n">
        <f aca="false">IF($C46="","",N(元データ!$C$44))</f>
        <v>3050000</v>
      </c>
      <c r="F46" s="64" t="n">
        <f aca="false">IF($C46="","",N(元データ!$F$44))</f>
        <v>2677580</v>
      </c>
      <c r="G46" s="63" t="str">
        <f aca="false">IF($C46="","",IF(COUNTIF(店舗マスタ!$B$5:$B$304,$C46)&gt;0,"登録済","未登録→マスタに追加"))</f>
        <v>登録済</v>
      </c>
    </row>
    <row r="47" customFormat="false" ht="15" hidden="false" customHeight="false" outlineLevel="0" collapsed="false">
      <c r="A47" s="63" t="n">
        <v>45</v>
      </c>
      <c r="B47" s="63" t="str">
        <f aca="false">IF(元データ!$A$45="","",元データ!$A$45)</f>
        <v>(32676300)新宿高島屋ｽﾀｼﾞｵﾋﾟｯｺｰﾈ・ﾋﾟｯｺｰﾈｸﾗﾌﾞ</v>
      </c>
      <c r="C47" s="63" t="n">
        <f aca="false">IF(LEFT(B47,1)="(",IFERROR(VALUE(MID(B47,2,FIND(")",B47)-2)),""),"")</f>
        <v>32676300</v>
      </c>
      <c r="D47" s="64" t="n">
        <f aca="false">IF($C47="","",N(元データ!$B$45))</f>
        <v>127300</v>
      </c>
      <c r="E47" s="64" t="n">
        <f aca="false">IF($C47="","",N(元データ!$C$45))</f>
        <v>4900000</v>
      </c>
      <c r="F47" s="64" t="n">
        <f aca="false">IF($C47="","",N(元データ!$F$45))</f>
        <v>4882220</v>
      </c>
      <c r="G47" s="63" t="str">
        <f aca="false">IF($C47="","",IF(COUNTIF(店舗マスタ!$B$5:$B$304,$C47)&gt;0,"登録済","未登録→マスタに追加"))</f>
        <v>登録済</v>
      </c>
    </row>
    <row r="48" customFormat="false" ht="15" hidden="false" customHeight="false" outlineLevel="0" collapsed="false">
      <c r="A48" s="63" t="n">
        <v>46</v>
      </c>
      <c r="B48" s="63" t="str">
        <f aca="false">IF(元データ!$A$46="","",元データ!$A$46)</f>
        <v>(32571600)ジェイアール名古屋タカシマヤ店アルチビオ</v>
      </c>
      <c r="C48" s="63" t="n">
        <f aca="false">IF(LEFT(B48,1)="(",IFERROR(VALUE(MID(B48,2,FIND(")",B48)-2)),""),"")</f>
        <v>32571600</v>
      </c>
      <c r="D48" s="64" t="n">
        <f aca="false">IF($C48="","",N(元データ!$B$46))</f>
        <v>182800</v>
      </c>
      <c r="E48" s="64" t="n">
        <f aca="false">IF($C48="","",N(元データ!$C$46))</f>
        <v>8400000</v>
      </c>
      <c r="F48" s="64" t="n">
        <f aca="false">IF($C48="","",N(元データ!$F$46))</f>
        <v>8129765</v>
      </c>
      <c r="G48" s="63" t="str">
        <f aca="false">IF($C48="","",IF(COUNTIF(店舗マスタ!$B$5:$B$304,$C48)&gt;0,"登録済","未登録→マスタに追加"))</f>
        <v>登録済</v>
      </c>
    </row>
    <row r="49" customFormat="false" ht="15" hidden="false" customHeight="false" outlineLevel="0" collapsed="false">
      <c r="A49" s="63" t="n">
        <v>47</v>
      </c>
      <c r="B49" s="63" t="str">
        <f aca="false">IF(元データ!$A$47="","",元データ!$A$47)</f>
        <v>合計</v>
      </c>
      <c r="C49" s="63" t="str">
        <f aca="false">IF(LEFT(B49,1)="(",IFERROR(VALUE(MID(B49,2,FIND(")",B49)-2)),""),"")</f>
        <v/>
      </c>
      <c r="D49" s="64" t="str">
        <f aca="false">IF($C49="","",N(元データ!$B$47))</f>
        <v/>
      </c>
      <c r="E49" s="64" t="str">
        <f aca="false">IF($C49="","",N(元データ!$C$47))</f>
        <v/>
      </c>
      <c r="F49" s="64" t="str">
        <f aca="false">IF($C49="","",N(元データ!$F$47))</f>
        <v/>
      </c>
      <c r="G49" s="63" t="str">
        <f aca="false">IF($C49="","",IF(COUNTIF(店舗マスタ!$B$5:$B$304,$C49)&gt;0,"登録済","未登録→マスタに追加"))</f>
        <v/>
      </c>
    </row>
    <row r="50" customFormat="false" ht="15" hidden="false" customHeight="false" outlineLevel="0" collapsed="false">
      <c r="A50" s="63" t="n">
        <v>48</v>
      </c>
      <c r="B50" s="63" t="str">
        <f aca="false">IF(元データ!$A$48="","",元データ!$A$48)</f>
        <v/>
      </c>
      <c r="C50" s="63" t="str">
        <f aca="false">IF(LEFT(B50,1)="(",IFERROR(VALUE(MID(B50,2,FIND(")",B50)-2)),""),"")</f>
        <v/>
      </c>
      <c r="D50" s="64" t="str">
        <f aca="false">IF($C50="","",N(元データ!$B$48))</f>
        <v/>
      </c>
      <c r="E50" s="64" t="str">
        <f aca="false">IF($C50="","",N(元データ!$C$48))</f>
        <v/>
      </c>
      <c r="F50" s="64" t="str">
        <f aca="false">IF($C50="","",N(元データ!$F$48))</f>
        <v/>
      </c>
      <c r="G50" s="63" t="str">
        <f aca="false">IF($C50="","",IF(COUNTIF(店舗マスタ!$B$5:$B$304,$C50)&gt;0,"登録済","未登録→マスタに追加"))</f>
        <v/>
      </c>
    </row>
    <row r="51" customFormat="false" ht="15" hidden="false" customHeight="false" outlineLevel="0" collapsed="false">
      <c r="A51" s="63" t="n">
        <v>49</v>
      </c>
      <c r="B51" s="63" t="str">
        <f aca="false">IF(元データ!$A$49="","",元データ!$A$49)</f>
        <v/>
      </c>
      <c r="C51" s="63" t="str">
        <f aca="false">IF(LEFT(B51,1)="(",IFERROR(VALUE(MID(B51,2,FIND(")",B51)-2)),""),"")</f>
        <v/>
      </c>
      <c r="D51" s="64" t="str">
        <f aca="false">IF($C51="","",N(元データ!$B$49))</f>
        <v/>
      </c>
      <c r="E51" s="64" t="str">
        <f aca="false">IF($C51="","",N(元データ!$C$49))</f>
        <v/>
      </c>
      <c r="F51" s="64" t="str">
        <f aca="false">IF($C51="","",N(元データ!$F$49))</f>
        <v/>
      </c>
      <c r="G51" s="63" t="str">
        <f aca="false">IF($C51="","",IF(COUNTIF(店舗マスタ!$B$5:$B$304,$C51)&gt;0,"登録済","未登録→マスタに追加"))</f>
        <v/>
      </c>
    </row>
    <row r="52" customFormat="false" ht="15" hidden="false" customHeight="false" outlineLevel="0" collapsed="false">
      <c r="A52" s="63" t="n">
        <v>50</v>
      </c>
      <c r="B52" s="63" t="str">
        <f aca="false">IF(元データ!$A$50="","",元データ!$A$50)</f>
        <v/>
      </c>
      <c r="C52" s="63" t="str">
        <f aca="false">IF(LEFT(B52,1)="(",IFERROR(VALUE(MID(B52,2,FIND(")",B52)-2)),""),"")</f>
        <v/>
      </c>
      <c r="D52" s="64" t="str">
        <f aca="false">IF($C52="","",N(元データ!$B$50))</f>
        <v/>
      </c>
      <c r="E52" s="64" t="str">
        <f aca="false">IF($C52="","",N(元データ!$C$50))</f>
        <v/>
      </c>
      <c r="F52" s="64" t="str">
        <f aca="false">IF($C52="","",N(元データ!$F$50))</f>
        <v/>
      </c>
      <c r="G52" s="63" t="str">
        <f aca="false">IF($C52="","",IF(COUNTIF(店舗マスタ!$B$5:$B$304,$C52)&gt;0,"登録済","未登録→マスタに追加"))</f>
        <v/>
      </c>
    </row>
    <row r="53" customFormat="false" ht="15" hidden="false" customHeight="false" outlineLevel="0" collapsed="false">
      <c r="A53" s="63" t="n">
        <v>51</v>
      </c>
      <c r="B53" s="63" t="str">
        <f aca="false">IF(元データ!$A$51="","",元データ!$A$51)</f>
        <v/>
      </c>
      <c r="C53" s="63" t="str">
        <f aca="false">IF(LEFT(B53,1)="(",IFERROR(VALUE(MID(B53,2,FIND(")",B53)-2)),""),"")</f>
        <v/>
      </c>
      <c r="D53" s="64" t="str">
        <f aca="false">IF($C53="","",N(元データ!$B$51))</f>
        <v/>
      </c>
      <c r="E53" s="64" t="str">
        <f aca="false">IF($C53="","",N(元データ!$C$51))</f>
        <v/>
      </c>
      <c r="F53" s="64" t="str">
        <f aca="false">IF($C53="","",N(元データ!$F$51))</f>
        <v/>
      </c>
      <c r="G53" s="63" t="str">
        <f aca="false">IF($C53="","",IF(COUNTIF(店舗マスタ!$B$5:$B$304,$C53)&gt;0,"登録済","未登録→マスタに追加"))</f>
        <v/>
      </c>
    </row>
    <row r="54" customFormat="false" ht="15" hidden="false" customHeight="false" outlineLevel="0" collapsed="false">
      <c r="A54" s="63" t="n">
        <v>52</v>
      </c>
      <c r="B54" s="63" t="str">
        <f aca="false">IF(元データ!$A$52="","",元データ!$A$52)</f>
        <v/>
      </c>
      <c r="C54" s="63" t="str">
        <f aca="false">IF(LEFT(B54,1)="(",IFERROR(VALUE(MID(B54,2,FIND(")",B54)-2)),""),"")</f>
        <v/>
      </c>
      <c r="D54" s="64" t="str">
        <f aca="false">IF($C54="","",N(元データ!$B$52))</f>
        <v/>
      </c>
      <c r="E54" s="64" t="str">
        <f aca="false">IF($C54="","",N(元データ!$C$52))</f>
        <v/>
      </c>
      <c r="F54" s="64" t="str">
        <f aca="false">IF($C54="","",N(元データ!$F$52))</f>
        <v/>
      </c>
      <c r="G54" s="63" t="str">
        <f aca="false">IF($C54="","",IF(COUNTIF(店舗マスタ!$B$5:$B$304,$C54)&gt;0,"登録済","未登録→マスタに追加"))</f>
        <v/>
      </c>
    </row>
    <row r="55" customFormat="false" ht="15" hidden="false" customHeight="false" outlineLevel="0" collapsed="false">
      <c r="A55" s="63" t="n">
        <v>53</v>
      </c>
      <c r="B55" s="63" t="str">
        <f aca="false">IF(元データ!$A$53="","",元データ!$A$53)</f>
        <v/>
      </c>
      <c r="C55" s="63" t="str">
        <f aca="false">IF(LEFT(B55,1)="(",IFERROR(VALUE(MID(B55,2,FIND(")",B55)-2)),""),"")</f>
        <v/>
      </c>
      <c r="D55" s="64" t="str">
        <f aca="false">IF($C55="","",N(元データ!$B$53))</f>
        <v/>
      </c>
      <c r="E55" s="64" t="str">
        <f aca="false">IF($C55="","",N(元データ!$C$53))</f>
        <v/>
      </c>
      <c r="F55" s="64" t="str">
        <f aca="false">IF($C55="","",N(元データ!$F$53))</f>
        <v/>
      </c>
      <c r="G55" s="63" t="str">
        <f aca="false">IF($C55="","",IF(COUNTIF(店舗マスタ!$B$5:$B$304,$C55)&gt;0,"登録済","未登録→マスタに追加"))</f>
        <v/>
      </c>
    </row>
    <row r="56" customFormat="false" ht="15" hidden="false" customHeight="false" outlineLevel="0" collapsed="false">
      <c r="A56" s="63" t="n">
        <v>54</v>
      </c>
      <c r="B56" s="63" t="str">
        <f aca="false">IF(元データ!$A$54="","",元データ!$A$54)</f>
        <v/>
      </c>
      <c r="C56" s="63" t="str">
        <f aca="false">IF(LEFT(B56,1)="(",IFERROR(VALUE(MID(B56,2,FIND(")",B56)-2)),""),"")</f>
        <v/>
      </c>
      <c r="D56" s="64" t="str">
        <f aca="false">IF($C56="","",N(元データ!$B$54))</f>
        <v/>
      </c>
      <c r="E56" s="64" t="str">
        <f aca="false">IF($C56="","",N(元データ!$C$54))</f>
        <v/>
      </c>
      <c r="F56" s="64" t="str">
        <f aca="false">IF($C56="","",N(元データ!$F$54))</f>
        <v/>
      </c>
      <c r="G56" s="63" t="str">
        <f aca="false">IF($C56="","",IF(COUNTIF(店舗マスタ!$B$5:$B$304,$C56)&gt;0,"登録済","未登録→マスタに追加"))</f>
        <v/>
      </c>
    </row>
    <row r="57" customFormat="false" ht="15" hidden="false" customHeight="false" outlineLevel="0" collapsed="false">
      <c r="A57" s="63" t="n">
        <v>55</v>
      </c>
      <c r="B57" s="63" t="str">
        <f aca="false">IF(元データ!$A$55="","",元データ!$A$55)</f>
        <v/>
      </c>
      <c r="C57" s="63" t="str">
        <f aca="false">IF(LEFT(B57,1)="(",IFERROR(VALUE(MID(B57,2,FIND(")",B57)-2)),""),"")</f>
        <v/>
      </c>
      <c r="D57" s="64" t="str">
        <f aca="false">IF($C57="","",N(元データ!$B$55))</f>
        <v/>
      </c>
      <c r="E57" s="64" t="str">
        <f aca="false">IF($C57="","",N(元データ!$C$55))</f>
        <v/>
      </c>
      <c r="F57" s="64" t="str">
        <f aca="false">IF($C57="","",N(元データ!$F$55))</f>
        <v/>
      </c>
      <c r="G57" s="63" t="str">
        <f aca="false">IF($C57="","",IF(COUNTIF(店舗マスタ!$B$5:$B$304,$C57)&gt;0,"登録済","未登録→マスタに追加"))</f>
        <v/>
      </c>
    </row>
    <row r="58" customFormat="false" ht="15" hidden="false" customHeight="false" outlineLevel="0" collapsed="false">
      <c r="A58" s="63" t="n">
        <v>56</v>
      </c>
      <c r="B58" s="63" t="str">
        <f aca="false">IF(元データ!$A$56="","",元データ!$A$56)</f>
        <v/>
      </c>
      <c r="C58" s="63" t="str">
        <f aca="false">IF(LEFT(B58,1)="(",IFERROR(VALUE(MID(B58,2,FIND(")",B58)-2)),""),"")</f>
        <v/>
      </c>
      <c r="D58" s="64" t="str">
        <f aca="false">IF($C58="","",N(元データ!$B$56))</f>
        <v/>
      </c>
      <c r="E58" s="64" t="str">
        <f aca="false">IF($C58="","",N(元データ!$C$56))</f>
        <v/>
      </c>
      <c r="F58" s="64" t="str">
        <f aca="false">IF($C58="","",N(元データ!$F$56))</f>
        <v/>
      </c>
      <c r="G58" s="63" t="str">
        <f aca="false">IF($C58="","",IF(COUNTIF(店舗マスタ!$B$5:$B$304,$C58)&gt;0,"登録済","未登録→マスタに追加"))</f>
        <v/>
      </c>
    </row>
    <row r="59" customFormat="false" ht="15" hidden="false" customHeight="false" outlineLevel="0" collapsed="false">
      <c r="A59" s="63" t="n">
        <v>57</v>
      </c>
      <c r="B59" s="63" t="str">
        <f aca="false">IF(元データ!$A$57="","",元データ!$A$57)</f>
        <v/>
      </c>
      <c r="C59" s="63" t="str">
        <f aca="false">IF(LEFT(B59,1)="(",IFERROR(VALUE(MID(B59,2,FIND(")",B59)-2)),""),"")</f>
        <v/>
      </c>
      <c r="D59" s="64" t="str">
        <f aca="false">IF($C59="","",N(元データ!$B$57))</f>
        <v/>
      </c>
      <c r="E59" s="64" t="str">
        <f aca="false">IF($C59="","",N(元データ!$C$57))</f>
        <v/>
      </c>
      <c r="F59" s="64" t="str">
        <f aca="false">IF($C59="","",N(元データ!$F$57))</f>
        <v/>
      </c>
      <c r="G59" s="63" t="str">
        <f aca="false">IF($C59="","",IF(COUNTIF(店舗マスタ!$B$5:$B$304,$C59)&gt;0,"登録済","未登録→マスタに追加"))</f>
        <v/>
      </c>
    </row>
    <row r="60" customFormat="false" ht="15" hidden="false" customHeight="false" outlineLevel="0" collapsed="false">
      <c r="A60" s="63" t="n">
        <v>58</v>
      </c>
      <c r="B60" s="63" t="str">
        <f aca="false">IF(元データ!$A$58="","",元データ!$A$58)</f>
        <v/>
      </c>
      <c r="C60" s="63" t="str">
        <f aca="false">IF(LEFT(B60,1)="(",IFERROR(VALUE(MID(B60,2,FIND(")",B60)-2)),""),"")</f>
        <v/>
      </c>
      <c r="D60" s="64" t="str">
        <f aca="false">IF($C60="","",N(元データ!$B$58))</f>
        <v/>
      </c>
      <c r="E60" s="64" t="str">
        <f aca="false">IF($C60="","",N(元データ!$C$58))</f>
        <v/>
      </c>
      <c r="F60" s="64" t="str">
        <f aca="false">IF($C60="","",N(元データ!$F$58))</f>
        <v/>
      </c>
      <c r="G60" s="63" t="str">
        <f aca="false">IF($C60="","",IF(COUNTIF(店舗マスタ!$B$5:$B$304,$C60)&gt;0,"登録済","未登録→マスタに追加"))</f>
        <v/>
      </c>
    </row>
    <row r="61" customFormat="false" ht="15" hidden="false" customHeight="false" outlineLevel="0" collapsed="false">
      <c r="A61" s="63" t="n">
        <v>59</v>
      </c>
      <c r="B61" s="63" t="str">
        <f aca="false">IF(元データ!$A$59="","",元データ!$A$59)</f>
        <v/>
      </c>
      <c r="C61" s="63" t="str">
        <f aca="false">IF(LEFT(B61,1)="(",IFERROR(VALUE(MID(B61,2,FIND(")",B61)-2)),""),"")</f>
        <v/>
      </c>
      <c r="D61" s="64" t="str">
        <f aca="false">IF($C61="","",N(元データ!$B$59))</f>
        <v/>
      </c>
      <c r="E61" s="64" t="str">
        <f aca="false">IF($C61="","",N(元データ!$C$59))</f>
        <v/>
      </c>
      <c r="F61" s="64" t="str">
        <f aca="false">IF($C61="","",N(元データ!$F$59))</f>
        <v/>
      </c>
      <c r="G61" s="63" t="str">
        <f aca="false">IF($C61="","",IF(COUNTIF(店舗マスタ!$B$5:$B$304,$C61)&gt;0,"登録済","未登録→マスタに追加"))</f>
        <v/>
      </c>
    </row>
    <row r="62" customFormat="false" ht="15" hidden="false" customHeight="false" outlineLevel="0" collapsed="false">
      <c r="A62" s="63" t="n">
        <v>60</v>
      </c>
      <c r="B62" s="63" t="str">
        <f aca="false">IF(元データ!$A$60="","",元データ!$A$60)</f>
        <v/>
      </c>
      <c r="C62" s="63" t="str">
        <f aca="false">IF(LEFT(B62,1)="(",IFERROR(VALUE(MID(B62,2,FIND(")",B62)-2)),""),"")</f>
        <v/>
      </c>
      <c r="D62" s="64" t="str">
        <f aca="false">IF($C62="","",N(元データ!$B$60))</f>
        <v/>
      </c>
      <c r="E62" s="64" t="str">
        <f aca="false">IF($C62="","",N(元データ!$C$60))</f>
        <v/>
      </c>
      <c r="F62" s="64" t="str">
        <f aca="false">IF($C62="","",N(元データ!$F$60))</f>
        <v/>
      </c>
      <c r="G62" s="63" t="str">
        <f aca="false">IF($C62="","",IF(COUNTIF(店舗マスタ!$B$5:$B$304,$C62)&gt;0,"登録済","未登録→マスタに追加"))</f>
        <v/>
      </c>
    </row>
    <row r="63" customFormat="false" ht="15" hidden="false" customHeight="false" outlineLevel="0" collapsed="false">
      <c r="A63" s="63" t="n">
        <v>61</v>
      </c>
      <c r="B63" s="63" t="str">
        <f aca="false">IF(元データ!$A$61="","",元データ!$A$61)</f>
        <v/>
      </c>
      <c r="C63" s="63" t="str">
        <f aca="false">IF(LEFT(B63,1)="(",IFERROR(VALUE(MID(B63,2,FIND(")",B63)-2)),""),"")</f>
        <v/>
      </c>
      <c r="D63" s="64" t="str">
        <f aca="false">IF($C63="","",N(元データ!$B$61))</f>
        <v/>
      </c>
      <c r="E63" s="64" t="str">
        <f aca="false">IF($C63="","",N(元データ!$C$61))</f>
        <v/>
      </c>
      <c r="F63" s="64" t="str">
        <f aca="false">IF($C63="","",N(元データ!$F$61))</f>
        <v/>
      </c>
      <c r="G63" s="63" t="str">
        <f aca="false">IF($C63="","",IF(COUNTIF(店舗マスタ!$B$5:$B$304,$C63)&gt;0,"登録済","未登録→マスタに追加"))</f>
        <v/>
      </c>
    </row>
    <row r="64" customFormat="false" ht="15" hidden="false" customHeight="false" outlineLevel="0" collapsed="false">
      <c r="A64" s="63" t="n">
        <v>62</v>
      </c>
      <c r="B64" s="63" t="str">
        <f aca="false">IF(元データ!$A$62="","",元データ!$A$62)</f>
        <v/>
      </c>
      <c r="C64" s="63" t="str">
        <f aca="false">IF(LEFT(B64,1)="(",IFERROR(VALUE(MID(B64,2,FIND(")",B64)-2)),""),"")</f>
        <v/>
      </c>
      <c r="D64" s="64" t="str">
        <f aca="false">IF($C64="","",N(元データ!$B$62))</f>
        <v/>
      </c>
      <c r="E64" s="64" t="str">
        <f aca="false">IF($C64="","",N(元データ!$C$62))</f>
        <v/>
      </c>
      <c r="F64" s="64" t="str">
        <f aca="false">IF($C64="","",N(元データ!$F$62))</f>
        <v/>
      </c>
      <c r="G64" s="63" t="str">
        <f aca="false">IF($C64="","",IF(COUNTIF(店舗マスタ!$B$5:$B$304,$C64)&gt;0,"登録済","未登録→マスタに追加"))</f>
        <v/>
      </c>
    </row>
    <row r="65" customFormat="false" ht="15" hidden="false" customHeight="false" outlineLevel="0" collapsed="false">
      <c r="A65" s="63" t="n">
        <v>63</v>
      </c>
      <c r="B65" s="63" t="str">
        <f aca="false">IF(元データ!$A$63="","",元データ!$A$63)</f>
        <v/>
      </c>
      <c r="C65" s="63" t="str">
        <f aca="false">IF(LEFT(B65,1)="(",IFERROR(VALUE(MID(B65,2,FIND(")",B65)-2)),""),"")</f>
        <v/>
      </c>
      <c r="D65" s="64" t="str">
        <f aca="false">IF($C65="","",N(元データ!$B$63))</f>
        <v/>
      </c>
      <c r="E65" s="64" t="str">
        <f aca="false">IF($C65="","",N(元データ!$C$63))</f>
        <v/>
      </c>
      <c r="F65" s="64" t="str">
        <f aca="false">IF($C65="","",N(元データ!$F$63))</f>
        <v/>
      </c>
      <c r="G65" s="63" t="str">
        <f aca="false">IF($C65="","",IF(COUNTIF(店舗マスタ!$B$5:$B$304,$C65)&gt;0,"登録済","未登録→マスタに追加"))</f>
        <v/>
      </c>
    </row>
    <row r="66" customFormat="false" ht="15" hidden="false" customHeight="false" outlineLevel="0" collapsed="false">
      <c r="A66" s="63" t="n">
        <v>64</v>
      </c>
      <c r="B66" s="63" t="str">
        <f aca="false">IF(元データ!$A$64="","",元データ!$A$64)</f>
        <v/>
      </c>
      <c r="C66" s="63" t="str">
        <f aca="false">IF(LEFT(B66,1)="(",IFERROR(VALUE(MID(B66,2,FIND(")",B66)-2)),""),"")</f>
        <v/>
      </c>
      <c r="D66" s="64" t="str">
        <f aca="false">IF($C66="","",N(元データ!$B$64))</f>
        <v/>
      </c>
      <c r="E66" s="64" t="str">
        <f aca="false">IF($C66="","",N(元データ!$C$64))</f>
        <v/>
      </c>
      <c r="F66" s="64" t="str">
        <f aca="false">IF($C66="","",N(元データ!$F$64))</f>
        <v/>
      </c>
      <c r="G66" s="63" t="str">
        <f aca="false">IF($C66="","",IF(COUNTIF(店舗マスタ!$B$5:$B$304,$C66)&gt;0,"登録済","未登録→マスタに追加"))</f>
        <v/>
      </c>
    </row>
    <row r="67" customFormat="false" ht="15" hidden="false" customHeight="false" outlineLevel="0" collapsed="false">
      <c r="A67" s="63" t="n">
        <v>65</v>
      </c>
      <c r="B67" s="63" t="str">
        <f aca="false">IF(元データ!$A$65="","",元データ!$A$65)</f>
        <v/>
      </c>
      <c r="C67" s="63" t="str">
        <f aca="false">IF(LEFT(B67,1)="(",IFERROR(VALUE(MID(B67,2,FIND(")",B67)-2)),""),"")</f>
        <v/>
      </c>
      <c r="D67" s="64" t="str">
        <f aca="false">IF($C67="","",N(元データ!$B$65))</f>
        <v/>
      </c>
      <c r="E67" s="64" t="str">
        <f aca="false">IF($C67="","",N(元データ!$C$65))</f>
        <v/>
      </c>
      <c r="F67" s="64" t="str">
        <f aca="false">IF($C67="","",N(元データ!$F$65))</f>
        <v/>
      </c>
      <c r="G67" s="63" t="str">
        <f aca="false">IF($C67="","",IF(COUNTIF(店舗マスタ!$B$5:$B$304,$C67)&gt;0,"登録済","未登録→マスタに追加"))</f>
        <v/>
      </c>
    </row>
    <row r="68" customFormat="false" ht="15" hidden="false" customHeight="false" outlineLevel="0" collapsed="false">
      <c r="A68" s="63" t="n">
        <v>66</v>
      </c>
      <c r="B68" s="63" t="str">
        <f aca="false">IF(元データ!$A$66="","",元データ!$A$66)</f>
        <v/>
      </c>
      <c r="C68" s="63" t="str">
        <f aca="false">IF(LEFT(B68,1)="(",IFERROR(VALUE(MID(B68,2,FIND(")",B68)-2)),""),"")</f>
        <v/>
      </c>
      <c r="D68" s="64" t="str">
        <f aca="false">IF($C68="","",N(元データ!$B$66))</f>
        <v/>
      </c>
      <c r="E68" s="64" t="str">
        <f aca="false">IF($C68="","",N(元データ!$C$66))</f>
        <v/>
      </c>
      <c r="F68" s="64" t="str">
        <f aca="false">IF($C68="","",N(元データ!$F$66))</f>
        <v/>
      </c>
      <c r="G68" s="63" t="str">
        <f aca="false">IF($C68="","",IF(COUNTIF(店舗マスタ!$B$5:$B$304,$C68)&gt;0,"登録済","未登録→マスタに追加"))</f>
        <v/>
      </c>
    </row>
    <row r="69" customFormat="false" ht="15" hidden="false" customHeight="false" outlineLevel="0" collapsed="false">
      <c r="A69" s="63" t="n">
        <v>67</v>
      </c>
      <c r="B69" s="63" t="str">
        <f aca="false">IF(元データ!$A$67="","",元データ!$A$67)</f>
        <v/>
      </c>
      <c r="C69" s="63" t="str">
        <f aca="false">IF(LEFT(B69,1)="(",IFERROR(VALUE(MID(B69,2,FIND(")",B69)-2)),""),"")</f>
        <v/>
      </c>
      <c r="D69" s="64" t="str">
        <f aca="false">IF($C69="","",N(元データ!$B$67))</f>
        <v/>
      </c>
      <c r="E69" s="64" t="str">
        <f aca="false">IF($C69="","",N(元データ!$C$67))</f>
        <v/>
      </c>
      <c r="F69" s="64" t="str">
        <f aca="false">IF($C69="","",N(元データ!$F$67))</f>
        <v/>
      </c>
      <c r="G69" s="63" t="str">
        <f aca="false">IF($C69="","",IF(COUNTIF(店舗マスタ!$B$5:$B$304,$C69)&gt;0,"登録済","未登録→マスタに追加"))</f>
        <v/>
      </c>
    </row>
    <row r="70" customFormat="false" ht="15" hidden="false" customHeight="false" outlineLevel="0" collapsed="false">
      <c r="A70" s="63" t="n">
        <v>68</v>
      </c>
      <c r="B70" s="63" t="str">
        <f aca="false">IF(元データ!$A$68="","",元データ!$A$68)</f>
        <v/>
      </c>
      <c r="C70" s="63" t="str">
        <f aca="false">IF(LEFT(B70,1)="(",IFERROR(VALUE(MID(B70,2,FIND(")",B70)-2)),""),"")</f>
        <v/>
      </c>
      <c r="D70" s="64" t="str">
        <f aca="false">IF($C70="","",N(元データ!$B$68))</f>
        <v/>
      </c>
      <c r="E70" s="64" t="str">
        <f aca="false">IF($C70="","",N(元データ!$C$68))</f>
        <v/>
      </c>
      <c r="F70" s="64" t="str">
        <f aca="false">IF($C70="","",N(元データ!$F$68))</f>
        <v/>
      </c>
      <c r="G70" s="63" t="str">
        <f aca="false">IF($C70="","",IF(COUNTIF(店舗マスタ!$B$5:$B$304,$C70)&gt;0,"登録済","未登録→マスタに追加"))</f>
        <v/>
      </c>
    </row>
    <row r="71" customFormat="false" ht="15" hidden="false" customHeight="false" outlineLevel="0" collapsed="false">
      <c r="A71" s="63" t="n">
        <v>69</v>
      </c>
      <c r="B71" s="63" t="str">
        <f aca="false">IF(元データ!$A$69="","",元データ!$A$69)</f>
        <v/>
      </c>
      <c r="C71" s="63" t="str">
        <f aca="false">IF(LEFT(B71,1)="(",IFERROR(VALUE(MID(B71,2,FIND(")",B71)-2)),""),"")</f>
        <v/>
      </c>
      <c r="D71" s="64" t="str">
        <f aca="false">IF($C71="","",N(元データ!$B$69))</f>
        <v/>
      </c>
      <c r="E71" s="64" t="str">
        <f aca="false">IF($C71="","",N(元データ!$C$69))</f>
        <v/>
      </c>
      <c r="F71" s="64" t="str">
        <f aca="false">IF($C71="","",N(元データ!$F$69))</f>
        <v/>
      </c>
      <c r="G71" s="63" t="str">
        <f aca="false">IF($C71="","",IF(COUNTIF(店舗マスタ!$B$5:$B$304,$C71)&gt;0,"登録済","未登録→マスタに追加"))</f>
        <v/>
      </c>
    </row>
    <row r="72" customFormat="false" ht="15" hidden="false" customHeight="false" outlineLevel="0" collapsed="false">
      <c r="A72" s="63" t="n">
        <v>70</v>
      </c>
      <c r="B72" s="63" t="str">
        <f aca="false">IF(元データ!$A$70="","",元データ!$A$70)</f>
        <v/>
      </c>
      <c r="C72" s="63" t="str">
        <f aca="false">IF(LEFT(B72,1)="(",IFERROR(VALUE(MID(B72,2,FIND(")",B72)-2)),""),"")</f>
        <v/>
      </c>
      <c r="D72" s="64" t="str">
        <f aca="false">IF($C72="","",N(元データ!$B$70))</f>
        <v/>
      </c>
      <c r="E72" s="64" t="str">
        <f aca="false">IF($C72="","",N(元データ!$C$70))</f>
        <v/>
      </c>
      <c r="F72" s="64" t="str">
        <f aca="false">IF($C72="","",N(元データ!$F$70))</f>
        <v/>
      </c>
      <c r="G72" s="63" t="str">
        <f aca="false">IF($C72="","",IF(COUNTIF(店舗マスタ!$B$5:$B$304,$C72)&gt;0,"登録済","未登録→マスタに追加"))</f>
        <v/>
      </c>
    </row>
    <row r="73" customFormat="false" ht="15" hidden="false" customHeight="false" outlineLevel="0" collapsed="false">
      <c r="A73" s="63" t="n">
        <v>71</v>
      </c>
      <c r="B73" s="63" t="str">
        <f aca="false">IF(元データ!$A$71="","",元データ!$A$71)</f>
        <v/>
      </c>
      <c r="C73" s="63" t="str">
        <f aca="false">IF(LEFT(B73,1)="(",IFERROR(VALUE(MID(B73,2,FIND(")",B73)-2)),""),"")</f>
        <v/>
      </c>
      <c r="D73" s="64" t="str">
        <f aca="false">IF($C73="","",N(元データ!$B$71))</f>
        <v/>
      </c>
      <c r="E73" s="64" t="str">
        <f aca="false">IF($C73="","",N(元データ!$C$71))</f>
        <v/>
      </c>
      <c r="F73" s="64" t="str">
        <f aca="false">IF($C73="","",N(元データ!$F$71))</f>
        <v/>
      </c>
      <c r="G73" s="63" t="str">
        <f aca="false">IF($C73="","",IF(COUNTIF(店舗マスタ!$B$5:$B$304,$C73)&gt;0,"登録済","未登録→マスタに追加"))</f>
        <v/>
      </c>
    </row>
    <row r="74" customFormat="false" ht="15" hidden="false" customHeight="false" outlineLevel="0" collapsed="false">
      <c r="A74" s="63" t="n">
        <v>72</v>
      </c>
      <c r="B74" s="63" t="str">
        <f aca="false">IF(元データ!$A$72="","",元データ!$A$72)</f>
        <v/>
      </c>
      <c r="C74" s="63" t="str">
        <f aca="false">IF(LEFT(B74,1)="(",IFERROR(VALUE(MID(B74,2,FIND(")",B74)-2)),""),"")</f>
        <v/>
      </c>
      <c r="D74" s="64" t="str">
        <f aca="false">IF($C74="","",N(元データ!$B$72))</f>
        <v/>
      </c>
      <c r="E74" s="64" t="str">
        <f aca="false">IF($C74="","",N(元データ!$C$72))</f>
        <v/>
      </c>
      <c r="F74" s="64" t="str">
        <f aca="false">IF($C74="","",N(元データ!$F$72))</f>
        <v/>
      </c>
      <c r="G74" s="63" t="str">
        <f aca="false">IF($C74="","",IF(COUNTIF(店舗マスタ!$B$5:$B$304,$C74)&gt;0,"登録済","未登録→マスタに追加"))</f>
        <v/>
      </c>
    </row>
    <row r="75" customFormat="false" ht="15" hidden="false" customHeight="false" outlineLevel="0" collapsed="false">
      <c r="A75" s="63" t="n">
        <v>73</v>
      </c>
      <c r="B75" s="63" t="str">
        <f aca="false">IF(元データ!$A$73="","",元データ!$A$73)</f>
        <v/>
      </c>
      <c r="C75" s="63" t="str">
        <f aca="false">IF(LEFT(B75,1)="(",IFERROR(VALUE(MID(B75,2,FIND(")",B75)-2)),""),"")</f>
        <v/>
      </c>
      <c r="D75" s="64" t="str">
        <f aca="false">IF($C75="","",N(元データ!$B$73))</f>
        <v/>
      </c>
      <c r="E75" s="64" t="str">
        <f aca="false">IF($C75="","",N(元データ!$C$73))</f>
        <v/>
      </c>
      <c r="F75" s="64" t="str">
        <f aca="false">IF($C75="","",N(元データ!$F$73))</f>
        <v/>
      </c>
      <c r="G75" s="63" t="str">
        <f aca="false">IF($C75="","",IF(COUNTIF(店舗マスタ!$B$5:$B$304,$C75)&gt;0,"登録済","未登録→マスタに追加"))</f>
        <v/>
      </c>
    </row>
    <row r="76" customFormat="false" ht="15" hidden="false" customHeight="false" outlineLevel="0" collapsed="false">
      <c r="A76" s="63" t="n">
        <v>74</v>
      </c>
      <c r="B76" s="63" t="str">
        <f aca="false">IF(元データ!$A$74="","",元データ!$A$74)</f>
        <v/>
      </c>
      <c r="C76" s="63" t="str">
        <f aca="false">IF(LEFT(B76,1)="(",IFERROR(VALUE(MID(B76,2,FIND(")",B76)-2)),""),"")</f>
        <v/>
      </c>
      <c r="D76" s="64" t="str">
        <f aca="false">IF($C76="","",N(元データ!$B$74))</f>
        <v/>
      </c>
      <c r="E76" s="64" t="str">
        <f aca="false">IF($C76="","",N(元データ!$C$74))</f>
        <v/>
      </c>
      <c r="F76" s="64" t="str">
        <f aca="false">IF($C76="","",N(元データ!$F$74))</f>
        <v/>
      </c>
      <c r="G76" s="63" t="str">
        <f aca="false">IF($C76="","",IF(COUNTIF(店舗マスタ!$B$5:$B$304,$C76)&gt;0,"登録済","未登録→マスタに追加"))</f>
        <v/>
      </c>
    </row>
    <row r="77" customFormat="false" ht="15" hidden="false" customHeight="false" outlineLevel="0" collapsed="false">
      <c r="A77" s="63" t="n">
        <v>75</v>
      </c>
      <c r="B77" s="63" t="str">
        <f aca="false">IF(元データ!$A$75="","",元データ!$A$75)</f>
        <v/>
      </c>
      <c r="C77" s="63" t="str">
        <f aca="false">IF(LEFT(B77,1)="(",IFERROR(VALUE(MID(B77,2,FIND(")",B77)-2)),""),"")</f>
        <v/>
      </c>
      <c r="D77" s="64" t="str">
        <f aca="false">IF($C77="","",N(元データ!$B$75))</f>
        <v/>
      </c>
      <c r="E77" s="64" t="str">
        <f aca="false">IF($C77="","",N(元データ!$C$75))</f>
        <v/>
      </c>
      <c r="F77" s="64" t="str">
        <f aca="false">IF($C77="","",N(元データ!$F$75))</f>
        <v/>
      </c>
      <c r="G77" s="63" t="str">
        <f aca="false">IF($C77="","",IF(COUNTIF(店舗マスタ!$B$5:$B$304,$C77)&gt;0,"登録済","未登録→マスタに追加"))</f>
        <v/>
      </c>
    </row>
    <row r="78" customFormat="false" ht="15" hidden="false" customHeight="false" outlineLevel="0" collapsed="false">
      <c r="A78" s="63" t="n">
        <v>76</v>
      </c>
      <c r="B78" s="63" t="str">
        <f aca="false">IF(元データ!$A$76="","",元データ!$A$76)</f>
        <v/>
      </c>
      <c r="C78" s="63" t="str">
        <f aca="false">IF(LEFT(B78,1)="(",IFERROR(VALUE(MID(B78,2,FIND(")",B78)-2)),""),"")</f>
        <v/>
      </c>
      <c r="D78" s="64" t="str">
        <f aca="false">IF($C78="","",N(元データ!$B$76))</f>
        <v/>
      </c>
      <c r="E78" s="64" t="str">
        <f aca="false">IF($C78="","",N(元データ!$C$76))</f>
        <v/>
      </c>
      <c r="F78" s="64" t="str">
        <f aca="false">IF($C78="","",N(元データ!$F$76))</f>
        <v/>
      </c>
      <c r="G78" s="63" t="str">
        <f aca="false">IF($C78="","",IF(COUNTIF(店舗マスタ!$B$5:$B$304,$C78)&gt;0,"登録済","未登録→マスタに追加"))</f>
        <v/>
      </c>
    </row>
    <row r="79" customFormat="false" ht="15" hidden="false" customHeight="false" outlineLevel="0" collapsed="false">
      <c r="A79" s="63" t="n">
        <v>77</v>
      </c>
      <c r="B79" s="63" t="str">
        <f aca="false">IF(元データ!$A$77="","",元データ!$A$77)</f>
        <v/>
      </c>
      <c r="C79" s="63" t="str">
        <f aca="false">IF(LEFT(B79,1)="(",IFERROR(VALUE(MID(B79,2,FIND(")",B79)-2)),""),"")</f>
        <v/>
      </c>
      <c r="D79" s="64" t="str">
        <f aca="false">IF($C79="","",N(元データ!$B$77))</f>
        <v/>
      </c>
      <c r="E79" s="64" t="str">
        <f aca="false">IF($C79="","",N(元データ!$C$77))</f>
        <v/>
      </c>
      <c r="F79" s="64" t="str">
        <f aca="false">IF($C79="","",N(元データ!$F$77))</f>
        <v/>
      </c>
      <c r="G79" s="63" t="str">
        <f aca="false">IF($C79="","",IF(COUNTIF(店舗マスタ!$B$5:$B$304,$C79)&gt;0,"登録済","未登録→マスタに追加"))</f>
        <v/>
      </c>
    </row>
    <row r="80" customFormat="false" ht="15" hidden="false" customHeight="false" outlineLevel="0" collapsed="false">
      <c r="A80" s="63" t="n">
        <v>78</v>
      </c>
      <c r="B80" s="63" t="str">
        <f aca="false">IF(元データ!$A$78="","",元データ!$A$78)</f>
        <v/>
      </c>
      <c r="C80" s="63" t="str">
        <f aca="false">IF(LEFT(B80,1)="(",IFERROR(VALUE(MID(B80,2,FIND(")",B80)-2)),""),"")</f>
        <v/>
      </c>
      <c r="D80" s="64" t="str">
        <f aca="false">IF($C80="","",N(元データ!$B$78))</f>
        <v/>
      </c>
      <c r="E80" s="64" t="str">
        <f aca="false">IF($C80="","",N(元データ!$C$78))</f>
        <v/>
      </c>
      <c r="F80" s="64" t="str">
        <f aca="false">IF($C80="","",N(元データ!$F$78))</f>
        <v/>
      </c>
      <c r="G80" s="63" t="str">
        <f aca="false">IF($C80="","",IF(COUNTIF(店舗マスタ!$B$5:$B$304,$C80)&gt;0,"登録済","未登録→マスタに追加"))</f>
        <v/>
      </c>
    </row>
    <row r="81" customFormat="false" ht="15" hidden="false" customHeight="false" outlineLevel="0" collapsed="false">
      <c r="A81" s="63" t="n">
        <v>79</v>
      </c>
      <c r="B81" s="63" t="str">
        <f aca="false">IF(元データ!$A$79="","",元データ!$A$79)</f>
        <v/>
      </c>
      <c r="C81" s="63" t="str">
        <f aca="false">IF(LEFT(B81,1)="(",IFERROR(VALUE(MID(B81,2,FIND(")",B81)-2)),""),"")</f>
        <v/>
      </c>
      <c r="D81" s="64" t="str">
        <f aca="false">IF($C81="","",N(元データ!$B$79))</f>
        <v/>
      </c>
      <c r="E81" s="64" t="str">
        <f aca="false">IF($C81="","",N(元データ!$C$79))</f>
        <v/>
      </c>
      <c r="F81" s="64" t="str">
        <f aca="false">IF($C81="","",N(元データ!$F$79))</f>
        <v/>
      </c>
      <c r="G81" s="63" t="str">
        <f aca="false">IF($C81="","",IF(COUNTIF(店舗マスタ!$B$5:$B$304,$C81)&gt;0,"登録済","未登録→マスタに追加"))</f>
        <v/>
      </c>
    </row>
    <row r="82" customFormat="false" ht="15" hidden="false" customHeight="false" outlineLevel="0" collapsed="false">
      <c r="A82" s="63" t="n">
        <v>80</v>
      </c>
      <c r="B82" s="63" t="str">
        <f aca="false">IF(元データ!$A$80="","",元データ!$A$80)</f>
        <v/>
      </c>
      <c r="C82" s="63" t="str">
        <f aca="false">IF(LEFT(B82,1)="(",IFERROR(VALUE(MID(B82,2,FIND(")",B82)-2)),""),"")</f>
        <v/>
      </c>
      <c r="D82" s="64" t="str">
        <f aca="false">IF($C82="","",N(元データ!$B$80))</f>
        <v/>
      </c>
      <c r="E82" s="64" t="str">
        <f aca="false">IF($C82="","",N(元データ!$C$80))</f>
        <v/>
      </c>
      <c r="F82" s="64" t="str">
        <f aca="false">IF($C82="","",N(元データ!$F$80))</f>
        <v/>
      </c>
      <c r="G82" s="63" t="str">
        <f aca="false">IF($C82="","",IF(COUNTIF(店舗マスタ!$B$5:$B$304,$C82)&gt;0,"登録済","未登録→マスタに追加"))</f>
        <v/>
      </c>
    </row>
    <row r="83" customFormat="false" ht="15" hidden="false" customHeight="false" outlineLevel="0" collapsed="false">
      <c r="A83" s="63" t="n">
        <v>81</v>
      </c>
      <c r="B83" s="63" t="str">
        <f aca="false">IF(元データ!$A$81="","",元データ!$A$81)</f>
        <v/>
      </c>
      <c r="C83" s="63" t="str">
        <f aca="false">IF(LEFT(B83,1)="(",IFERROR(VALUE(MID(B83,2,FIND(")",B83)-2)),""),"")</f>
        <v/>
      </c>
      <c r="D83" s="64" t="str">
        <f aca="false">IF($C83="","",N(元データ!$B$81))</f>
        <v/>
      </c>
      <c r="E83" s="64" t="str">
        <f aca="false">IF($C83="","",N(元データ!$C$81))</f>
        <v/>
      </c>
      <c r="F83" s="64" t="str">
        <f aca="false">IF($C83="","",N(元データ!$F$81))</f>
        <v/>
      </c>
      <c r="G83" s="63" t="str">
        <f aca="false">IF($C83="","",IF(COUNTIF(店舗マスタ!$B$5:$B$304,$C83)&gt;0,"登録済","未登録→マスタに追加"))</f>
        <v/>
      </c>
    </row>
    <row r="84" customFormat="false" ht="15" hidden="false" customHeight="false" outlineLevel="0" collapsed="false">
      <c r="A84" s="63" t="n">
        <v>82</v>
      </c>
      <c r="B84" s="63" t="str">
        <f aca="false">IF(元データ!$A$82="","",元データ!$A$82)</f>
        <v/>
      </c>
      <c r="C84" s="63" t="str">
        <f aca="false">IF(LEFT(B84,1)="(",IFERROR(VALUE(MID(B84,2,FIND(")",B84)-2)),""),"")</f>
        <v/>
      </c>
      <c r="D84" s="64" t="str">
        <f aca="false">IF($C84="","",N(元データ!$B$82))</f>
        <v/>
      </c>
      <c r="E84" s="64" t="str">
        <f aca="false">IF($C84="","",N(元データ!$C$82))</f>
        <v/>
      </c>
      <c r="F84" s="64" t="str">
        <f aca="false">IF($C84="","",N(元データ!$F$82))</f>
        <v/>
      </c>
      <c r="G84" s="63" t="str">
        <f aca="false">IF($C84="","",IF(COUNTIF(店舗マスタ!$B$5:$B$304,$C84)&gt;0,"登録済","未登録→マスタに追加"))</f>
        <v/>
      </c>
    </row>
    <row r="85" customFormat="false" ht="15" hidden="false" customHeight="false" outlineLevel="0" collapsed="false">
      <c r="A85" s="63" t="n">
        <v>83</v>
      </c>
      <c r="B85" s="63" t="str">
        <f aca="false">IF(元データ!$A$83="","",元データ!$A$83)</f>
        <v/>
      </c>
      <c r="C85" s="63" t="str">
        <f aca="false">IF(LEFT(B85,1)="(",IFERROR(VALUE(MID(B85,2,FIND(")",B85)-2)),""),"")</f>
        <v/>
      </c>
      <c r="D85" s="64" t="str">
        <f aca="false">IF($C85="","",N(元データ!$B$83))</f>
        <v/>
      </c>
      <c r="E85" s="64" t="str">
        <f aca="false">IF($C85="","",N(元データ!$C$83))</f>
        <v/>
      </c>
      <c r="F85" s="64" t="str">
        <f aca="false">IF($C85="","",N(元データ!$F$83))</f>
        <v/>
      </c>
      <c r="G85" s="63" t="str">
        <f aca="false">IF($C85="","",IF(COUNTIF(店舗マスタ!$B$5:$B$304,$C85)&gt;0,"登録済","未登録→マスタに追加"))</f>
        <v/>
      </c>
    </row>
    <row r="86" customFormat="false" ht="15" hidden="false" customHeight="false" outlineLevel="0" collapsed="false">
      <c r="A86" s="63" t="n">
        <v>84</v>
      </c>
      <c r="B86" s="63" t="str">
        <f aca="false">IF(元データ!$A$84="","",元データ!$A$84)</f>
        <v/>
      </c>
      <c r="C86" s="63" t="str">
        <f aca="false">IF(LEFT(B86,1)="(",IFERROR(VALUE(MID(B86,2,FIND(")",B86)-2)),""),"")</f>
        <v/>
      </c>
      <c r="D86" s="64" t="str">
        <f aca="false">IF($C86="","",N(元データ!$B$84))</f>
        <v/>
      </c>
      <c r="E86" s="64" t="str">
        <f aca="false">IF($C86="","",N(元データ!$C$84))</f>
        <v/>
      </c>
      <c r="F86" s="64" t="str">
        <f aca="false">IF($C86="","",N(元データ!$F$84))</f>
        <v/>
      </c>
      <c r="G86" s="63" t="str">
        <f aca="false">IF($C86="","",IF(COUNTIF(店舗マスタ!$B$5:$B$304,$C86)&gt;0,"登録済","未登録→マスタに追加"))</f>
        <v/>
      </c>
    </row>
    <row r="87" customFormat="false" ht="15" hidden="false" customHeight="false" outlineLevel="0" collapsed="false">
      <c r="A87" s="63" t="n">
        <v>85</v>
      </c>
      <c r="B87" s="63" t="str">
        <f aca="false">IF(元データ!$A$85="","",元データ!$A$85)</f>
        <v/>
      </c>
      <c r="C87" s="63" t="str">
        <f aca="false">IF(LEFT(B87,1)="(",IFERROR(VALUE(MID(B87,2,FIND(")",B87)-2)),""),"")</f>
        <v/>
      </c>
      <c r="D87" s="64" t="str">
        <f aca="false">IF($C87="","",N(元データ!$B$85))</f>
        <v/>
      </c>
      <c r="E87" s="64" t="str">
        <f aca="false">IF($C87="","",N(元データ!$C$85))</f>
        <v/>
      </c>
      <c r="F87" s="64" t="str">
        <f aca="false">IF($C87="","",N(元データ!$F$85))</f>
        <v/>
      </c>
      <c r="G87" s="63" t="str">
        <f aca="false">IF($C87="","",IF(COUNTIF(店舗マスタ!$B$5:$B$304,$C87)&gt;0,"登録済","未登録→マスタに追加"))</f>
        <v/>
      </c>
    </row>
    <row r="88" customFormat="false" ht="15" hidden="false" customHeight="false" outlineLevel="0" collapsed="false">
      <c r="A88" s="63" t="n">
        <v>86</v>
      </c>
      <c r="B88" s="63" t="str">
        <f aca="false">IF(元データ!$A$86="","",元データ!$A$86)</f>
        <v/>
      </c>
      <c r="C88" s="63" t="str">
        <f aca="false">IF(LEFT(B88,1)="(",IFERROR(VALUE(MID(B88,2,FIND(")",B88)-2)),""),"")</f>
        <v/>
      </c>
      <c r="D88" s="64" t="str">
        <f aca="false">IF($C88="","",N(元データ!$B$86))</f>
        <v/>
      </c>
      <c r="E88" s="64" t="str">
        <f aca="false">IF($C88="","",N(元データ!$C$86))</f>
        <v/>
      </c>
      <c r="F88" s="64" t="str">
        <f aca="false">IF($C88="","",N(元データ!$F$86))</f>
        <v/>
      </c>
      <c r="G88" s="63" t="str">
        <f aca="false">IF($C88="","",IF(COUNTIF(店舗マスタ!$B$5:$B$304,$C88)&gt;0,"登録済","未登録→マスタに追加"))</f>
        <v/>
      </c>
    </row>
    <row r="89" customFormat="false" ht="15" hidden="false" customHeight="false" outlineLevel="0" collapsed="false">
      <c r="A89" s="63" t="n">
        <v>87</v>
      </c>
      <c r="B89" s="63" t="str">
        <f aca="false">IF(元データ!$A$87="","",元データ!$A$87)</f>
        <v/>
      </c>
      <c r="C89" s="63" t="str">
        <f aca="false">IF(LEFT(B89,1)="(",IFERROR(VALUE(MID(B89,2,FIND(")",B89)-2)),""),"")</f>
        <v/>
      </c>
      <c r="D89" s="64" t="str">
        <f aca="false">IF($C89="","",N(元データ!$B$87))</f>
        <v/>
      </c>
      <c r="E89" s="64" t="str">
        <f aca="false">IF($C89="","",N(元データ!$C$87))</f>
        <v/>
      </c>
      <c r="F89" s="64" t="str">
        <f aca="false">IF($C89="","",N(元データ!$F$87))</f>
        <v/>
      </c>
      <c r="G89" s="63" t="str">
        <f aca="false">IF($C89="","",IF(COUNTIF(店舗マスタ!$B$5:$B$304,$C89)&gt;0,"登録済","未登録→マスタに追加"))</f>
        <v/>
      </c>
    </row>
    <row r="90" customFormat="false" ht="15" hidden="false" customHeight="false" outlineLevel="0" collapsed="false">
      <c r="A90" s="63" t="n">
        <v>88</v>
      </c>
      <c r="B90" s="63" t="str">
        <f aca="false">IF(元データ!$A$88="","",元データ!$A$88)</f>
        <v/>
      </c>
      <c r="C90" s="63" t="str">
        <f aca="false">IF(LEFT(B90,1)="(",IFERROR(VALUE(MID(B90,2,FIND(")",B90)-2)),""),"")</f>
        <v/>
      </c>
      <c r="D90" s="64" t="str">
        <f aca="false">IF($C90="","",N(元データ!$B$88))</f>
        <v/>
      </c>
      <c r="E90" s="64" t="str">
        <f aca="false">IF($C90="","",N(元データ!$C$88))</f>
        <v/>
      </c>
      <c r="F90" s="64" t="str">
        <f aca="false">IF($C90="","",N(元データ!$F$88))</f>
        <v/>
      </c>
      <c r="G90" s="63" t="str">
        <f aca="false">IF($C90="","",IF(COUNTIF(店舗マスタ!$B$5:$B$304,$C90)&gt;0,"登録済","未登録→マスタに追加"))</f>
        <v/>
      </c>
    </row>
    <row r="91" customFormat="false" ht="15" hidden="false" customHeight="false" outlineLevel="0" collapsed="false">
      <c r="A91" s="63" t="n">
        <v>89</v>
      </c>
      <c r="B91" s="63" t="str">
        <f aca="false">IF(元データ!$A$89="","",元データ!$A$89)</f>
        <v/>
      </c>
      <c r="C91" s="63" t="str">
        <f aca="false">IF(LEFT(B91,1)="(",IFERROR(VALUE(MID(B91,2,FIND(")",B91)-2)),""),"")</f>
        <v/>
      </c>
      <c r="D91" s="64" t="str">
        <f aca="false">IF($C91="","",N(元データ!$B$89))</f>
        <v/>
      </c>
      <c r="E91" s="64" t="str">
        <f aca="false">IF($C91="","",N(元データ!$C$89))</f>
        <v/>
      </c>
      <c r="F91" s="64" t="str">
        <f aca="false">IF($C91="","",N(元データ!$F$89))</f>
        <v/>
      </c>
      <c r="G91" s="63" t="str">
        <f aca="false">IF($C91="","",IF(COUNTIF(店舗マスタ!$B$5:$B$304,$C91)&gt;0,"登録済","未登録→マスタに追加"))</f>
        <v/>
      </c>
    </row>
    <row r="92" customFormat="false" ht="15" hidden="false" customHeight="false" outlineLevel="0" collapsed="false">
      <c r="A92" s="63" t="n">
        <v>90</v>
      </c>
      <c r="B92" s="63" t="str">
        <f aca="false">IF(元データ!$A$90="","",元データ!$A$90)</f>
        <v/>
      </c>
      <c r="C92" s="63" t="str">
        <f aca="false">IF(LEFT(B92,1)="(",IFERROR(VALUE(MID(B92,2,FIND(")",B92)-2)),""),"")</f>
        <v/>
      </c>
      <c r="D92" s="64" t="str">
        <f aca="false">IF($C92="","",N(元データ!$B$90))</f>
        <v/>
      </c>
      <c r="E92" s="64" t="str">
        <f aca="false">IF($C92="","",N(元データ!$C$90))</f>
        <v/>
      </c>
      <c r="F92" s="64" t="str">
        <f aca="false">IF($C92="","",N(元データ!$F$90))</f>
        <v/>
      </c>
      <c r="G92" s="63" t="str">
        <f aca="false">IF($C92="","",IF(COUNTIF(店舗マスタ!$B$5:$B$304,$C92)&gt;0,"登録済","未登録→マスタに追加"))</f>
        <v/>
      </c>
    </row>
    <row r="93" customFormat="false" ht="15" hidden="false" customHeight="false" outlineLevel="0" collapsed="false">
      <c r="A93" s="63" t="n">
        <v>91</v>
      </c>
      <c r="B93" s="63" t="str">
        <f aca="false">IF(元データ!$A$91="","",元データ!$A$91)</f>
        <v/>
      </c>
      <c r="C93" s="63" t="str">
        <f aca="false">IF(LEFT(B93,1)="(",IFERROR(VALUE(MID(B93,2,FIND(")",B93)-2)),""),"")</f>
        <v/>
      </c>
      <c r="D93" s="64" t="str">
        <f aca="false">IF($C93="","",N(元データ!$B$91))</f>
        <v/>
      </c>
      <c r="E93" s="64" t="str">
        <f aca="false">IF($C93="","",N(元データ!$C$91))</f>
        <v/>
      </c>
      <c r="F93" s="64" t="str">
        <f aca="false">IF($C93="","",N(元データ!$F$91))</f>
        <v/>
      </c>
      <c r="G93" s="63" t="str">
        <f aca="false">IF($C93="","",IF(COUNTIF(店舗マスタ!$B$5:$B$304,$C93)&gt;0,"登録済","未登録→マスタに追加"))</f>
        <v/>
      </c>
    </row>
    <row r="94" customFormat="false" ht="15" hidden="false" customHeight="false" outlineLevel="0" collapsed="false">
      <c r="A94" s="63" t="n">
        <v>92</v>
      </c>
      <c r="B94" s="63" t="str">
        <f aca="false">IF(元データ!$A$92="","",元データ!$A$92)</f>
        <v/>
      </c>
      <c r="C94" s="63" t="str">
        <f aca="false">IF(LEFT(B94,1)="(",IFERROR(VALUE(MID(B94,2,FIND(")",B94)-2)),""),"")</f>
        <v/>
      </c>
      <c r="D94" s="64" t="str">
        <f aca="false">IF($C94="","",N(元データ!$B$92))</f>
        <v/>
      </c>
      <c r="E94" s="64" t="str">
        <f aca="false">IF($C94="","",N(元データ!$C$92))</f>
        <v/>
      </c>
      <c r="F94" s="64" t="str">
        <f aca="false">IF($C94="","",N(元データ!$F$92))</f>
        <v/>
      </c>
      <c r="G94" s="63" t="str">
        <f aca="false">IF($C94="","",IF(COUNTIF(店舗マスタ!$B$5:$B$304,$C94)&gt;0,"登録済","未登録→マスタに追加"))</f>
        <v/>
      </c>
    </row>
    <row r="95" customFormat="false" ht="15" hidden="false" customHeight="false" outlineLevel="0" collapsed="false">
      <c r="A95" s="63" t="n">
        <v>93</v>
      </c>
      <c r="B95" s="63" t="str">
        <f aca="false">IF(元データ!$A$93="","",元データ!$A$93)</f>
        <v/>
      </c>
      <c r="C95" s="63" t="str">
        <f aca="false">IF(LEFT(B95,1)="(",IFERROR(VALUE(MID(B95,2,FIND(")",B95)-2)),""),"")</f>
        <v/>
      </c>
      <c r="D95" s="64" t="str">
        <f aca="false">IF($C95="","",N(元データ!$B$93))</f>
        <v/>
      </c>
      <c r="E95" s="64" t="str">
        <f aca="false">IF($C95="","",N(元データ!$C$93))</f>
        <v/>
      </c>
      <c r="F95" s="64" t="str">
        <f aca="false">IF($C95="","",N(元データ!$F$93))</f>
        <v/>
      </c>
      <c r="G95" s="63" t="str">
        <f aca="false">IF($C95="","",IF(COUNTIF(店舗マスタ!$B$5:$B$304,$C95)&gt;0,"登録済","未登録→マスタに追加"))</f>
        <v/>
      </c>
    </row>
    <row r="96" customFormat="false" ht="15" hidden="false" customHeight="false" outlineLevel="0" collapsed="false">
      <c r="A96" s="63" t="n">
        <v>94</v>
      </c>
      <c r="B96" s="63" t="str">
        <f aca="false">IF(元データ!$A$94="","",元データ!$A$94)</f>
        <v/>
      </c>
      <c r="C96" s="63" t="str">
        <f aca="false">IF(LEFT(B96,1)="(",IFERROR(VALUE(MID(B96,2,FIND(")",B96)-2)),""),"")</f>
        <v/>
      </c>
      <c r="D96" s="64" t="str">
        <f aca="false">IF($C96="","",N(元データ!$B$94))</f>
        <v/>
      </c>
      <c r="E96" s="64" t="str">
        <f aca="false">IF($C96="","",N(元データ!$C$94))</f>
        <v/>
      </c>
      <c r="F96" s="64" t="str">
        <f aca="false">IF($C96="","",N(元データ!$F$94))</f>
        <v/>
      </c>
      <c r="G96" s="63" t="str">
        <f aca="false">IF($C96="","",IF(COUNTIF(店舗マスタ!$B$5:$B$304,$C96)&gt;0,"登録済","未登録→マスタに追加"))</f>
        <v/>
      </c>
    </row>
    <row r="97" customFormat="false" ht="15" hidden="false" customHeight="false" outlineLevel="0" collapsed="false">
      <c r="A97" s="63" t="n">
        <v>95</v>
      </c>
      <c r="B97" s="63" t="str">
        <f aca="false">IF(元データ!$A$95="","",元データ!$A$95)</f>
        <v/>
      </c>
      <c r="C97" s="63" t="str">
        <f aca="false">IF(LEFT(B97,1)="(",IFERROR(VALUE(MID(B97,2,FIND(")",B97)-2)),""),"")</f>
        <v/>
      </c>
      <c r="D97" s="64" t="str">
        <f aca="false">IF($C97="","",N(元データ!$B$95))</f>
        <v/>
      </c>
      <c r="E97" s="64" t="str">
        <f aca="false">IF($C97="","",N(元データ!$C$95))</f>
        <v/>
      </c>
      <c r="F97" s="64" t="str">
        <f aca="false">IF($C97="","",N(元データ!$F$95))</f>
        <v/>
      </c>
      <c r="G97" s="63" t="str">
        <f aca="false">IF($C97="","",IF(COUNTIF(店舗マスタ!$B$5:$B$304,$C97)&gt;0,"登録済","未登録→マスタに追加"))</f>
        <v/>
      </c>
    </row>
    <row r="98" customFormat="false" ht="15" hidden="false" customHeight="false" outlineLevel="0" collapsed="false">
      <c r="A98" s="63" t="n">
        <v>96</v>
      </c>
      <c r="B98" s="63" t="str">
        <f aca="false">IF(元データ!$A$96="","",元データ!$A$96)</f>
        <v/>
      </c>
      <c r="C98" s="63" t="str">
        <f aca="false">IF(LEFT(B98,1)="(",IFERROR(VALUE(MID(B98,2,FIND(")",B98)-2)),""),"")</f>
        <v/>
      </c>
      <c r="D98" s="64" t="str">
        <f aca="false">IF($C98="","",N(元データ!$B$96))</f>
        <v/>
      </c>
      <c r="E98" s="64" t="str">
        <f aca="false">IF($C98="","",N(元データ!$C$96))</f>
        <v/>
      </c>
      <c r="F98" s="64" t="str">
        <f aca="false">IF($C98="","",N(元データ!$F$96))</f>
        <v/>
      </c>
      <c r="G98" s="63" t="str">
        <f aca="false">IF($C98="","",IF(COUNTIF(店舗マスタ!$B$5:$B$304,$C98)&gt;0,"登録済","未登録→マスタに追加"))</f>
        <v/>
      </c>
    </row>
    <row r="99" customFormat="false" ht="15" hidden="false" customHeight="false" outlineLevel="0" collapsed="false">
      <c r="A99" s="63" t="n">
        <v>97</v>
      </c>
      <c r="B99" s="63" t="str">
        <f aca="false">IF(元データ!$A$97="","",元データ!$A$97)</f>
        <v/>
      </c>
      <c r="C99" s="63" t="str">
        <f aca="false">IF(LEFT(B99,1)="(",IFERROR(VALUE(MID(B99,2,FIND(")",B99)-2)),""),"")</f>
        <v/>
      </c>
      <c r="D99" s="64" t="str">
        <f aca="false">IF($C99="","",N(元データ!$B$97))</f>
        <v/>
      </c>
      <c r="E99" s="64" t="str">
        <f aca="false">IF($C99="","",N(元データ!$C$97))</f>
        <v/>
      </c>
      <c r="F99" s="64" t="str">
        <f aca="false">IF($C99="","",N(元データ!$F$97))</f>
        <v/>
      </c>
      <c r="G99" s="63" t="str">
        <f aca="false">IF($C99="","",IF(COUNTIF(店舗マスタ!$B$5:$B$304,$C99)&gt;0,"登録済","未登録→マスタに追加"))</f>
        <v/>
      </c>
    </row>
    <row r="100" customFormat="false" ht="15" hidden="false" customHeight="false" outlineLevel="0" collapsed="false">
      <c r="A100" s="63" t="n">
        <v>98</v>
      </c>
      <c r="B100" s="63" t="str">
        <f aca="false">IF(元データ!$A$98="","",元データ!$A$98)</f>
        <v/>
      </c>
      <c r="C100" s="63" t="str">
        <f aca="false">IF(LEFT(B100,1)="(",IFERROR(VALUE(MID(B100,2,FIND(")",B100)-2)),""),"")</f>
        <v/>
      </c>
      <c r="D100" s="64" t="str">
        <f aca="false">IF($C100="","",N(元データ!$B$98))</f>
        <v/>
      </c>
      <c r="E100" s="64" t="str">
        <f aca="false">IF($C100="","",N(元データ!$C$98))</f>
        <v/>
      </c>
      <c r="F100" s="64" t="str">
        <f aca="false">IF($C100="","",N(元データ!$F$98))</f>
        <v/>
      </c>
      <c r="G100" s="63" t="str">
        <f aca="false">IF($C100="","",IF(COUNTIF(店舗マスタ!$B$5:$B$304,$C100)&gt;0,"登録済","未登録→マスタに追加"))</f>
        <v/>
      </c>
    </row>
    <row r="101" customFormat="false" ht="15" hidden="false" customHeight="false" outlineLevel="0" collapsed="false">
      <c r="A101" s="63" t="n">
        <v>99</v>
      </c>
      <c r="B101" s="63" t="str">
        <f aca="false">IF(元データ!$A$99="","",元データ!$A$99)</f>
        <v/>
      </c>
      <c r="C101" s="63" t="str">
        <f aca="false">IF(LEFT(B101,1)="(",IFERROR(VALUE(MID(B101,2,FIND(")",B101)-2)),""),"")</f>
        <v/>
      </c>
      <c r="D101" s="64" t="str">
        <f aca="false">IF($C101="","",N(元データ!$B$99))</f>
        <v/>
      </c>
      <c r="E101" s="64" t="str">
        <f aca="false">IF($C101="","",N(元データ!$C$99))</f>
        <v/>
      </c>
      <c r="F101" s="64" t="str">
        <f aca="false">IF($C101="","",N(元データ!$F$99))</f>
        <v/>
      </c>
      <c r="G101" s="63" t="str">
        <f aca="false">IF($C101="","",IF(COUNTIF(店舗マスタ!$B$5:$B$304,$C101)&gt;0,"登録済","未登録→マスタに追加"))</f>
        <v/>
      </c>
    </row>
    <row r="102" customFormat="false" ht="15" hidden="false" customHeight="false" outlineLevel="0" collapsed="false">
      <c r="A102" s="63" t="n">
        <v>100</v>
      </c>
      <c r="B102" s="63" t="str">
        <f aca="false">IF(元データ!$A$100="","",元データ!$A$100)</f>
        <v/>
      </c>
      <c r="C102" s="63" t="str">
        <f aca="false">IF(LEFT(B102,1)="(",IFERROR(VALUE(MID(B102,2,FIND(")",B102)-2)),""),"")</f>
        <v/>
      </c>
      <c r="D102" s="64" t="str">
        <f aca="false">IF($C102="","",N(元データ!$B$100))</f>
        <v/>
      </c>
      <c r="E102" s="64" t="str">
        <f aca="false">IF($C102="","",N(元データ!$C$100))</f>
        <v/>
      </c>
      <c r="F102" s="64" t="str">
        <f aca="false">IF($C102="","",N(元データ!$F$100))</f>
        <v/>
      </c>
      <c r="G102" s="63" t="str">
        <f aca="false">IF($C102="","",IF(COUNTIF(店舗マスタ!$B$5:$B$304,$C102)&gt;0,"登録済","未登録→マスタに追加"))</f>
        <v/>
      </c>
    </row>
    <row r="103" customFormat="false" ht="15" hidden="false" customHeight="false" outlineLevel="0" collapsed="false">
      <c r="A103" s="63" t="n">
        <v>101</v>
      </c>
      <c r="B103" s="63" t="str">
        <f aca="false">IF(元データ!$A$101="","",元データ!$A$101)</f>
        <v/>
      </c>
      <c r="C103" s="63" t="str">
        <f aca="false">IF(LEFT(B103,1)="(",IFERROR(VALUE(MID(B103,2,FIND(")",B103)-2)),""),"")</f>
        <v/>
      </c>
      <c r="D103" s="64" t="str">
        <f aca="false">IF($C103="","",N(元データ!$B$101))</f>
        <v/>
      </c>
      <c r="E103" s="64" t="str">
        <f aca="false">IF($C103="","",N(元データ!$C$101))</f>
        <v/>
      </c>
      <c r="F103" s="64" t="str">
        <f aca="false">IF($C103="","",N(元データ!$F$101))</f>
        <v/>
      </c>
      <c r="G103" s="63" t="str">
        <f aca="false">IF($C103="","",IF(COUNTIF(店舗マスタ!$B$5:$B$304,$C103)&gt;0,"登録済","未登録→マスタに追加"))</f>
        <v/>
      </c>
    </row>
    <row r="104" customFormat="false" ht="15" hidden="false" customHeight="false" outlineLevel="0" collapsed="false">
      <c r="A104" s="63" t="n">
        <v>102</v>
      </c>
      <c r="B104" s="63" t="str">
        <f aca="false">IF(元データ!$A$102="","",元データ!$A$102)</f>
        <v/>
      </c>
      <c r="C104" s="63" t="str">
        <f aca="false">IF(LEFT(B104,1)="(",IFERROR(VALUE(MID(B104,2,FIND(")",B104)-2)),""),"")</f>
        <v/>
      </c>
      <c r="D104" s="64" t="str">
        <f aca="false">IF($C104="","",N(元データ!$B$102))</f>
        <v/>
      </c>
      <c r="E104" s="64" t="str">
        <f aca="false">IF($C104="","",N(元データ!$C$102))</f>
        <v/>
      </c>
      <c r="F104" s="64" t="str">
        <f aca="false">IF($C104="","",N(元データ!$F$102))</f>
        <v/>
      </c>
      <c r="G104" s="63" t="str">
        <f aca="false">IF($C104="","",IF(COUNTIF(店舗マスタ!$B$5:$B$304,$C104)&gt;0,"登録済","未登録→マスタに追加"))</f>
        <v/>
      </c>
    </row>
    <row r="105" customFormat="false" ht="15" hidden="false" customHeight="false" outlineLevel="0" collapsed="false">
      <c r="A105" s="63" t="n">
        <v>103</v>
      </c>
      <c r="B105" s="63" t="str">
        <f aca="false">IF(元データ!$A$103="","",元データ!$A$103)</f>
        <v/>
      </c>
      <c r="C105" s="63" t="str">
        <f aca="false">IF(LEFT(B105,1)="(",IFERROR(VALUE(MID(B105,2,FIND(")",B105)-2)),""),"")</f>
        <v/>
      </c>
      <c r="D105" s="64" t="str">
        <f aca="false">IF($C105="","",N(元データ!$B$103))</f>
        <v/>
      </c>
      <c r="E105" s="64" t="str">
        <f aca="false">IF($C105="","",N(元データ!$C$103))</f>
        <v/>
      </c>
      <c r="F105" s="64" t="str">
        <f aca="false">IF($C105="","",N(元データ!$F$103))</f>
        <v/>
      </c>
      <c r="G105" s="63" t="str">
        <f aca="false">IF($C105="","",IF(COUNTIF(店舗マスタ!$B$5:$B$304,$C105)&gt;0,"登録済","未登録→マスタに追加"))</f>
        <v/>
      </c>
    </row>
    <row r="106" customFormat="false" ht="15" hidden="false" customHeight="false" outlineLevel="0" collapsed="false">
      <c r="A106" s="63" t="n">
        <v>104</v>
      </c>
      <c r="B106" s="63" t="str">
        <f aca="false">IF(元データ!$A$104="","",元データ!$A$104)</f>
        <v/>
      </c>
      <c r="C106" s="63" t="str">
        <f aca="false">IF(LEFT(B106,1)="(",IFERROR(VALUE(MID(B106,2,FIND(")",B106)-2)),""),"")</f>
        <v/>
      </c>
      <c r="D106" s="64" t="str">
        <f aca="false">IF($C106="","",N(元データ!$B$104))</f>
        <v/>
      </c>
      <c r="E106" s="64" t="str">
        <f aca="false">IF($C106="","",N(元データ!$C$104))</f>
        <v/>
      </c>
      <c r="F106" s="64" t="str">
        <f aca="false">IF($C106="","",N(元データ!$F$104))</f>
        <v/>
      </c>
      <c r="G106" s="63" t="str">
        <f aca="false">IF($C106="","",IF(COUNTIF(店舗マスタ!$B$5:$B$304,$C106)&gt;0,"登録済","未登録→マスタに追加"))</f>
        <v/>
      </c>
    </row>
    <row r="107" customFormat="false" ht="15" hidden="false" customHeight="false" outlineLevel="0" collapsed="false">
      <c r="A107" s="63" t="n">
        <v>105</v>
      </c>
      <c r="B107" s="63" t="str">
        <f aca="false">IF(元データ!$A$105="","",元データ!$A$105)</f>
        <v/>
      </c>
      <c r="C107" s="63" t="str">
        <f aca="false">IF(LEFT(B107,1)="(",IFERROR(VALUE(MID(B107,2,FIND(")",B107)-2)),""),"")</f>
        <v/>
      </c>
      <c r="D107" s="64" t="str">
        <f aca="false">IF($C107="","",N(元データ!$B$105))</f>
        <v/>
      </c>
      <c r="E107" s="64" t="str">
        <f aca="false">IF($C107="","",N(元データ!$C$105))</f>
        <v/>
      </c>
      <c r="F107" s="64" t="str">
        <f aca="false">IF($C107="","",N(元データ!$F$105))</f>
        <v/>
      </c>
      <c r="G107" s="63" t="str">
        <f aca="false">IF($C107="","",IF(COUNTIF(店舗マスタ!$B$5:$B$304,$C107)&gt;0,"登録済","未登録→マスタに追加"))</f>
        <v/>
      </c>
    </row>
    <row r="108" customFormat="false" ht="15" hidden="false" customHeight="false" outlineLevel="0" collapsed="false">
      <c r="A108" s="63" t="n">
        <v>106</v>
      </c>
      <c r="B108" s="63" t="str">
        <f aca="false">IF(元データ!$A$106="","",元データ!$A$106)</f>
        <v/>
      </c>
      <c r="C108" s="63" t="str">
        <f aca="false">IF(LEFT(B108,1)="(",IFERROR(VALUE(MID(B108,2,FIND(")",B108)-2)),""),"")</f>
        <v/>
      </c>
      <c r="D108" s="64" t="str">
        <f aca="false">IF($C108="","",N(元データ!$B$106))</f>
        <v/>
      </c>
      <c r="E108" s="64" t="str">
        <f aca="false">IF($C108="","",N(元データ!$C$106))</f>
        <v/>
      </c>
      <c r="F108" s="64" t="str">
        <f aca="false">IF($C108="","",N(元データ!$F$106))</f>
        <v/>
      </c>
      <c r="G108" s="63" t="str">
        <f aca="false">IF($C108="","",IF(COUNTIF(店舗マスタ!$B$5:$B$304,$C108)&gt;0,"登録済","未登録→マスタに追加"))</f>
        <v/>
      </c>
    </row>
    <row r="109" customFormat="false" ht="15" hidden="false" customHeight="false" outlineLevel="0" collapsed="false">
      <c r="A109" s="63" t="n">
        <v>107</v>
      </c>
      <c r="B109" s="63" t="str">
        <f aca="false">IF(元データ!$A$107="","",元データ!$A$107)</f>
        <v/>
      </c>
      <c r="C109" s="63" t="str">
        <f aca="false">IF(LEFT(B109,1)="(",IFERROR(VALUE(MID(B109,2,FIND(")",B109)-2)),""),"")</f>
        <v/>
      </c>
      <c r="D109" s="64" t="str">
        <f aca="false">IF($C109="","",N(元データ!$B$107))</f>
        <v/>
      </c>
      <c r="E109" s="64" t="str">
        <f aca="false">IF($C109="","",N(元データ!$C$107))</f>
        <v/>
      </c>
      <c r="F109" s="64" t="str">
        <f aca="false">IF($C109="","",N(元データ!$F$107))</f>
        <v/>
      </c>
      <c r="G109" s="63" t="str">
        <f aca="false">IF($C109="","",IF(COUNTIF(店舗マスタ!$B$5:$B$304,$C109)&gt;0,"登録済","未登録→マスタに追加"))</f>
        <v/>
      </c>
    </row>
    <row r="110" customFormat="false" ht="15" hidden="false" customHeight="false" outlineLevel="0" collapsed="false">
      <c r="A110" s="63" t="n">
        <v>108</v>
      </c>
      <c r="B110" s="63" t="str">
        <f aca="false">IF(元データ!$A$108="","",元データ!$A$108)</f>
        <v/>
      </c>
      <c r="C110" s="63" t="str">
        <f aca="false">IF(LEFT(B110,1)="(",IFERROR(VALUE(MID(B110,2,FIND(")",B110)-2)),""),"")</f>
        <v/>
      </c>
      <c r="D110" s="64" t="str">
        <f aca="false">IF($C110="","",N(元データ!$B$108))</f>
        <v/>
      </c>
      <c r="E110" s="64" t="str">
        <f aca="false">IF($C110="","",N(元データ!$C$108))</f>
        <v/>
      </c>
      <c r="F110" s="64" t="str">
        <f aca="false">IF($C110="","",N(元データ!$F$108))</f>
        <v/>
      </c>
      <c r="G110" s="63" t="str">
        <f aca="false">IF($C110="","",IF(COUNTIF(店舗マスタ!$B$5:$B$304,$C110)&gt;0,"登録済","未登録→マスタに追加"))</f>
        <v/>
      </c>
    </row>
    <row r="111" customFormat="false" ht="15" hidden="false" customHeight="false" outlineLevel="0" collapsed="false">
      <c r="A111" s="63" t="n">
        <v>109</v>
      </c>
      <c r="B111" s="63" t="str">
        <f aca="false">IF(元データ!$A$109="","",元データ!$A$109)</f>
        <v/>
      </c>
      <c r="C111" s="63" t="str">
        <f aca="false">IF(LEFT(B111,1)="(",IFERROR(VALUE(MID(B111,2,FIND(")",B111)-2)),""),"")</f>
        <v/>
      </c>
      <c r="D111" s="64" t="str">
        <f aca="false">IF($C111="","",N(元データ!$B$109))</f>
        <v/>
      </c>
      <c r="E111" s="64" t="str">
        <f aca="false">IF($C111="","",N(元データ!$C$109))</f>
        <v/>
      </c>
      <c r="F111" s="64" t="str">
        <f aca="false">IF($C111="","",N(元データ!$F$109))</f>
        <v/>
      </c>
      <c r="G111" s="63" t="str">
        <f aca="false">IF($C111="","",IF(COUNTIF(店舗マスタ!$B$5:$B$304,$C111)&gt;0,"登録済","未登録→マスタに追加"))</f>
        <v/>
      </c>
    </row>
    <row r="112" customFormat="false" ht="15" hidden="false" customHeight="false" outlineLevel="0" collapsed="false">
      <c r="A112" s="63" t="n">
        <v>110</v>
      </c>
      <c r="B112" s="63" t="str">
        <f aca="false">IF(元データ!$A$110="","",元データ!$A$110)</f>
        <v/>
      </c>
      <c r="C112" s="63" t="str">
        <f aca="false">IF(LEFT(B112,1)="(",IFERROR(VALUE(MID(B112,2,FIND(")",B112)-2)),""),"")</f>
        <v/>
      </c>
      <c r="D112" s="64" t="str">
        <f aca="false">IF($C112="","",N(元データ!$B$110))</f>
        <v/>
      </c>
      <c r="E112" s="64" t="str">
        <f aca="false">IF($C112="","",N(元データ!$C$110))</f>
        <v/>
      </c>
      <c r="F112" s="64" t="str">
        <f aca="false">IF($C112="","",N(元データ!$F$110))</f>
        <v/>
      </c>
      <c r="G112" s="63" t="str">
        <f aca="false">IF($C112="","",IF(COUNTIF(店舗マスタ!$B$5:$B$304,$C112)&gt;0,"登録済","未登録→マスタに追加"))</f>
        <v/>
      </c>
    </row>
    <row r="113" customFormat="false" ht="15" hidden="false" customHeight="false" outlineLevel="0" collapsed="false">
      <c r="A113" s="63" t="n">
        <v>111</v>
      </c>
      <c r="B113" s="63" t="str">
        <f aca="false">IF(元データ!$A$111="","",元データ!$A$111)</f>
        <v/>
      </c>
      <c r="C113" s="63" t="str">
        <f aca="false">IF(LEFT(B113,1)="(",IFERROR(VALUE(MID(B113,2,FIND(")",B113)-2)),""),"")</f>
        <v/>
      </c>
      <c r="D113" s="64" t="str">
        <f aca="false">IF($C113="","",N(元データ!$B$111))</f>
        <v/>
      </c>
      <c r="E113" s="64" t="str">
        <f aca="false">IF($C113="","",N(元データ!$C$111))</f>
        <v/>
      </c>
      <c r="F113" s="64" t="str">
        <f aca="false">IF($C113="","",N(元データ!$F$111))</f>
        <v/>
      </c>
      <c r="G113" s="63" t="str">
        <f aca="false">IF($C113="","",IF(COUNTIF(店舗マスタ!$B$5:$B$304,$C113)&gt;0,"登録済","未登録→マスタに追加"))</f>
        <v/>
      </c>
    </row>
    <row r="114" customFormat="false" ht="15" hidden="false" customHeight="false" outlineLevel="0" collapsed="false">
      <c r="A114" s="63" t="n">
        <v>112</v>
      </c>
      <c r="B114" s="63" t="str">
        <f aca="false">IF(元データ!$A$112="","",元データ!$A$112)</f>
        <v/>
      </c>
      <c r="C114" s="63" t="str">
        <f aca="false">IF(LEFT(B114,1)="(",IFERROR(VALUE(MID(B114,2,FIND(")",B114)-2)),""),"")</f>
        <v/>
      </c>
      <c r="D114" s="64" t="str">
        <f aca="false">IF($C114="","",N(元データ!$B$112))</f>
        <v/>
      </c>
      <c r="E114" s="64" t="str">
        <f aca="false">IF($C114="","",N(元データ!$C$112))</f>
        <v/>
      </c>
      <c r="F114" s="64" t="str">
        <f aca="false">IF($C114="","",N(元データ!$F$112))</f>
        <v/>
      </c>
      <c r="G114" s="63" t="str">
        <f aca="false">IF($C114="","",IF(COUNTIF(店舗マスタ!$B$5:$B$304,$C114)&gt;0,"登録済","未登録→マスタに追加"))</f>
        <v/>
      </c>
    </row>
    <row r="115" customFormat="false" ht="15" hidden="false" customHeight="false" outlineLevel="0" collapsed="false">
      <c r="A115" s="63" t="n">
        <v>113</v>
      </c>
      <c r="B115" s="63" t="str">
        <f aca="false">IF(元データ!$A$113="","",元データ!$A$113)</f>
        <v/>
      </c>
      <c r="C115" s="63" t="str">
        <f aca="false">IF(LEFT(B115,1)="(",IFERROR(VALUE(MID(B115,2,FIND(")",B115)-2)),""),"")</f>
        <v/>
      </c>
      <c r="D115" s="64" t="str">
        <f aca="false">IF($C115="","",N(元データ!$B$113))</f>
        <v/>
      </c>
      <c r="E115" s="64" t="str">
        <f aca="false">IF($C115="","",N(元データ!$C$113))</f>
        <v/>
      </c>
      <c r="F115" s="64" t="str">
        <f aca="false">IF($C115="","",N(元データ!$F$113))</f>
        <v/>
      </c>
      <c r="G115" s="63" t="str">
        <f aca="false">IF($C115="","",IF(COUNTIF(店舗マスタ!$B$5:$B$304,$C115)&gt;0,"登録済","未登録→マスタに追加"))</f>
        <v/>
      </c>
    </row>
    <row r="116" customFormat="false" ht="15" hidden="false" customHeight="false" outlineLevel="0" collapsed="false">
      <c r="A116" s="63" t="n">
        <v>114</v>
      </c>
      <c r="B116" s="63" t="str">
        <f aca="false">IF(元データ!$A$114="","",元データ!$A$114)</f>
        <v/>
      </c>
      <c r="C116" s="63" t="str">
        <f aca="false">IF(LEFT(B116,1)="(",IFERROR(VALUE(MID(B116,2,FIND(")",B116)-2)),""),"")</f>
        <v/>
      </c>
      <c r="D116" s="64" t="str">
        <f aca="false">IF($C116="","",N(元データ!$B$114))</f>
        <v/>
      </c>
      <c r="E116" s="64" t="str">
        <f aca="false">IF($C116="","",N(元データ!$C$114))</f>
        <v/>
      </c>
      <c r="F116" s="64" t="str">
        <f aca="false">IF($C116="","",N(元データ!$F$114))</f>
        <v/>
      </c>
      <c r="G116" s="63" t="str">
        <f aca="false">IF($C116="","",IF(COUNTIF(店舗マスタ!$B$5:$B$304,$C116)&gt;0,"登録済","未登録→マスタに追加"))</f>
        <v/>
      </c>
    </row>
    <row r="117" customFormat="false" ht="15" hidden="false" customHeight="false" outlineLevel="0" collapsed="false">
      <c r="A117" s="63" t="n">
        <v>115</v>
      </c>
      <c r="B117" s="63" t="str">
        <f aca="false">IF(元データ!$A$115="","",元データ!$A$115)</f>
        <v/>
      </c>
      <c r="C117" s="63" t="str">
        <f aca="false">IF(LEFT(B117,1)="(",IFERROR(VALUE(MID(B117,2,FIND(")",B117)-2)),""),"")</f>
        <v/>
      </c>
      <c r="D117" s="64" t="str">
        <f aca="false">IF($C117="","",N(元データ!$B$115))</f>
        <v/>
      </c>
      <c r="E117" s="64" t="str">
        <f aca="false">IF($C117="","",N(元データ!$C$115))</f>
        <v/>
      </c>
      <c r="F117" s="64" t="str">
        <f aca="false">IF($C117="","",N(元データ!$F$115))</f>
        <v/>
      </c>
      <c r="G117" s="63" t="str">
        <f aca="false">IF($C117="","",IF(COUNTIF(店舗マスタ!$B$5:$B$304,$C117)&gt;0,"登録済","未登録→マスタに追加"))</f>
        <v/>
      </c>
    </row>
    <row r="118" customFormat="false" ht="15" hidden="false" customHeight="false" outlineLevel="0" collapsed="false">
      <c r="A118" s="63" t="n">
        <v>116</v>
      </c>
      <c r="B118" s="63" t="str">
        <f aca="false">IF(元データ!$A$116="","",元データ!$A$116)</f>
        <v/>
      </c>
      <c r="C118" s="63" t="str">
        <f aca="false">IF(LEFT(B118,1)="(",IFERROR(VALUE(MID(B118,2,FIND(")",B118)-2)),""),"")</f>
        <v/>
      </c>
      <c r="D118" s="64" t="str">
        <f aca="false">IF($C118="","",N(元データ!$B$116))</f>
        <v/>
      </c>
      <c r="E118" s="64" t="str">
        <f aca="false">IF($C118="","",N(元データ!$C$116))</f>
        <v/>
      </c>
      <c r="F118" s="64" t="str">
        <f aca="false">IF($C118="","",N(元データ!$F$116))</f>
        <v/>
      </c>
      <c r="G118" s="63" t="str">
        <f aca="false">IF($C118="","",IF(COUNTIF(店舗マスタ!$B$5:$B$304,$C118)&gt;0,"登録済","未登録→マスタに追加"))</f>
        <v/>
      </c>
    </row>
    <row r="119" customFormat="false" ht="15" hidden="false" customHeight="false" outlineLevel="0" collapsed="false">
      <c r="A119" s="63" t="n">
        <v>117</v>
      </c>
      <c r="B119" s="63" t="str">
        <f aca="false">IF(元データ!$A$117="","",元データ!$A$117)</f>
        <v/>
      </c>
      <c r="C119" s="63" t="str">
        <f aca="false">IF(LEFT(B119,1)="(",IFERROR(VALUE(MID(B119,2,FIND(")",B119)-2)),""),"")</f>
        <v/>
      </c>
      <c r="D119" s="64" t="str">
        <f aca="false">IF($C119="","",N(元データ!$B$117))</f>
        <v/>
      </c>
      <c r="E119" s="64" t="str">
        <f aca="false">IF($C119="","",N(元データ!$C$117))</f>
        <v/>
      </c>
      <c r="F119" s="64" t="str">
        <f aca="false">IF($C119="","",N(元データ!$F$117))</f>
        <v/>
      </c>
      <c r="G119" s="63" t="str">
        <f aca="false">IF($C119="","",IF(COUNTIF(店舗マスタ!$B$5:$B$304,$C119)&gt;0,"登録済","未登録→マスタに追加"))</f>
        <v/>
      </c>
    </row>
    <row r="120" customFormat="false" ht="15" hidden="false" customHeight="false" outlineLevel="0" collapsed="false">
      <c r="A120" s="63" t="n">
        <v>118</v>
      </c>
      <c r="B120" s="63" t="str">
        <f aca="false">IF(元データ!$A$118="","",元データ!$A$118)</f>
        <v/>
      </c>
      <c r="C120" s="63" t="str">
        <f aca="false">IF(LEFT(B120,1)="(",IFERROR(VALUE(MID(B120,2,FIND(")",B120)-2)),""),"")</f>
        <v/>
      </c>
      <c r="D120" s="64" t="str">
        <f aca="false">IF($C120="","",N(元データ!$B$118))</f>
        <v/>
      </c>
      <c r="E120" s="64" t="str">
        <f aca="false">IF($C120="","",N(元データ!$C$118))</f>
        <v/>
      </c>
      <c r="F120" s="64" t="str">
        <f aca="false">IF($C120="","",N(元データ!$F$118))</f>
        <v/>
      </c>
      <c r="G120" s="63" t="str">
        <f aca="false">IF($C120="","",IF(COUNTIF(店舗マスタ!$B$5:$B$304,$C120)&gt;0,"登録済","未登録→マスタに追加"))</f>
        <v/>
      </c>
    </row>
    <row r="121" customFormat="false" ht="15" hidden="false" customHeight="false" outlineLevel="0" collapsed="false">
      <c r="A121" s="63" t="n">
        <v>119</v>
      </c>
      <c r="B121" s="63" t="str">
        <f aca="false">IF(元データ!$A$119="","",元データ!$A$119)</f>
        <v/>
      </c>
      <c r="C121" s="63" t="str">
        <f aca="false">IF(LEFT(B121,1)="(",IFERROR(VALUE(MID(B121,2,FIND(")",B121)-2)),""),"")</f>
        <v/>
      </c>
      <c r="D121" s="64" t="str">
        <f aca="false">IF($C121="","",N(元データ!$B$119))</f>
        <v/>
      </c>
      <c r="E121" s="64" t="str">
        <f aca="false">IF($C121="","",N(元データ!$C$119))</f>
        <v/>
      </c>
      <c r="F121" s="64" t="str">
        <f aca="false">IF($C121="","",N(元データ!$F$119))</f>
        <v/>
      </c>
      <c r="G121" s="63" t="str">
        <f aca="false">IF($C121="","",IF(COUNTIF(店舗マスタ!$B$5:$B$304,$C121)&gt;0,"登録済","未登録→マスタに追加"))</f>
        <v/>
      </c>
    </row>
    <row r="122" customFormat="false" ht="15" hidden="false" customHeight="false" outlineLevel="0" collapsed="false">
      <c r="A122" s="63" t="n">
        <v>120</v>
      </c>
      <c r="B122" s="63" t="str">
        <f aca="false">IF(元データ!$A$120="","",元データ!$A$120)</f>
        <v/>
      </c>
      <c r="C122" s="63" t="str">
        <f aca="false">IF(LEFT(B122,1)="(",IFERROR(VALUE(MID(B122,2,FIND(")",B122)-2)),""),"")</f>
        <v/>
      </c>
      <c r="D122" s="64" t="str">
        <f aca="false">IF($C122="","",N(元データ!$B$120))</f>
        <v/>
      </c>
      <c r="E122" s="64" t="str">
        <f aca="false">IF($C122="","",N(元データ!$C$120))</f>
        <v/>
      </c>
      <c r="F122" s="64" t="str">
        <f aca="false">IF($C122="","",N(元データ!$F$120))</f>
        <v/>
      </c>
      <c r="G122" s="63" t="str">
        <f aca="false">IF($C122="","",IF(COUNTIF(店舗マスタ!$B$5:$B$304,$C122)&gt;0,"登録済","未登録→マスタに追加"))</f>
        <v/>
      </c>
    </row>
    <row r="123" customFormat="false" ht="15" hidden="false" customHeight="false" outlineLevel="0" collapsed="false">
      <c r="A123" s="63" t="n">
        <v>121</v>
      </c>
      <c r="B123" s="63" t="str">
        <f aca="false">IF(元データ!$A$121="","",元データ!$A$121)</f>
        <v/>
      </c>
      <c r="C123" s="63" t="str">
        <f aca="false">IF(LEFT(B123,1)="(",IFERROR(VALUE(MID(B123,2,FIND(")",B123)-2)),""),"")</f>
        <v/>
      </c>
      <c r="D123" s="64" t="str">
        <f aca="false">IF($C123="","",N(元データ!$B$121))</f>
        <v/>
      </c>
      <c r="E123" s="64" t="str">
        <f aca="false">IF($C123="","",N(元データ!$C$121))</f>
        <v/>
      </c>
      <c r="F123" s="64" t="str">
        <f aca="false">IF($C123="","",N(元データ!$F$121))</f>
        <v/>
      </c>
      <c r="G123" s="63" t="str">
        <f aca="false">IF($C123="","",IF(COUNTIF(店舗マスタ!$B$5:$B$304,$C123)&gt;0,"登録済","未登録→マスタに追加"))</f>
        <v/>
      </c>
    </row>
    <row r="124" customFormat="false" ht="15" hidden="false" customHeight="false" outlineLevel="0" collapsed="false">
      <c r="A124" s="63" t="n">
        <v>122</v>
      </c>
      <c r="B124" s="63" t="str">
        <f aca="false">IF(元データ!$A$122="","",元データ!$A$122)</f>
        <v/>
      </c>
      <c r="C124" s="63" t="str">
        <f aca="false">IF(LEFT(B124,1)="(",IFERROR(VALUE(MID(B124,2,FIND(")",B124)-2)),""),"")</f>
        <v/>
      </c>
      <c r="D124" s="64" t="str">
        <f aca="false">IF($C124="","",N(元データ!$B$122))</f>
        <v/>
      </c>
      <c r="E124" s="64" t="str">
        <f aca="false">IF($C124="","",N(元データ!$C$122))</f>
        <v/>
      </c>
      <c r="F124" s="64" t="str">
        <f aca="false">IF($C124="","",N(元データ!$F$122))</f>
        <v/>
      </c>
      <c r="G124" s="63" t="str">
        <f aca="false">IF($C124="","",IF(COUNTIF(店舗マスタ!$B$5:$B$304,$C124)&gt;0,"登録済","未登録→マスタに追加"))</f>
        <v/>
      </c>
    </row>
    <row r="125" customFormat="false" ht="15" hidden="false" customHeight="false" outlineLevel="0" collapsed="false">
      <c r="A125" s="63" t="n">
        <v>123</v>
      </c>
      <c r="B125" s="63" t="str">
        <f aca="false">IF(元データ!$A$123="","",元データ!$A$123)</f>
        <v/>
      </c>
      <c r="C125" s="63" t="str">
        <f aca="false">IF(LEFT(B125,1)="(",IFERROR(VALUE(MID(B125,2,FIND(")",B125)-2)),""),"")</f>
        <v/>
      </c>
      <c r="D125" s="64" t="str">
        <f aca="false">IF($C125="","",N(元データ!$B$123))</f>
        <v/>
      </c>
      <c r="E125" s="64" t="str">
        <f aca="false">IF($C125="","",N(元データ!$C$123))</f>
        <v/>
      </c>
      <c r="F125" s="64" t="str">
        <f aca="false">IF($C125="","",N(元データ!$F$123))</f>
        <v/>
      </c>
      <c r="G125" s="63" t="str">
        <f aca="false">IF($C125="","",IF(COUNTIF(店舗マスタ!$B$5:$B$304,$C125)&gt;0,"登録済","未登録→マスタに追加"))</f>
        <v/>
      </c>
    </row>
    <row r="126" customFormat="false" ht="15" hidden="false" customHeight="false" outlineLevel="0" collapsed="false">
      <c r="A126" s="63" t="n">
        <v>124</v>
      </c>
      <c r="B126" s="63" t="str">
        <f aca="false">IF(元データ!$A$124="","",元データ!$A$124)</f>
        <v/>
      </c>
      <c r="C126" s="63" t="str">
        <f aca="false">IF(LEFT(B126,1)="(",IFERROR(VALUE(MID(B126,2,FIND(")",B126)-2)),""),"")</f>
        <v/>
      </c>
      <c r="D126" s="64" t="str">
        <f aca="false">IF($C126="","",N(元データ!$B$124))</f>
        <v/>
      </c>
      <c r="E126" s="64" t="str">
        <f aca="false">IF($C126="","",N(元データ!$C$124))</f>
        <v/>
      </c>
      <c r="F126" s="64" t="str">
        <f aca="false">IF($C126="","",N(元データ!$F$124))</f>
        <v/>
      </c>
      <c r="G126" s="63" t="str">
        <f aca="false">IF($C126="","",IF(COUNTIF(店舗マスタ!$B$5:$B$304,$C126)&gt;0,"登録済","未登録→マスタに追加"))</f>
        <v/>
      </c>
    </row>
    <row r="127" customFormat="false" ht="15" hidden="false" customHeight="false" outlineLevel="0" collapsed="false">
      <c r="A127" s="63" t="n">
        <v>125</v>
      </c>
      <c r="B127" s="63" t="str">
        <f aca="false">IF(元データ!$A$125="","",元データ!$A$125)</f>
        <v/>
      </c>
      <c r="C127" s="63" t="str">
        <f aca="false">IF(LEFT(B127,1)="(",IFERROR(VALUE(MID(B127,2,FIND(")",B127)-2)),""),"")</f>
        <v/>
      </c>
      <c r="D127" s="64" t="str">
        <f aca="false">IF($C127="","",N(元データ!$B$125))</f>
        <v/>
      </c>
      <c r="E127" s="64" t="str">
        <f aca="false">IF($C127="","",N(元データ!$C$125))</f>
        <v/>
      </c>
      <c r="F127" s="64" t="str">
        <f aca="false">IF($C127="","",N(元データ!$F$125))</f>
        <v/>
      </c>
      <c r="G127" s="63" t="str">
        <f aca="false">IF($C127="","",IF(COUNTIF(店舗マスタ!$B$5:$B$304,$C127)&gt;0,"登録済","未登録→マスタに追加"))</f>
        <v/>
      </c>
    </row>
    <row r="128" customFormat="false" ht="15" hidden="false" customHeight="false" outlineLevel="0" collapsed="false">
      <c r="A128" s="63" t="n">
        <v>126</v>
      </c>
      <c r="B128" s="63" t="str">
        <f aca="false">IF(元データ!$A$126="","",元データ!$A$126)</f>
        <v/>
      </c>
      <c r="C128" s="63" t="str">
        <f aca="false">IF(LEFT(B128,1)="(",IFERROR(VALUE(MID(B128,2,FIND(")",B128)-2)),""),"")</f>
        <v/>
      </c>
      <c r="D128" s="64" t="str">
        <f aca="false">IF($C128="","",N(元データ!$B$126))</f>
        <v/>
      </c>
      <c r="E128" s="64" t="str">
        <f aca="false">IF($C128="","",N(元データ!$C$126))</f>
        <v/>
      </c>
      <c r="F128" s="64" t="str">
        <f aca="false">IF($C128="","",N(元データ!$F$126))</f>
        <v/>
      </c>
      <c r="G128" s="63" t="str">
        <f aca="false">IF($C128="","",IF(COUNTIF(店舗マスタ!$B$5:$B$304,$C128)&gt;0,"登録済","未登録→マスタに追加"))</f>
        <v/>
      </c>
    </row>
    <row r="129" customFormat="false" ht="15" hidden="false" customHeight="false" outlineLevel="0" collapsed="false">
      <c r="A129" s="63" t="n">
        <v>127</v>
      </c>
      <c r="B129" s="63" t="str">
        <f aca="false">IF(元データ!$A$127="","",元データ!$A$127)</f>
        <v/>
      </c>
      <c r="C129" s="63" t="str">
        <f aca="false">IF(LEFT(B129,1)="(",IFERROR(VALUE(MID(B129,2,FIND(")",B129)-2)),""),"")</f>
        <v/>
      </c>
      <c r="D129" s="64" t="str">
        <f aca="false">IF($C129="","",N(元データ!$B$127))</f>
        <v/>
      </c>
      <c r="E129" s="64" t="str">
        <f aca="false">IF($C129="","",N(元データ!$C$127))</f>
        <v/>
      </c>
      <c r="F129" s="64" t="str">
        <f aca="false">IF($C129="","",N(元データ!$F$127))</f>
        <v/>
      </c>
      <c r="G129" s="63" t="str">
        <f aca="false">IF($C129="","",IF(COUNTIF(店舗マスタ!$B$5:$B$304,$C129)&gt;0,"登録済","未登録→マスタに追加"))</f>
        <v/>
      </c>
    </row>
    <row r="130" customFormat="false" ht="15" hidden="false" customHeight="false" outlineLevel="0" collapsed="false">
      <c r="A130" s="63" t="n">
        <v>128</v>
      </c>
      <c r="B130" s="63" t="str">
        <f aca="false">IF(元データ!$A$128="","",元データ!$A$128)</f>
        <v/>
      </c>
      <c r="C130" s="63" t="str">
        <f aca="false">IF(LEFT(B130,1)="(",IFERROR(VALUE(MID(B130,2,FIND(")",B130)-2)),""),"")</f>
        <v/>
      </c>
      <c r="D130" s="64" t="str">
        <f aca="false">IF($C130="","",N(元データ!$B$128))</f>
        <v/>
      </c>
      <c r="E130" s="64" t="str">
        <f aca="false">IF($C130="","",N(元データ!$C$128))</f>
        <v/>
      </c>
      <c r="F130" s="64" t="str">
        <f aca="false">IF($C130="","",N(元データ!$F$128))</f>
        <v/>
      </c>
      <c r="G130" s="63" t="str">
        <f aca="false">IF($C130="","",IF(COUNTIF(店舗マスタ!$B$5:$B$304,$C130)&gt;0,"登録済","未登録→マスタに追加"))</f>
        <v/>
      </c>
    </row>
    <row r="131" customFormat="false" ht="15" hidden="false" customHeight="false" outlineLevel="0" collapsed="false">
      <c r="A131" s="63" t="n">
        <v>129</v>
      </c>
      <c r="B131" s="63" t="str">
        <f aca="false">IF(元データ!$A$129="","",元データ!$A$129)</f>
        <v/>
      </c>
      <c r="C131" s="63" t="str">
        <f aca="false">IF(LEFT(B131,1)="(",IFERROR(VALUE(MID(B131,2,FIND(")",B131)-2)),""),"")</f>
        <v/>
      </c>
      <c r="D131" s="64" t="str">
        <f aca="false">IF($C131="","",N(元データ!$B$129))</f>
        <v/>
      </c>
      <c r="E131" s="64" t="str">
        <f aca="false">IF($C131="","",N(元データ!$C$129))</f>
        <v/>
      </c>
      <c r="F131" s="64" t="str">
        <f aca="false">IF($C131="","",N(元データ!$F$129))</f>
        <v/>
      </c>
      <c r="G131" s="63" t="str">
        <f aca="false">IF($C131="","",IF(COUNTIF(店舗マスタ!$B$5:$B$304,$C131)&gt;0,"登録済","未登録→マスタに追加"))</f>
        <v/>
      </c>
    </row>
    <row r="132" customFormat="false" ht="15" hidden="false" customHeight="false" outlineLevel="0" collapsed="false">
      <c r="A132" s="63" t="n">
        <v>130</v>
      </c>
      <c r="B132" s="63" t="str">
        <f aca="false">IF(元データ!$A$130="","",元データ!$A$130)</f>
        <v/>
      </c>
      <c r="C132" s="63" t="str">
        <f aca="false">IF(LEFT(B132,1)="(",IFERROR(VALUE(MID(B132,2,FIND(")",B132)-2)),""),"")</f>
        <v/>
      </c>
      <c r="D132" s="64" t="str">
        <f aca="false">IF($C132="","",N(元データ!$B$130))</f>
        <v/>
      </c>
      <c r="E132" s="64" t="str">
        <f aca="false">IF($C132="","",N(元データ!$C$130))</f>
        <v/>
      </c>
      <c r="F132" s="64" t="str">
        <f aca="false">IF($C132="","",N(元データ!$F$130))</f>
        <v/>
      </c>
      <c r="G132" s="63" t="str">
        <f aca="false">IF($C132="","",IF(COUNTIF(店舗マスタ!$B$5:$B$304,$C132)&gt;0,"登録済","未登録→マスタに追加"))</f>
        <v/>
      </c>
    </row>
    <row r="133" customFormat="false" ht="15" hidden="false" customHeight="false" outlineLevel="0" collapsed="false">
      <c r="A133" s="63" t="n">
        <v>131</v>
      </c>
      <c r="B133" s="63" t="str">
        <f aca="false">IF(元データ!$A$131="","",元データ!$A$131)</f>
        <v/>
      </c>
      <c r="C133" s="63" t="str">
        <f aca="false">IF(LEFT(B133,1)="(",IFERROR(VALUE(MID(B133,2,FIND(")",B133)-2)),""),"")</f>
        <v/>
      </c>
      <c r="D133" s="64" t="str">
        <f aca="false">IF($C133="","",N(元データ!$B$131))</f>
        <v/>
      </c>
      <c r="E133" s="64" t="str">
        <f aca="false">IF($C133="","",N(元データ!$C$131))</f>
        <v/>
      </c>
      <c r="F133" s="64" t="str">
        <f aca="false">IF($C133="","",N(元データ!$F$131))</f>
        <v/>
      </c>
      <c r="G133" s="63" t="str">
        <f aca="false">IF($C133="","",IF(COUNTIF(店舗マスタ!$B$5:$B$304,$C133)&gt;0,"登録済","未登録→マスタに追加"))</f>
        <v/>
      </c>
    </row>
    <row r="134" customFormat="false" ht="15" hidden="false" customHeight="false" outlineLevel="0" collapsed="false">
      <c r="A134" s="63" t="n">
        <v>132</v>
      </c>
      <c r="B134" s="63" t="str">
        <f aca="false">IF(元データ!$A$132="","",元データ!$A$132)</f>
        <v/>
      </c>
      <c r="C134" s="63" t="str">
        <f aca="false">IF(LEFT(B134,1)="(",IFERROR(VALUE(MID(B134,2,FIND(")",B134)-2)),""),"")</f>
        <v/>
      </c>
      <c r="D134" s="64" t="str">
        <f aca="false">IF($C134="","",N(元データ!$B$132))</f>
        <v/>
      </c>
      <c r="E134" s="64" t="str">
        <f aca="false">IF($C134="","",N(元データ!$C$132))</f>
        <v/>
      </c>
      <c r="F134" s="64" t="str">
        <f aca="false">IF($C134="","",N(元データ!$F$132))</f>
        <v/>
      </c>
      <c r="G134" s="63" t="str">
        <f aca="false">IF($C134="","",IF(COUNTIF(店舗マスタ!$B$5:$B$304,$C134)&gt;0,"登録済","未登録→マスタに追加"))</f>
        <v/>
      </c>
    </row>
    <row r="135" customFormat="false" ht="15" hidden="false" customHeight="false" outlineLevel="0" collapsed="false">
      <c r="A135" s="63" t="n">
        <v>133</v>
      </c>
      <c r="B135" s="63" t="str">
        <f aca="false">IF(元データ!$A$133="","",元データ!$A$133)</f>
        <v/>
      </c>
      <c r="C135" s="63" t="str">
        <f aca="false">IF(LEFT(B135,1)="(",IFERROR(VALUE(MID(B135,2,FIND(")",B135)-2)),""),"")</f>
        <v/>
      </c>
      <c r="D135" s="64" t="str">
        <f aca="false">IF($C135="","",N(元データ!$B$133))</f>
        <v/>
      </c>
      <c r="E135" s="64" t="str">
        <f aca="false">IF($C135="","",N(元データ!$C$133))</f>
        <v/>
      </c>
      <c r="F135" s="64" t="str">
        <f aca="false">IF($C135="","",N(元データ!$F$133))</f>
        <v/>
      </c>
      <c r="G135" s="63" t="str">
        <f aca="false">IF($C135="","",IF(COUNTIF(店舗マスタ!$B$5:$B$304,$C135)&gt;0,"登録済","未登録→マスタに追加"))</f>
        <v/>
      </c>
    </row>
    <row r="136" customFormat="false" ht="15" hidden="false" customHeight="false" outlineLevel="0" collapsed="false">
      <c r="A136" s="63" t="n">
        <v>134</v>
      </c>
      <c r="B136" s="63" t="str">
        <f aca="false">IF(元データ!$A$134="","",元データ!$A$134)</f>
        <v/>
      </c>
      <c r="C136" s="63" t="str">
        <f aca="false">IF(LEFT(B136,1)="(",IFERROR(VALUE(MID(B136,2,FIND(")",B136)-2)),""),"")</f>
        <v/>
      </c>
      <c r="D136" s="64" t="str">
        <f aca="false">IF($C136="","",N(元データ!$B$134))</f>
        <v/>
      </c>
      <c r="E136" s="64" t="str">
        <f aca="false">IF($C136="","",N(元データ!$C$134))</f>
        <v/>
      </c>
      <c r="F136" s="64" t="str">
        <f aca="false">IF($C136="","",N(元データ!$F$134))</f>
        <v/>
      </c>
      <c r="G136" s="63" t="str">
        <f aca="false">IF($C136="","",IF(COUNTIF(店舗マスタ!$B$5:$B$304,$C136)&gt;0,"登録済","未登録→マスタに追加"))</f>
        <v/>
      </c>
    </row>
    <row r="137" customFormat="false" ht="15" hidden="false" customHeight="false" outlineLevel="0" collapsed="false">
      <c r="A137" s="63" t="n">
        <v>135</v>
      </c>
      <c r="B137" s="63" t="str">
        <f aca="false">IF(元データ!$A$135="","",元データ!$A$135)</f>
        <v/>
      </c>
      <c r="C137" s="63" t="str">
        <f aca="false">IF(LEFT(B137,1)="(",IFERROR(VALUE(MID(B137,2,FIND(")",B137)-2)),""),"")</f>
        <v/>
      </c>
      <c r="D137" s="64" t="str">
        <f aca="false">IF($C137="","",N(元データ!$B$135))</f>
        <v/>
      </c>
      <c r="E137" s="64" t="str">
        <f aca="false">IF($C137="","",N(元データ!$C$135))</f>
        <v/>
      </c>
      <c r="F137" s="64" t="str">
        <f aca="false">IF($C137="","",N(元データ!$F$135))</f>
        <v/>
      </c>
      <c r="G137" s="63" t="str">
        <f aca="false">IF($C137="","",IF(COUNTIF(店舗マスタ!$B$5:$B$304,$C137)&gt;0,"登録済","未登録→マスタに追加"))</f>
        <v/>
      </c>
    </row>
    <row r="138" customFormat="false" ht="15" hidden="false" customHeight="false" outlineLevel="0" collapsed="false">
      <c r="A138" s="63" t="n">
        <v>136</v>
      </c>
      <c r="B138" s="63" t="str">
        <f aca="false">IF(元データ!$A$136="","",元データ!$A$136)</f>
        <v/>
      </c>
      <c r="C138" s="63" t="str">
        <f aca="false">IF(LEFT(B138,1)="(",IFERROR(VALUE(MID(B138,2,FIND(")",B138)-2)),""),"")</f>
        <v/>
      </c>
      <c r="D138" s="64" t="str">
        <f aca="false">IF($C138="","",N(元データ!$B$136))</f>
        <v/>
      </c>
      <c r="E138" s="64" t="str">
        <f aca="false">IF($C138="","",N(元データ!$C$136))</f>
        <v/>
      </c>
      <c r="F138" s="64" t="str">
        <f aca="false">IF($C138="","",N(元データ!$F$136))</f>
        <v/>
      </c>
      <c r="G138" s="63" t="str">
        <f aca="false">IF($C138="","",IF(COUNTIF(店舗マスタ!$B$5:$B$304,$C138)&gt;0,"登録済","未登録→マスタに追加"))</f>
        <v/>
      </c>
    </row>
    <row r="139" customFormat="false" ht="15" hidden="false" customHeight="false" outlineLevel="0" collapsed="false">
      <c r="A139" s="63" t="n">
        <v>137</v>
      </c>
      <c r="B139" s="63" t="str">
        <f aca="false">IF(元データ!$A$137="","",元データ!$A$137)</f>
        <v/>
      </c>
      <c r="C139" s="63" t="str">
        <f aca="false">IF(LEFT(B139,1)="(",IFERROR(VALUE(MID(B139,2,FIND(")",B139)-2)),""),"")</f>
        <v/>
      </c>
      <c r="D139" s="64" t="str">
        <f aca="false">IF($C139="","",N(元データ!$B$137))</f>
        <v/>
      </c>
      <c r="E139" s="64" t="str">
        <f aca="false">IF($C139="","",N(元データ!$C$137))</f>
        <v/>
      </c>
      <c r="F139" s="64" t="str">
        <f aca="false">IF($C139="","",N(元データ!$F$137))</f>
        <v/>
      </c>
      <c r="G139" s="63" t="str">
        <f aca="false">IF($C139="","",IF(COUNTIF(店舗マスタ!$B$5:$B$304,$C139)&gt;0,"登録済","未登録→マスタに追加"))</f>
        <v/>
      </c>
    </row>
    <row r="140" customFormat="false" ht="15" hidden="false" customHeight="false" outlineLevel="0" collapsed="false">
      <c r="A140" s="63" t="n">
        <v>138</v>
      </c>
      <c r="B140" s="63" t="str">
        <f aca="false">IF(元データ!$A$138="","",元データ!$A$138)</f>
        <v/>
      </c>
      <c r="C140" s="63" t="str">
        <f aca="false">IF(LEFT(B140,1)="(",IFERROR(VALUE(MID(B140,2,FIND(")",B140)-2)),""),"")</f>
        <v/>
      </c>
      <c r="D140" s="64" t="str">
        <f aca="false">IF($C140="","",N(元データ!$B$138))</f>
        <v/>
      </c>
      <c r="E140" s="64" t="str">
        <f aca="false">IF($C140="","",N(元データ!$C$138))</f>
        <v/>
      </c>
      <c r="F140" s="64" t="str">
        <f aca="false">IF($C140="","",N(元データ!$F$138))</f>
        <v/>
      </c>
      <c r="G140" s="63" t="str">
        <f aca="false">IF($C140="","",IF(COUNTIF(店舗マスタ!$B$5:$B$304,$C140)&gt;0,"登録済","未登録→マスタに追加"))</f>
        <v/>
      </c>
    </row>
    <row r="141" customFormat="false" ht="15" hidden="false" customHeight="false" outlineLevel="0" collapsed="false">
      <c r="A141" s="63" t="n">
        <v>139</v>
      </c>
      <c r="B141" s="63" t="str">
        <f aca="false">IF(元データ!$A$139="","",元データ!$A$139)</f>
        <v/>
      </c>
      <c r="C141" s="63" t="str">
        <f aca="false">IF(LEFT(B141,1)="(",IFERROR(VALUE(MID(B141,2,FIND(")",B141)-2)),""),"")</f>
        <v/>
      </c>
      <c r="D141" s="64" t="str">
        <f aca="false">IF($C141="","",N(元データ!$B$139))</f>
        <v/>
      </c>
      <c r="E141" s="64" t="str">
        <f aca="false">IF($C141="","",N(元データ!$C$139))</f>
        <v/>
      </c>
      <c r="F141" s="64" t="str">
        <f aca="false">IF($C141="","",N(元データ!$F$139))</f>
        <v/>
      </c>
      <c r="G141" s="63" t="str">
        <f aca="false">IF($C141="","",IF(COUNTIF(店舗マスタ!$B$5:$B$304,$C141)&gt;0,"登録済","未登録→マスタに追加"))</f>
        <v/>
      </c>
    </row>
    <row r="142" customFormat="false" ht="15" hidden="false" customHeight="false" outlineLevel="0" collapsed="false">
      <c r="A142" s="63" t="n">
        <v>140</v>
      </c>
      <c r="B142" s="63" t="str">
        <f aca="false">IF(元データ!$A$140="","",元データ!$A$140)</f>
        <v/>
      </c>
      <c r="C142" s="63" t="str">
        <f aca="false">IF(LEFT(B142,1)="(",IFERROR(VALUE(MID(B142,2,FIND(")",B142)-2)),""),"")</f>
        <v/>
      </c>
      <c r="D142" s="64" t="str">
        <f aca="false">IF($C142="","",N(元データ!$B$140))</f>
        <v/>
      </c>
      <c r="E142" s="64" t="str">
        <f aca="false">IF($C142="","",N(元データ!$C$140))</f>
        <v/>
      </c>
      <c r="F142" s="64" t="str">
        <f aca="false">IF($C142="","",N(元データ!$F$140))</f>
        <v/>
      </c>
      <c r="G142" s="63" t="str">
        <f aca="false">IF($C142="","",IF(COUNTIF(店舗マスタ!$B$5:$B$304,$C142)&gt;0,"登録済","未登録→マスタに追加"))</f>
        <v/>
      </c>
    </row>
    <row r="143" customFormat="false" ht="15" hidden="false" customHeight="false" outlineLevel="0" collapsed="false">
      <c r="A143" s="63" t="n">
        <v>141</v>
      </c>
      <c r="B143" s="63" t="str">
        <f aca="false">IF(元データ!$A$141="","",元データ!$A$141)</f>
        <v/>
      </c>
      <c r="C143" s="63" t="str">
        <f aca="false">IF(LEFT(B143,1)="(",IFERROR(VALUE(MID(B143,2,FIND(")",B143)-2)),""),"")</f>
        <v/>
      </c>
      <c r="D143" s="64" t="str">
        <f aca="false">IF($C143="","",N(元データ!$B$141))</f>
        <v/>
      </c>
      <c r="E143" s="64" t="str">
        <f aca="false">IF($C143="","",N(元データ!$C$141))</f>
        <v/>
      </c>
      <c r="F143" s="64" t="str">
        <f aca="false">IF($C143="","",N(元データ!$F$141))</f>
        <v/>
      </c>
      <c r="G143" s="63" t="str">
        <f aca="false">IF($C143="","",IF(COUNTIF(店舗マスタ!$B$5:$B$304,$C143)&gt;0,"登録済","未登録→マスタに追加"))</f>
        <v/>
      </c>
    </row>
    <row r="144" customFormat="false" ht="15" hidden="false" customHeight="false" outlineLevel="0" collapsed="false">
      <c r="A144" s="63" t="n">
        <v>142</v>
      </c>
      <c r="B144" s="63" t="str">
        <f aca="false">IF(元データ!$A$142="","",元データ!$A$142)</f>
        <v/>
      </c>
      <c r="C144" s="63" t="str">
        <f aca="false">IF(LEFT(B144,1)="(",IFERROR(VALUE(MID(B144,2,FIND(")",B144)-2)),""),"")</f>
        <v/>
      </c>
      <c r="D144" s="64" t="str">
        <f aca="false">IF($C144="","",N(元データ!$B$142))</f>
        <v/>
      </c>
      <c r="E144" s="64" t="str">
        <f aca="false">IF($C144="","",N(元データ!$C$142))</f>
        <v/>
      </c>
      <c r="F144" s="64" t="str">
        <f aca="false">IF($C144="","",N(元データ!$F$142))</f>
        <v/>
      </c>
      <c r="G144" s="63" t="str">
        <f aca="false">IF($C144="","",IF(COUNTIF(店舗マスタ!$B$5:$B$304,$C144)&gt;0,"登録済","未登録→マスタに追加"))</f>
        <v/>
      </c>
    </row>
    <row r="145" customFormat="false" ht="15" hidden="false" customHeight="false" outlineLevel="0" collapsed="false">
      <c r="A145" s="63" t="n">
        <v>143</v>
      </c>
      <c r="B145" s="63" t="str">
        <f aca="false">IF(元データ!$A$143="","",元データ!$A$143)</f>
        <v/>
      </c>
      <c r="C145" s="63" t="str">
        <f aca="false">IF(LEFT(B145,1)="(",IFERROR(VALUE(MID(B145,2,FIND(")",B145)-2)),""),"")</f>
        <v/>
      </c>
      <c r="D145" s="64" t="str">
        <f aca="false">IF($C145="","",N(元データ!$B$143))</f>
        <v/>
      </c>
      <c r="E145" s="64" t="str">
        <f aca="false">IF($C145="","",N(元データ!$C$143))</f>
        <v/>
      </c>
      <c r="F145" s="64" t="str">
        <f aca="false">IF($C145="","",N(元データ!$F$143))</f>
        <v/>
      </c>
      <c r="G145" s="63" t="str">
        <f aca="false">IF($C145="","",IF(COUNTIF(店舗マスタ!$B$5:$B$304,$C145)&gt;0,"登録済","未登録→マスタに追加"))</f>
        <v/>
      </c>
    </row>
    <row r="146" customFormat="false" ht="15" hidden="false" customHeight="false" outlineLevel="0" collapsed="false">
      <c r="A146" s="63" t="n">
        <v>144</v>
      </c>
      <c r="B146" s="63" t="str">
        <f aca="false">IF(元データ!$A$144="","",元データ!$A$144)</f>
        <v/>
      </c>
      <c r="C146" s="63" t="str">
        <f aca="false">IF(LEFT(B146,1)="(",IFERROR(VALUE(MID(B146,2,FIND(")",B146)-2)),""),"")</f>
        <v/>
      </c>
      <c r="D146" s="64" t="str">
        <f aca="false">IF($C146="","",N(元データ!$B$144))</f>
        <v/>
      </c>
      <c r="E146" s="64" t="str">
        <f aca="false">IF($C146="","",N(元データ!$C$144))</f>
        <v/>
      </c>
      <c r="F146" s="64" t="str">
        <f aca="false">IF($C146="","",N(元データ!$F$144))</f>
        <v/>
      </c>
      <c r="G146" s="63" t="str">
        <f aca="false">IF($C146="","",IF(COUNTIF(店舗マスタ!$B$5:$B$304,$C146)&gt;0,"登録済","未登録→マスタに追加"))</f>
        <v/>
      </c>
    </row>
    <row r="147" customFormat="false" ht="15" hidden="false" customHeight="false" outlineLevel="0" collapsed="false">
      <c r="A147" s="63" t="n">
        <v>145</v>
      </c>
      <c r="B147" s="63" t="str">
        <f aca="false">IF(元データ!$A$145="","",元データ!$A$145)</f>
        <v/>
      </c>
      <c r="C147" s="63" t="str">
        <f aca="false">IF(LEFT(B147,1)="(",IFERROR(VALUE(MID(B147,2,FIND(")",B147)-2)),""),"")</f>
        <v/>
      </c>
      <c r="D147" s="64" t="str">
        <f aca="false">IF($C147="","",N(元データ!$B$145))</f>
        <v/>
      </c>
      <c r="E147" s="64" t="str">
        <f aca="false">IF($C147="","",N(元データ!$C$145))</f>
        <v/>
      </c>
      <c r="F147" s="64" t="str">
        <f aca="false">IF($C147="","",N(元データ!$F$145))</f>
        <v/>
      </c>
      <c r="G147" s="63" t="str">
        <f aca="false">IF($C147="","",IF(COUNTIF(店舗マスタ!$B$5:$B$304,$C147)&gt;0,"登録済","未登録→マスタに追加"))</f>
        <v/>
      </c>
    </row>
    <row r="148" customFormat="false" ht="15" hidden="false" customHeight="false" outlineLevel="0" collapsed="false">
      <c r="A148" s="63" t="n">
        <v>146</v>
      </c>
      <c r="B148" s="63" t="str">
        <f aca="false">IF(元データ!$A$146="","",元データ!$A$146)</f>
        <v/>
      </c>
      <c r="C148" s="63" t="str">
        <f aca="false">IF(LEFT(B148,1)="(",IFERROR(VALUE(MID(B148,2,FIND(")",B148)-2)),""),"")</f>
        <v/>
      </c>
      <c r="D148" s="64" t="str">
        <f aca="false">IF($C148="","",N(元データ!$B$146))</f>
        <v/>
      </c>
      <c r="E148" s="64" t="str">
        <f aca="false">IF($C148="","",N(元データ!$C$146))</f>
        <v/>
      </c>
      <c r="F148" s="64" t="str">
        <f aca="false">IF($C148="","",N(元データ!$F$146))</f>
        <v/>
      </c>
      <c r="G148" s="63" t="str">
        <f aca="false">IF($C148="","",IF(COUNTIF(店舗マスタ!$B$5:$B$304,$C148)&gt;0,"登録済","未登録→マスタに追加"))</f>
        <v/>
      </c>
    </row>
    <row r="149" customFormat="false" ht="15" hidden="false" customHeight="false" outlineLevel="0" collapsed="false">
      <c r="A149" s="63" t="n">
        <v>147</v>
      </c>
      <c r="B149" s="63" t="str">
        <f aca="false">IF(元データ!$A$147="","",元データ!$A$147)</f>
        <v/>
      </c>
      <c r="C149" s="63" t="str">
        <f aca="false">IF(LEFT(B149,1)="(",IFERROR(VALUE(MID(B149,2,FIND(")",B149)-2)),""),"")</f>
        <v/>
      </c>
      <c r="D149" s="64" t="str">
        <f aca="false">IF($C149="","",N(元データ!$B$147))</f>
        <v/>
      </c>
      <c r="E149" s="64" t="str">
        <f aca="false">IF($C149="","",N(元データ!$C$147))</f>
        <v/>
      </c>
      <c r="F149" s="64" t="str">
        <f aca="false">IF($C149="","",N(元データ!$F$147))</f>
        <v/>
      </c>
      <c r="G149" s="63" t="str">
        <f aca="false">IF($C149="","",IF(COUNTIF(店舗マスタ!$B$5:$B$304,$C149)&gt;0,"登録済","未登録→マスタに追加"))</f>
        <v/>
      </c>
    </row>
    <row r="150" customFormat="false" ht="15" hidden="false" customHeight="false" outlineLevel="0" collapsed="false">
      <c r="A150" s="63" t="n">
        <v>148</v>
      </c>
      <c r="B150" s="63" t="str">
        <f aca="false">IF(元データ!$A$148="","",元データ!$A$148)</f>
        <v/>
      </c>
      <c r="C150" s="63" t="str">
        <f aca="false">IF(LEFT(B150,1)="(",IFERROR(VALUE(MID(B150,2,FIND(")",B150)-2)),""),"")</f>
        <v/>
      </c>
      <c r="D150" s="64" t="str">
        <f aca="false">IF($C150="","",N(元データ!$B$148))</f>
        <v/>
      </c>
      <c r="E150" s="64" t="str">
        <f aca="false">IF($C150="","",N(元データ!$C$148))</f>
        <v/>
      </c>
      <c r="F150" s="64" t="str">
        <f aca="false">IF($C150="","",N(元データ!$F$148))</f>
        <v/>
      </c>
      <c r="G150" s="63" t="str">
        <f aca="false">IF($C150="","",IF(COUNTIF(店舗マスタ!$B$5:$B$304,$C150)&gt;0,"登録済","未登録→マスタに追加"))</f>
        <v/>
      </c>
    </row>
    <row r="151" customFormat="false" ht="15" hidden="false" customHeight="false" outlineLevel="0" collapsed="false">
      <c r="A151" s="63" t="n">
        <v>149</v>
      </c>
      <c r="B151" s="63" t="str">
        <f aca="false">IF(元データ!$A$149="","",元データ!$A$149)</f>
        <v/>
      </c>
      <c r="C151" s="63" t="str">
        <f aca="false">IF(LEFT(B151,1)="(",IFERROR(VALUE(MID(B151,2,FIND(")",B151)-2)),""),"")</f>
        <v/>
      </c>
      <c r="D151" s="64" t="str">
        <f aca="false">IF($C151="","",N(元データ!$B$149))</f>
        <v/>
      </c>
      <c r="E151" s="64" t="str">
        <f aca="false">IF($C151="","",N(元データ!$C$149))</f>
        <v/>
      </c>
      <c r="F151" s="64" t="str">
        <f aca="false">IF($C151="","",N(元データ!$F$149))</f>
        <v/>
      </c>
      <c r="G151" s="63" t="str">
        <f aca="false">IF($C151="","",IF(COUNTIF(店舗マスタ!$B$5:$B$304,$C151)&gt;0,"登録済","未登録→マスタに追加"))</f>
        <v/>
      </c>
    </row>
    <row r="152" customFormat="false" ht="15" hidden="false" customHeight="false" outlineLevel="0" collapsed="false">
      <c r="A152" s="63" t="n">
        <v>150</v>
      </c>
      <c r="B152" s="63" t="str">
        <f aca="false">IF(元データ!$A$150="","",元データ!$A$150)</f>
        <v/>
      </c>
      <c r="C152" s="63" t="str">
        <f aca="false">IF(LEFT(B152,1)="(",IFERROR(VALUE(MID(B152,2,FIND(")",B152)-2)),""),"")</f>
        <v/>
      </c>
      <c r="D152" s="64" t="str">
        <f aca="false">IF($C152="","",N(元データ!$B$150))</f>
        <v/>
      </c>
      <c r="E152" s="64" t="str">
        <f aca="false">IF($C152="","",N(元データ!$C$150))</f>
        <v/>
      </c>
      <c r="F152" s="64" t="str">
        <f aca="false">IF($C152="","",N(元データ!$F$150))</f>
        <v/>
      </c>
      <c r="G152" s="63" t="str">
        <f aca="false">IF($C152="","",IF(COUNTIF(店舗マスタ!$B$5:$B$304,$C152)&gt;0,"登録済","未登録→マスタに追加"))</f>
        <v/>
      </c>
    </row>
    <row r="153" customFormat="false" ht="15" hidden="false" customHeight="false" outlineLevel="0" collapsed="false">
      <c r="A153" s="63" t="n">
        <v>151</v>
      </c>
      <c r="B153" s="63" t="str">
        <f aca="false">IF(元データ!$A$151="","",元データ!$A$151)</f>
        <v/>
      </c>
      <c r="C153" s="63" t="str">
        <f aca="false">IF(LEFT(B153,1)="(",IFERROR(VALUE(MID(B153,2,FIND(")",B153)-2)),""),"")</f>
        <v/>
      </c>
      <c r="D153" s="64" t="str">
        <f aca="false">IF($C153="","",N(元データ!$B$151))</f>
        <v/>
      </c>
      <c r="E153" s="64" t="str">
        <f aca="false">IF($C153="","",N(元データ!$C$151))</f>
        <v/>
      </c>
      <c r="F153" s="64" t="str">
        <f aca="false">IF($C153="","",N(元データ!$F$151))</f>
        <v/>
      </c>
      <c r="G153" s="63" t="str">
        <f aca="false">IF($C153="","",IF(COUNTIF(店舗マスタ!$B$5:$B$304,$C153)&gt;0,"登録済","未登録→マスタに追加"))</f>
        <v/>
      </c>
    </row>
    <row r="154" customFormat="false" ht="15" hidden="false" customHeight="false" outlineLevel="0" collapsed="false">
      <c r="A154" s="63" t="n">
        <v>152</v>
      </c>
      <c r="B154" s="63" t="str">
        <f aca="false">IF(元データ!$A$152="","",元データ!$A$152)</f>
        <v/>
      </c>
      <c r="C154" s="63" t="str">
        <f aca="false">IF(LEFT(B154,1)="(",IFERROR(VALUE(MID(B154,2,FIND(")",B154)-2)),""),"")</f>
        <v/>
      </c>
      <c r="D154" s="64" t="str">
        <f aca="false">IF($C154="","",N(元データ!$B$152))</f>
        <v/>
      </c>
      <c r="E154" s="64" t="str">
        <f aca="false">IF($C154="","",N(元データ!$C$152))</f>
        <v/>
      </c>
      <c r="F154" s="64" t="str">
        <f aca="false">IF($C154="","",N(元データ!$F$152))</f>
        <v/>
      </c>
      <c r="G154" s="63" t="str">
        <f aca="false">IF($C154="","",IF(COUNTIF(店舗マスタ!$B$5:$B$304,$C154)&gt;0,"登録済","未登録→マスタに追加"))</f>
        <v/>
      </c>
    </row>
    <row r="155" customFormat="false" ht="15" hidden="false" customHeight="false" outlineLevel="0" collapsed="false">
      <c r="A155" s="63" t="n">
        <v>153</v>
      </c>
      <c r="B155" s="63" t="str">
        <f aca="false">IF(元データ!$A$153="","",元データ!$A$153)</f>
        <v/>
      </c>
      <c r="C155" s="63" t="str">
        <f aca="false">IF(LEFT(B155,1)="(",IFERROR(VALUE(MID(B155,2,FIND(")",B155)-2)),""),"")</f>
        <v/>
      </c>
      <c r="D155" s="64" t="str">
        <f aca="false">IF($C155="","",N(元データ!$B$153))</f>
        <v/>
      </c>
      <c r="E155" s="64" t="str">
        <f aca="false">IF($C155="","",N(元データ!$C$153))</f>
        <v/>
      </c>
      <c r="F155" s="64" t="str">
        <f aca="false">IF($C155="","",N(元データ!$F$153))</f>
        <v/>
      </c>
      <c r="G155" s="63" t="str">
        <f aca="false">IF($C155="","",IF(COUNTIF(店舗マスタ!$B$5:$B$304,$C155)&gt;0,"登録済","未登録→マスタに追加"))</f>
        <v/>
      </c>
    </row>
    <row r="156" customFormat="false" ht="15" hidden="false" customHeight="false" outlineLevel="0" collapsed="false">
      <c r="A156" s="63" t="n">
        <v>154</v>
      </c>
      <c r="B156" s="63" t="str">
        <f aca="false">IF(元データ!$A$154="","",元データ!$A$154)</f>
        <v/>
      </c>
      <c r="C156" s="63" t="str">
        <f aca="false">IF(LEFT(B156,1)="(",IFERROR(VALUE(MID(B156,2,FIND(")",B156)-2)),""),"")</f>
        <v/>
      </c>
      <c r="D156" s="64" t="str">
        <f aca="false">IF($C156="","",N(元データ!$B$154))</f>
        <v/>
      </c>
      <c r="E156" s="64" t="str">
        <f aca="false">IF($C156="","",N(元データ!$C$154))</f>
        <v/>
      </c>
      <c r="F156" s="64" t="str">
        <f aca="false">IF($C156="","",N(元データ!$F$154))</f>
        <v/>
      </c>
      <c r="G156" s="63" t="str">
        <f aca="false">IF($C156="","",IF(COUNTIF(店舗マスタ!$B$5:$B$304,$C156)&gt;0,"登録済","未登録→マスタに追加"))</f>
        <v/>
      </c>
    </row>
    <row r="157" customFormat="false" ht="15" hidden="false" customHeight="false" outlineLevel="0" collapsed="false">
      <c r="A157" s="63" t="n">
        <v>155</v>
      </c>
      <c r="B157" s="63" t="str">
        <f aca="false">IF(元データ!$A$155="","",元データ!$A$155)</f>
        <v/>
      </c>
      <c r="C157" s="63" t="str">
        <f aca="false">IF(LEFT(B157,1)="(",IFERROR(VALUE(MID(B157,2,FIND(")",B157)-2)),""),"")</f>
        <v/>
      </c>
      <c r="D157" s="64" t="str">
        <f aca="false">IF($C157="","",N(元データ!$B$155))</f>
        <v/>
      </c>
      <c r="E157" s="64" t="str">
        <f aca="false">IF($C157="","",N(元データ!$C$155))</f>
        <v/>
      </c>
      <c r="F157" s="64" t="str">
        <f aca="false">IF($C157="","",N(元データ!$F$155))</f>
        <v/>
      </c>
      <c r="G157" s="63" t="str">
        <f aca="false">IF($C157="","",IF(COUNTIF(店舗マスタ!$B$5:$B$304,$C157)&gt;0,"登録済","未登録→マスタに追加"))</f>
        <v/>
      </c>
    </row>
    <row r="158" customFormat="false" ht="15" hidden="false" customHeight="false" outlineLevel="0" collapsed="false">
      <c r="A158" s="63" t="n">
        <v>156</v>
      </c>
      <c r="B158" s="63" t="str">
        <f aca="false">IF(元データ!$A$156="","",元データ!$A$156)</f>
        <v/>
      </c>
      <c r="C158" s="63" t="str">
        <f aca="false">IF(LEFT(B158,1)="(",IFERROR(VALUE(MID(B158,2,FIND(")",B158)-2)),""),"")</f>
        <v/>
      </c>
      <c r="D158" s="64" t="str">
        <f aca="false">IF($C158="","",N(元データ!$B$156))</f>
        <v/>
      </c>
      <c r="E158" s="64" t="str">
        <f aca="false">IF($C158="","",N(元データ!$C$156))</f>
        <v/>
      </c>
      <c r="F158" s="64" t="str">
        <f aca="false">IF($C158="","",N(元データ!$F$156))</f>
        <v/>
      </c>
      <c r="G158" s="63" t="str">
        <f aca="false">IF($C158="","",IF(COUNTIF(店舗マスタ!$B$5:$B$304,$C158)&gt;0,"登録済","未登録→マスタに追加"))</f>
        <v/>
      </c>
    </row>
    <row r="159" customFormat="false" ht="15" hidden="false" customHeight="false" outlineLevel="0" collapsed="false">
      <c r="A159" s="63" t="n">
        <v>157</v>
      </c>
      <c r="B159" s="63" t="str">
        <f aca="false">IF(元データ!$A$157="","",元データ!$A$157)</f>
        <v/>
      </c>
      <c r="C159" s="63" t="str">
        <f aca="false">IF(LEFT(B159,1)="(",IFERROR(VALUE(MID(B159,2,FIND(")",B159)-2)),""),"")</f>
        <v/>
      </c>
      <c r="D159" s="64" t="str">
        <f aca="false">IF($C159="","",N(元データ!$B$157))</f>
        <v/>
      </c>
      <c r="E159" s="64" t="str">
        <f aca="false">IF($C159="","",N(元データ!$C$157))</f>
        <v/>
      </c>
      <c r="F159" s="64" t="str">
        <f aca="false">IF($C159="","",N(元データ!$F$157))</f>
        <v/>
      </c>
      <c r="G159" s="63" t="str">
        <f aca="false">IF($C159="","",IF(COUNTIF(店舗マスタ!$B$5:$B$304,$C159)&gt;0,"登録済","未登録→マスタに追加"))</f>
        <v/>
      </c>
    </row>
    <row r="160" customFormat="false" ht="15" hidden="false" customHeight="false" outlineLevel="0" collapsed="false">
      <c r="A160" s="63" t="n">
        <v>158</v>
      </c>
      <c r="B160" s="63" t="str">
        <f aca="false">IF(元データ!$A$158="","",元データ!$A$158)</f>
        <v/>
      </c>
      <c r="C160" s="63" t="str">
        <f aca="false">IF(LEFT(B160,1)="(",IFERROR(VALUE(MID(B160,2,FIND(")",B160)-2)),""),"")</f>
        <v/>
      </c>
      <c r="D160" s="64" t="str">
        <f aca="false">IF($C160="","",N(元データ!$B$158))</f>
        <v/>
      </c>
      <c r="E160" s="64" t="str">
        <f aca="false">IF($C160="","",N(元データ!$C$158))</f>
        <v/>
      </c>
      <c r="F160" s="64" t="str">
        <f aca="false">IF($C160="","",N(元データ!$F$158))</f>
        <v/>
      </c>
      <c r="G160" s="63" t="str">
        <f aca="false">IF($C160="","",IF(COUNTIF(店舗マスタ!$B$5:$B$304,$C160)&gt;0,"登録済","未登録→マスタに追加"))</f>
        <v/>
      </c>
    </row>
    <row r="161" customFormat="false" ht="15" hidden="false" customHeight="false" outlineLevel="0" collapsed="false">
      <c r="A161" s="63" t="n">
        <v>159</v>
      </c>
      <c r="B161" s="63" t="str">
        <f aca="false">IF(元データ!$A$159="","",元データ!$A$159)</f>
        <v/>
      </c>
      <c r="C161" s="63" t="str">
        <f aca="false">IF(LEFT(B161,1)="(",IFERROR(VALUE(MID(B161,2,FIND(")",B161)-2)),""),"")</f>
        <v/>
      </c>
      <c r="D161" s="64" t="str">
        <f aca="false">IF($C161="","",N(元データ!$B$159))</f>
        <v/>
      </c>
      <c r="E161" s="64" t="str">
        <f aca="false">IF($C161="","",N(元データ!$C$159))</f>
        <v/>
      </c>
      <c r="F161" s="64" t="str">
        <f aca="false">IF($C161="","",N(元データ!$F$159))</f>
        <v/>
      </c>
      <c r="G161" s="63" t="str">
        <f aca="false">IF($C161="","",IF(COUNTIF(店舗マスタ!$B$5:$B$304,$C161)&gt;0,"登録済","未登録→マスタに追加"))</f>
        <v/>
      </c>
    </row>
    <row r="162" customFormat="false" ht="15" hidden="false" customHeight="false" outlineLevel="0" collapsed="false">
      <c r="A162" s="63" t="n">
        <v>160</v>
      </c>
      <c r="B162" s="63" t="str">
        <f aca="false">IF(元データ!$A$160="","",元データ!$A$160)</f>
        <v/>
      </c>
      <c r="C162" s="63" t="str">
        <f aca="false">IF(LEFT(B162,1)="(",IFERROR(VALUE(MID(B162,2,FIND(")",B162)-2)),""),"")</f>
        <v/>
      </c>
      <c r="D162" s="64" t="str">
        <f aca="false">IF($C162="","",N(元データ!$B$160))</f>
        <v/>
      </c>
      <c r="E162" s="64" t="str">
        <f aca="false">IF($C162="","",N(元データ!$C$160))</f>
        <v/>
      </c>
      <c r="F162" s="64" t="str">
        <f aca="false">IF($C162="","",N(元データ!$F$160))</f>
        <v/>
      </c>
      <c r="G162" s="63" t="str">
        <f aca="false">IF($C162="","",IF(COUNTIF(店舗マスタ!$B$5:$B$304,$C162)&gt;0,"登録済","未登録→マスタに追加"))</f>
        <v/>
      </c>
    </row>
    <row r="163" customFormat="false" ht="15" hidden="false" customHeight="false" outlineLevel="0" collapsed="false">
      <c r="A163" s="63" t="n">
        <v>161</v>
      </c>
      <c r="B163" s="63" t="str">
        <f aca="false">IF(元データ!$A$161="","",元データ!$A$161)</f>
        <v/>
      </c>
      <c r="C163" s="63" t="str">
        <f aca="false">IF(LEFT(B163,1)="(",IFERROR(VALUE(MID(B163,2,FIND(")",B163)-2)),""),"")</f>
        <v/>
      </c>
      <c r="D163" s="64" t="str">
        <f aca="false">IF($C163="","",N(元データ!$B$161))</f>
        <v/>
      </c>
      <c r="E163" s="64" t="str">
        <f aca="false">IF($C163="","",N(元データ!$C$161))</f>
        <v/>
      </c>
      <c r="F163" s="64" t="str">
        <f aca="false">IF($C163="","",N(元データ!$F$161))</f>
        <v/>
      </c>
      <c r="G163" s="63" t="str">
        <f aca="false">IF($C163="","",IF(COUNTIF(店舗マスタ!$B$5:$B$304,$C163)&gt;0,"登録済","未登録→マスタに追加"))</f>
        <v/>
      </c>
    </row>
    <row r="164" customFormat="false" ht="15" hidden="false" customHeight="false" outlineLevel="0" collapsed="false">
      <c r="A164" s="63" t="n">
        <v>162</v>
      </c>
      <c r="B164" s="63" t="str">
        <f aca="false">IF(元データ!$A$162="","",元データ!$A$162)</f>
        <v/>
      </c>
      <c r="C164" s="63" t="str">
        <f aca="false">IF(LEFT(B164,1)="(",IFERROR(VALUE(MID(B164,2,FIND(")",B164)-2)),""),"")</f>
        <v/>
      </c>
      <c r="D164" s="64" t="str">
        <f aca="false">IF($C164="","",N(元データ!$B$162))</f>
        <v/>
      </c>
      <c r="E164" s="64" t="str">
        <f aca="false">IF($C164="","",N(元データ!$C$162))</f>
        <v/>
      </c>
      <c r="F164" s="64" t="str">
        <f aca="false">IF($C164="","",N(元データ!$F$162))</f>
        <v/>
      </c>
      <c r="G164" s="63" t="str">
        <f aca="false">IF($C164="","",IF(COUNTIF(店舗マスタ!$B$5:$B$304,$C164)&gt;0,"登録済","未登録→マスタに追加"))</f>
        <v/>
      </c>
    </row>
    <row r="165" customFormat="false" ht="15" hidden="false" customHeight="false" outlineLevel="0" collapsed="false">
      <c r="A165" s="63" t="n">
        <v>163</v>
      </c>
      <c r="B165" s="63" t="str">
        <f aca="false">IF(元データ!$A$163="","",元データ!$A$163)</f>
        <v/>
      </c>
      <c r="C165" s="63" t="str">
        <f aca="false">IF(LEFT(B165,1)="(",IFERROR(VALUE(MID(B165,2,FIND(")",B165)-2)),""),"")</f>
        <v/>
      </c>
      <c r="D165" s="64" t="str">
        <f aca="false">IF($C165="","",N(元データ!$B$163))</f>
        <v/>
      </c>
      <c r="E165" s="64" t="str">
        <f aca="false">IF($C165="","",N(元データ!$C$163))</f>
        <v/>
      </c>
      <c r="F165" s="64" t="str">
        <f aca="false">IF($C165="","",N(元データ!$F$163))</f>
        <v/>
      </c>
      <c r="G165" s="63" t="str">
        <f aca="false">IF($C165="","",IF(COUNTIF(店舗マスタ!$B$5:$B$304,$C165)&gt;0,"登録済","未登録→マスタに追加"))</f>
        <v/>
      </c>
    </row>
    <row r="166" customFormat="false" ht="15" hidden="false" customHeight="false" outlineLevel="0" collapsed="false">
      <c r="A166" s="63" t="n">
        <v>164</v>
      </c>
      <c r="B166" s="63" t="str">
        <f aca="false">IF(元データ!$A$164="","",元データ!$A$164)</f>
        <v/>
      </c>
      <c r="C166" s="63" t="str">
        <f aca="false">IF(LEFT(B166,1)="(",IFERROR(VALUE(MID(B166,2,FIND(")",B166)-2)),""),"")</f>
        <v/>
      </c>
      <c r="D166" s="64" t="str">
        <f aca="false">IF($C166="","",N(元データ!$B$164))</f>
        <v/>
      </c>
      <c r="E166" s="64" t="str">
        <f aca="false">IF($C166="","",N(元データ!$C$164))</f>
        <v/>
      </c>
      <c r="F166" s="64" t="str">
        <f aca="false">IF($C166="","",N(元データ!$F$164))</f>
        <v/>
      </c>
      <c r="G166" s="63" t="str">
        <f aca="false">IF($C166="","",IF(COUNTIF(店舗マスタ!$B$5:$B$304,$C166)&gt;0,"登録済","未登録→マスタに追加"))</f>
        <v/>
      </c>
    </row>
    <row r="167" customFormat="false" ht="15" hidden="false" customHeight="false" outlineLevel="0" collapsed="false">
      <c r="A167" s="63" t="n">
        <v>165</v>
      </c>
      <c r="B167" s="63" t="str">
        <f aca="false">IF(元データ!$A$165="","",元データ!$A$165)</f>
        <v/>
      </c>
      <c r="C167" s="63" t="str">
        <f aca="false">IF(LEFT(B167,1)="(",IFERROR(VALUE(MID(B167,2,FIND(")",B167)-2)),""),"")</f>
        <v/>
      </c>
      <c r="D167" s="64" t="str">
        <f aca="false">IF($C167="","",N(元データ!$B$165))</f>
        <v/>
      </c>
      <c r="E167" s="64" t="str">
        <f aca="false">IF($C167="","",N(元データ!$C$165))</f>
        <v/>
      </c>
      <c r="F167" s="64" t="str">
        <f aca="false">IF($C167="","",N(元データ!$F$165))</f>
        <v/>
      </c>
      <c r="G167" s="63" t="str">
        <f aca="false">IF($C167="","",IF(COUNTIF(店舗マスタ!$B$5:$B$304,$C167)&gt;0,"登録済","未登録→マスタに追加"))</f>
        <v/>
      </c>
    </row>
    <row r="168" customFormat="false" ht="15" hidden="false" customHeight="false" outlineLevel="0" collapsed="false">
      <c r="A168" s="63" t="n">
        <v>166</v>
      </c>
      <c r="B168" s="63" t="str">
        <f aca="false">IF(元データ!$A$166="","",元データ!$A$166)</f>
        <v/>
      </c>
      <c r="C168" s="63" t="str">
        <f aca="false">IF(LEFT(B168,1)="(",IFERROR(VALUE(MID(B168,2,FIND(")",B168)-2)),""),"")</f>
        <v/>
      </c>
      <c r="D168" s="64" t="str">
        <f aca="false">IF($C168="","",N(元データ!$B$166))</f>
        <v/>
      </c>
      <c r="E168" s="64" t="str">
        <f aca="false">IF($C168="","",N(元データ!$C$166))</f>
        <v/>
      </c>
      <c r="F168" s="64" t="str">
        <f aca="false">IF($C168="","",N(元データ!$F$166))</f>
        <v/>
      </c>
      <c r="G168" s="63" t="str">
        <f aca="false">IF($C168="","",IF(COUNTIF(店舗マスタ!$B$5:$B$304,$C168)&gt;0,"登録済","未登録→マスタに追加"))</f>
        <v/>
      </c>
    </row>
    <row r="169" customFormat="false" ht="15" hidden="false" customHeight="false" outlineLevel="0" collapsed="false">
      <c r="A169" s="63" t="n">
        <v>167</v>
      </c>
      <c r="B169" s="63" t="str">
        <f aca="false">IF(元データ!$A$167="","",元データ!$A$167)</f>
        <v/>
      </c>
      <c r="C169" s="63" t="str">
        <f aca="false">IF(LEFT(B169,1)="(",IFERROR(VALUE(MID(B169,2,FIND(")",B169)-2)),""),"")</f>
        <v/>
      </c>
      <c r="D169" s="64" t="str">
        <f aca="false">IF($C169="","",N(元データ!$B$167))</f>
        <v/>
      </c>
      <c r="E169" s="64" t="str">
        <f aca="false">IF($C169="","",N(元データ!$C$167))</f>
        <v/>
      </c>
      <c r="F169" s="64" t="str">
        <f aca="false">IF($C169="","",N(元データ!$F$167))</f>
        <v/>
      </c>
      <c r="G169" s="63" t="str">
        <f aca="false">IF($C169="","",IF(COUNTIF(店舗マスタ!$B$5:$B$304,$C169)&gt;0,"登録済","未登録→マスタに追加"))</f>
        <v/>
      </c>
    </row>
    <row r="170" customFormat="false" ht="15" hidden="false" customHeight="false" outlineLevel="0" collapsed="false">
      <c r="A170" s="63" t="n">
        <v>168</v>
      </c>
      <c r="B170" s="63" t="str">
        <f aca="false">IF(元データ!$A$168="","",元データ!$A$168)</f>
        <v/>
      </c>
      <c r="C170" s="63" t="str">
        <f aca="false">IF(LEFT(B170,1)="(",IFERROR(VALUE(MID(B170,2,FIND(")",B170)-2)),""),"")</f>
        <v/>
      </c>
      <c r="D170" s="64" t="str">
        <f aca="false">IF($C170="","",N(元データ!$B$168))</f>
        <v/>
      </c>
      <c r="E170" s="64" t="str">
        <f aca="false">IF($C170="","",N(元データ!$C$168))</f>
        <v/>
      </c>
      <c r="F170" s="64" t="str">
        <f aca="false">IF($C170="","",N(元データ!$F$168))</f>
        <v/>
      </c>
      <c r="G170" s="63" t="str">
        <f aca="false">IF($C170="","",IF(COUNTIF(店舗マスタ!$B$5:$B$304,$C170)&gt;0,"登録済","未登録→マスタに追加"))</f>
        <v/>
      </c>
    </row>
    <row r="171" customFormat="false" ht="15" hidden="false" customHeight="false" outlineLevel="0" collapsed="false">
      <c r="A171" s="63" t="n">
        <v>169</v>
      </c>
      <c r="B171" s="63" t="str">
        <f aca="false">IF(元データ!$A$169="","",元データ!$A$169)</f>
        <v/>
      </c>
      <c r="C171" s="63" t="str">
        <f aca="false">IF(LEFT(B171,1)="(",IFERROR(VALUE(MID(B171,2,FIND(")",B171)-2)),""),"")</f>
        <v/>
      </c>
      <c r="D171" s="64" t="str">
        <f aca="false">IF($C171="","",N(元データ!$B$169))</f>
        <v/>
      </c>
      <c r="E171" s="64" t="str">
        <f aca="false">IF($C171="","",N(元データ!$C$169))</f>
        <v/>
      </c>
      <c r="F171" s="64" t="str">
        <f aca="false">IF($C171="","",N(元データ!$F$169))</f>
        <v/>
      </c>
      <c r="G171" s="63" t="str">
        <f aca="false">IF($C171="","",IF(COUNTIF(店舗マスタ!$B$5:$B$304,$C171)&gt;0,"登録済","未登録→マスタに追加"))</f>
        <v/>
      </c>
    </row>
    <row r="172" customFormat="false" ht="15" hidden="false" customHeight="false" outlineLevel="0" collapsed="false">
      <c r="A172" s="63" t="n">
        <v>170</v>
      </c>
      <c r="B172" s="63" t="str">
        <f aca="false">IF(元データ!$A$170="","",元データ!$A$170)</f>
        <v/>
      </c>
      <c r="C172" s="63" t="str">
        <f aca="false">IF(LEFT(B172,1)="(",IFERROR(VALUE(MID(B172,2,FIND(")",B172)-2)),""),"")</f>
        <v/>
      </c>
      <c r="D172" s="64" t="str">
        <f aca="false">IF($C172="","",N(元データ!$B$170))</f>
        <v/>
      </c>
      <c r="E172" s="64" t="str">
        <f aca="false">IF($C172="","",N(元データ!$C$170))</f>
        <v/>
      </c>
      <c r="F172" s="64" t="str">
        <f aca="false">IF($C172="","",N(元データ!$F$170))</f>
        <v/>
      </c>
      <c r="G172" s="63" t="str">
        <f aca="false">IF($C172="","",IF(COUNTIF(店舗マスタ!$B$5:$B$304,$C172)&gt;0,"登録済","未登録→マスタに追加"))</f>
        <v/>
      </c>
    </row>
    <row r="173" customFormat="false" ht="15" hidden="false" customHeight="false" outlineLevel="0" collapsed="false">
      <c r="A173" s="63" t="n">
        <v>171</v>
      </c>
      <c r="B173" s="63" t="str">
        <f aca="false">IF(元データ!$A$171="","",元データ!$A$171)</f>
        <v/>
      </c>
      <c r="C173" s="63" t="str">
        <f aca="false">IF(LEFT(B173,1)="(",IFERROR(VALUE(MID(B173,2,FIND(")",B173)-2)),""),"")</f>
        <v/>
      </c>
      <c r="D173" s="64" t="str">
        <f aca="false">IF($C173="","",N(元データ!$B$171))</f>
        <v/>
      </c>
      <c r="E173" s="64" t="str">
        <f aca="false">IF($C173="","",N(元データ!$C$171))</f>
        <v/>
      </c>
      <c r="F173" s="64" t="str">
        <f aca="false">IF($C173="","",N(元データ!$F$171))</f>
        <v/>
      </c>
      <c r="G173" s="63" t="str">
        <f aca="false">IF($C173="","",IF(COUNTIF(店舗マスタ!$B$5:$B$304,$C173)&gt;0,"登録済","未登録→マスタに追加"))</f>
        <v/>
      </c>
    </row>
    <row r="174" customFormat="false" ht="15" hidden="false" customHeight="false" outlineLevel="0" collapsed="false">
      <c r="A174" s="63" t="n">
        <v>172</v>
      </c>
      <c r="B174" s="63" t="str">
        <f aca="false">IF(元データ!$A$172="","",元データ!$A$172)</f>
        <v/>
      </c>
      <c r="C174" s="63" t="str">
        <f aca="false">IF(LEFT(B174,1)="(",IFERROR(VALUE(MID(B174,2,FIND(")",B174)-2)),""),"")</f>
        <v/>
      </c>
      <c r="D174" s="64" t="str">
        <f aca="false">IF($C174="","",N(元データ!$B$172))</f>
        <v/>
      </c>
      <c r="E174" s="64" t="str">
        <f aca="false">IF($C174="","",N(元データ!$C$172))</f>
        <v/>
      </c>
      <c r="F174" s="64" t="str">
        <f aca="false">IF($C174="","",N(元データ!$F$172))</f>
        <v/>
      </c>
      <c r="G174" s="63" t="str">
        <f aca="false">IF($C174="","",IF(COUNTIF(店舗マスタ!$B$5:$B$304,$C174)&gt;0,"登録済","未登録→マスタに追加"))</f>
        <v/>
      </c>
    </row>
    <row r="175" customFormat="false" ht="15" hidden="false" customHeight="false" outlineLevel="0" collapsed="false">
      <c r="A175" s="63" t="n">
        <v>173</v>
      </c>
      <c r="B175" s="63" t="str">
        <f aca="false">IF(元データ!$A$173="","",元データ!$A$173)</f>
        <v/>
      </c>
      <c r="C175" s="63" t="str">
        <f aca="false">IF(LEFT(B175,1)="(",IFERROR(VALUE(MID(B175,2,FIND(")",B175)-2)),""),"")</f>
        <v/>
      </c>
      <c r="D175" s="64" t="str">
        <f aca="false">IF($C175="","",N(元データ!$B$173))</f>
        <v/>
      </c>
      <c r="E175" s="64" t="str">
        <f aca="false">IF($C175="","",N(元データ!$C$173))</f>
        <v/>
      </c>
      <c r="F175" s="64" t="str">
        <f aca="false">IF($C175="","",N(元データ!$F$173))</f>
        <v/>
      </c>
      <c r="G175" s="63" t="str">
        <f aca="false">IF($C175="","",IF(COUNTIF(店舗マスタ!$B$5:$B$304,$C175)&gt;0,"登録済","未登録→マスタに追加"))</f>
        <v/>
      </c>
    </row>
    <row r="176" customFormat="false" ht="15" hidden="false" customHeight="false" outlineLevel="0" collapsed="false">
      <c r="A176" s="63" t="n">
        <v>174</v>
      </c>
      <c r="B176" s="63" t="str">
        <f aca="false">IF(元データ!$A$174="","",元データ!$A$174)</f>
        <v/>
      </c>
      <c r="C176" s="63" t="str">
        <f aca="false">IF(LEFT(B176,1)="(",IFERROR(VALUE(MID(B176,2,FIND(")",B176)-2)),""),"")</f>
        <v/>
      </c>
      <c r="D176" s="64" t="str">
        <f aca="false">IF($C176="","",N(元データ!$B$174))</f>
        <v/>
      </c>
      <c r="E176" s="64" t="str">
        <f aca="false">IF($C176="","",N(元データ!$C$174))</f>
        <v/>
      </c>
      <c r="F176" s="64" t="str">
        <f aca="false">IF($C176="","",N(元データ!$F$174))</f>
        <v/>
      </c>
      <c r="G176" s="63" t="str">
        <f aca="false">IF($C176="","",IF(COUNTIF(店舗マスタ!$B$5:$B$304,$C176)&gt;0,"登録済","未登録→マスタに追加"))</f>
        <v/>
      </c>
    </row>
    <row r="177" customFormat="false" ht="15" hidden="false" customHeight="false" outlineLevel="0" collapsed="false">
      <c r="A177" s="63" t="n">
        <v>175</v>
      </c>
      <c r="B177" s="63" t="str">
        <f aca="false">IF(元データ!$A$175="","",元データ!$A$175)</f>
        <v/>
      </c>
      <c r="C177" s="63" t="str">
        <f aca="false">IF(LEFT(B177,1)="(",IFERROR(VALUE(MID(B177,2,FIND(")",B177)-2)),""),"")</f>
        <v/>
      </c>
      <c r="D177" s="64" t="str">
        <f aca="false">IF($C177="","",N(元データ!$B$175))</f>
        <v/>
      </c>
      <c r="E177" s="64" t="str">
        <f aca="false">IF($C177="","",N(元データ!$C$175))</f>
        <v/>
      </c>
      <c r="F177" s="64" t="str">
        <f aca="false">IF($C177="","",N(元データ!$F$175))</f>
        <v/>
      </c>
      <c r="G177" s="63" t="str">
        <f aca="false">IF($C177="","",IF(COUNTIF(店舗マスタ!$B$5:$B$304,$C177)&gt;0,"登録済","未登録→マスタに追加"))</f>
        <v/>
      </c>
    </row>
    <row r="178" customFormat="false" ht="15" hidden="false" customHeight="false" outlineLevel="0" collapsed="false">
      <c r="A178" s="63" t="n">
        <v>176</v>
      </c>
      <c r="B178" s="63" t="str">
        <f aca="false">IF(元データ!$A$176="","",元データ!$A$176)</f>
        <v/>
      </c>
      <c r="C178" s="63" t="str">
        <f aca="false">IF(LEFT(B178,1)="(",IFERROR(VALUE(MID(B178,2,FIND(")",B178)-2)),""),"")</f>
        <v/>
      </c>
      <c r="D178" s="64" t="str">
        <f aca="false">IF($C178="","",N(元データ!$B$176))</f>
        <v/>
      </c>
      <c r="E178" s="64" t="str">
        <f aca="false">IF($C178="","",N(元データ!$C$176))</f>
        <v/>
      </c>
      <c r="F178" s="64" t="str">
        <f aca="false">IF($C178="","",N(元データ!$F$176))</f>
        <v/>
      </c>
      <c r="G178" s="63" t="str">
        <f aca="false">IF($C178="","",IF(COUNTIF(店舗マスタ!$B$5:$B$304,$C178)&gt;0,"登録済","未登録→マスタに追加"))</f>
        <v/>
      </c>
    </row>
    <row r="179" customFormat="false" ht="15" hidden="false" customHeight="false" outlineLevel="0" collapsed="false">
      <c r="A179" s="63" t="n">
        <v>177</v>
      </c>
      <c r="B179" s="63" t="str">
        <f aca="false">IF(元データ!$A$177="","",元データ!$A$177)</f>
        <v/>
      </c>
      <c r="C179" s="63" t="str">
        <f aca="false">IF(LEFT(B179,1)="(",IFERROR(VALUE(MID(B179,2,FIND(")",B179)-2)),""),"")</f>
        <v/>
      </c>
      <c r="D179" s="64" t="str">
        <f aca="false">IF($C179="","",N(元データ!$B$177))</f>
        <v/>
      </c>
      <c r="E179" s="64" t="str">
        <f aca="false">IF($C179="","",N(元データ!$C$177))</f>
        <v/>
      </c>
      <c r="F179" s="64" t="str">
        <f aca="false">IF($C179="","",N(元データ!$F$177))</f>
        <v/>
      </c>
      <c r="G179" s="63" t="str">
        <f aca="false">IF($C179="","",IF(COUNTIF(店舗マスタ!$B$5:$B$304,$C179)&gt;0,"登録済","未登録→マスタに追加"))</f>
        <v/>
      </c>
    </row>
    <row r="180" customFormat="false" ht="15" hidden="false" customHeight="false" outlineLevel="0" collapsed="false">
      <c r="A180" s="63" t="n">
        <v>178</v>
      </c>
      <c r="B180" s="63" t="str">
        <f aca="false">IF(元データ!$A$178="","",元データ!$A$178)</f>
        <v/>
      </c>
      <c r="C180" s="63" t="str">
        <f aca="false">IF(LEFT(B180,1)="(",IFERROR(VALUE(MID(B180,2,FIND(")",B180)-2)),""),"")</f>
        <v/>
      </c>
      <c r="D180" s="64" t="str">
        <f aca="false">IF($C180="","",N(元データ!$B$178))</f>
        <v/>
      </c>
      <c r="E180" s="64" t="str">
        <f aca="false">IF($C180="","",N(元データ!$C$178))</f>
        <v/>
      </c>
      <c r="F180" s="64" t="str">
        <f aca="false">IF($C180="","",N(元データ!$F$178))</f>
        <v/>
      </c>
      <c r="G180" s="63" t="str">
        <f aca="false">IF($C180="","",IF(COUNTIF(店舗マスタ!$B$5:$B$304,$C180)&gt;0,"登録済","未登録→マスタに追加"))</f>
        <v/>
      </c>
    </row>
    <row r="181" customFormat="false" ht="15" hidden="false" customHeight="false" outlineLevel="0" collapsed="false">
      <c r="A181" s="63" t="n">
        <v>179</v>
      </c>
      <c r="B181" s="63" t="str">
        <f aca="false">IF(元データ!$A$179="","",元データ!$A$179)</f>
        <v/>
      </c>
      <c r="C181" s="63" t="str">
        <f aca="false">IF(LEFT(B181,1)="(",IFERROR(VALUE(MID(B181,2,FIND(")",B181)-2)),""),"")</f>
        <v/>
      </c>
      <c r="D181" s="64" t="str">
        <f aca="false">IF($C181="","",N(元データ!$B$179))</f>
        <v/>
      </c>
      <c r="E181" s="64" t="str">
        <f aca="false">IF($C181="","",N(元データ!$C$179))</f>
        <v/>
      </c>
      <c r="F181" s="64" t="str">
        <f aca="false">IF($C181="","",N(元データ!$F$179))</f>
        <v/>
      </c>
      <c r="G181" s="63" t="str">
        <f aca="false">IF($C181="","",IF(COUNTIF(店舗マスタ!$B$5:$B$304,$C181)&gt;0,"登録済","未登録→マスタに追加"))</f>
        <v/>
      </c>
    </row>
    <row r="182" customFormat="false" ht="15" hidden="false" customHeight="false" outlineLevel="0" collapsed="false">
      <c r="A182" s="63" t="n">
        <v>180</v>
      </c>
      <c r="B182" s="63" t="str">
        <f aca="false">IF(元データ!$A$180="","",元データ!$A$180)</f>
        <v/>
      </c>
      <c r="C182" s="63" t="str">
        <f aca="false">IF(LEFT(B182,1)="(",IFERROR(VALUE(MID(B182,2,FIND(")",B182)-2)),""),"")</f>
        <v/>
      </c>
      <c r="D182" s="64" t="str">
        <f aca="false">IF($C182="","",N(元データ!$B$180))</f>
        <v/>
      </c>
      <c r="E182" s="64" t="str">
        <f aca="false">IF($C182="","",N(元データ!$C$180))</f>
        <v/>
      </c>
      <c r="F182" s="64" t="str">
        <f aca="false">IF($C182="","",N(元データ!$F$180))</f>
        <v/>
      </c>
      <c r="G182" s="63" t="str">
        <f aca="false">IF($C182="","",IF(COUNTIF(店舗マスタ!$B$5:$B$304,$C182)&gt;0,"登録済","未登録→マスタに追加"))</f>
        <v/>
      </c>
    </row>
    <row r="183" customFormat="false" ht="15" hidden="false" customHeight="false" outlineLevel="0" collapsed="false">
      <c r="A183" s="63" t="n">
        <v>181</v>
      </c>
      <c r="B183" s="63" t="str">
        <f aca="false">IF(元データ!$A$181="","",元データ!$A$181)</f>
        <v/>
      </c>
      <c r="C183" s="63" t="str">
        <f aca="false">IF(LEFT(B183,1)="(",IFERROR(VALUE(MID(B183,2,FIND(")",B183)-2)),""),"")</f>
        <v/>
      </c>
      <c r="D183" s="64" t="str">
        <f aca="false">IF($C183="","",N(元データ!$B$181))</f>
        <v/>
      </c>
      <c r="E183" s="64" t="str">
        <f aca="false">IF($C183="","",N(元データ!$C$181))</f>
        <v/>
      </c>
      <c r="F183" s="64" t="str">
        <f aca="false">IF($C183="","",N(元データ!$F$181))</f>
        <v/>
      </c>
      <c r="G183" s="63" t="str">
        <f aca="false">IF($C183="","",IF(COUNTIF(店舗マスタ!$B$5:$B$304,$C183)&gt;0,"登録済","未登録→マスタに追加"))</f>
        <v/>
      </c>
    </row>
    <row r="184" customFormat="false" ht="15" hidden="false" customHeight="false" outlineLevel="0" collapsed="false">
      <c r="A184" s="63" t="n">
        <v>182</v>
      </c>
      <c r="B184" s="63" t="str">
        <f aca="false">IF(元データ!$A$182="","",元データ!$A$182)</f>
        <v/>
      </c>
      <c r="C184" s="63" t="str">
        <f aca="false">IF(LEFT(B184,1)="(",IFERROR(VALUE(MID(B184,2,FIND(")",B184)-2)),""),"")</f>
        <v/>
      </c>
      <c r="D184" s="64" t="str">
        <f aca="false">IF($C184="","",N(元データ!$B$182))</f>
        <v/>
      </c>
      <c r="E184" s="64" t="str">
        <f aca="false">IF($C184="","",N(元データ!$C$182))</f>
        <v/>
      </c>
      <c r="F184" s="64" t="str">
        <f aca="false">IF($C184="","",N(元データ!$F$182))</f>
        <v/>
      </c>
      <c r="G184" s="63" t="str">
        <f aca="false">IF($C184="","",IF(COUNTIF(店舗マスタ!$B$5:$B$304,$C184)&gt;0,"登録済","未登録→マスタに追加"))</f>
        <v/>
      </c>
    </row>
    <row r="185" customFormat="false" ht="15" hidden="false" customHeight="false" outlineLevel="0" collapsed="false">
      <c r="A185" s="63" t="n">
        <v>183</v>
      </c>
      <c r="B185" s="63" t="str">
        <f aca="false">IF(元データ!$A$183="","",元データ!$A$183)</f>
        <v/>
      </c>
      <c r="C185" s="63" t="str">
        <f aca="false">IF(LEFT(B185,1)="(",IFERROR(VALUE(MID(B185,2,FIND(")",B185)-2)),""),"")</f>
        <v/>
      </c>
      <c r="D185" s="64" t="str">
        <f aca="false">IF($C185="","",N(元データ!$B$183))</f>
        <v/>
      </c>
      <c r="E185" s="64" t="str">
        <f aca="false">IF($C185="","",N(元データ!$C$183))</f>
        <v/>
      </c>
      <c r="F185" s="64" t="str">
        <f aca="false">IF($C185="","",N(元データ!$F$183))</f>
        <v/>
      </c>
      <c r="G185" s="63" t="str">
        <f aca="false">IF($C185="","",IF(COUNTIF(店舗マスタ!$B$5:$B$304,$C185)&gt;0,"登録済","未登録→マスタに追加"))</f>
        <v/>
      </c>
    </row>
    <row r="186" customFormat="false" ht="15" hidden="false" customHeight="false" outlineLevel="0" collapsed="false">
      <c r="A186" s="63" t="n">
        <v>184</v>
      </c>
      <c r="B186" s="63" t="str">
        <f aca="false">IF(元データ!$A$184="","",元データ!$A$184)</f>
        <v/>
      </c>
      <c r="C186" s="63" t="str">
        <f aca="false">IF(LEFT(B186,1)="(",IFERROR(VALUE(MID(B186,2,FIND(")",B186)-2)),""),"")</f>
        <v/>
      </c>
      <c r="D186" s="64" t="str">
        <f aca="false">IF($C186="","",N(元データ!$B$184))</f>
        <v/>
      </c>
      <c r="E186" s="64" t="str">
        <f aca="false">IF($C186="","",N(元データ!$C$184))</f>
        <v/>
      </c>
      <c r="F186" s="64" t="str">
        <f aca="false">IF($C186="","",N(元データ!$F$184))</f>
        <v/>
      </c>
      <c r="G186" s="63" t="str">
        <f aca="false">IF($C186="","",IF(COUNTIF(店舗マスタ!$B$5:$B$304,$C186)&gt;0,"登録済","未登録→マスタに追加"))</f>
        <v/>
      </c>
    </row>
    <row r="187" customFormat="false" ht="15" hidden="false" customHeight="false" outlineLevel="0" collapsed="false">
      <c r="A187" s="63" t="n">
        <v>185</v>
      </c>
      <c r="B187" s="63" t="str">
        <f aca="false">IF(元データ!$A$185="","",元データ!$A$185)</f>
        <v/>
      </c>
      <c r="C187" s="63" t="str">
        <f aca="false">IF(LEFT(B187,1)="(",IFERROR(VALUE(MID(B187,2,FIND(")",B187)-2)),""),"")</f>
        <v/>
      </c>
      <c r="D187" s="64" t="str">
        <f aca="false">IF($C187="","",N(元データ!$B$185))</f>
        <v/>
      </c>
      <c r="E187" s="64" t="str">
        <f aca="false">IF($C187="","",N(元データ!$C$185))</f>
        <v/>
      </c>
      <c r="F187" s="64" t="str">
        <f aca="false">IF($C187="","",N(元データ!$F$185))</f>
        <v/>
      </c>
      <c r="G187" s="63" t="str">
        <f aca="false">IF($C187="","",IF(COUNTIF(店舗マスタ!$B$5:$B$304,$C187)&gt;0,"登録済","未登録→マスタに追加"))</f>
        <v/>
      </c>
    </row>
    <row r="188" customFormat="false" ht="15" hidden="false" customHeight="false" outlineLevel="0" collapsed="false">
      <c r="A188" s="63" t="n">
        <v>186</v>
      </c>
      <c r="B188" s="63" t="str">
        <f aca="false">IF(元データ!$A$186="","",元データ!$A$186)</f>
        <v/>
      </c>
      <c r="C188" s="63" t="str">
        <f aca="false">IF(LEFT(B188,1)="(",IFERROR(VALUE(MID(B188,2,FIND(")",B188)-2)),""),"")</f>
        <v/>
      </c>
      <c r="D188" s="64" t="str">
        <f aca="false">IF($C188="","",N(元データ!$B$186))</f>
        <v/>
      </c>
      <c r="E188" s="64" t="str">
        <f aca="false">IF($C188="","",N(元データ!$C$186))</f>
        <v/>
      </c>
      <c r="F188" s="64" t="str">
        <f aca="false">IF($C188="","",N(元データ!$F$186))</f>
        <v/>
      </c>
      <c r="G188" s="63" t="str">
        <f aca="false">IF($C188="","",IF(COUNTIF(店舗マスタ!$B$5:$B$304,$C188)&gt;0,"登録済","未登録→マスタに追加"))</f>
        <v/>
      </c>
    </row>
    <row r="189" customFormat="false" ht="15" hidden="false" customHeight="false" outlineLevel="0" collapsed="false">
      <c r="A189" s="63" t="n">
        <v>187</v>
      </c>
      <c r="B189" s="63" t="str">
        <f aca="false">IF(元データ!$A$187="","",元データ!$A$187)</f>
        <v/>
      </c>
      <c r="C189" s="63" t="str">
        <f aca="false">IF(LEFT(B189,1)="(",IFERROR(VALUE(MID(B189,2,FIND(")",B189)-2)),""),"")</f>
        <v/>
      </c>
      <c r="D189" s="64" t="str">
        <f aca="false">IF($C189="","",N(元データ!$B$187))</f>
        <v/>
      </c>
      <c r="E189" s="64" t="str">
        <f aca="false">IF($C189="","",N(元データ!$C$187))</f>
        <v/>
      </c>
      <c r="F189" s="64" t="str">
        <f aca="false">IF($C189="","",N(元データ!$F$187))</f>
        <v/>
      </c>
      <c r="G189" s="63" t="str">
        <f aca="false">IF($C189="","",IF(COUNTIF(店舗マスタ!$B$5:$B$304,$C189)&gt;0,"登録済","未登録→マスタに追加"))</f>
        <v/>
      </c>
    </row>
    <row r="190" customFormat="false" ht="15" hidden="false" customHeight="false" outlineLevel="0" collapsed="false">
      <c r="A190" s="63" t="n">
        <v>188</v>
      </c>
      <c r="B190" s="63" t="str">
        <f aca="false">IF(元データ!$A$188="","",元データ!$A$188)</f>
        <v/>
      </c>
      <c r="C190" s="63" t="str">
        <f aca="false">IF(LEFT(B190,1)="(",IFERROR(VALUE(MID(B190,2,FIND(")",B190)-2)),""),"")</f>
        <v/>
      </c>
      <c r="D190" s="64" t="str">
        <f aca="false">IF($C190="","",N(元データ!$B$188))</f>
        <v/>
      </c>
      <c r="E190" s="64" t="str">
        <f aca="false">IF($C190="","",N(元データ!$C$188))</f>
        <v/>
      </c>
      <c r="F190" s="64" t="str">
        <f aca="false">IF($C190="","",N(元データ!$F$188))</f>
        <v/>
      </c>
      <c r="G190" s="63" t="str">
        <f aca="false">IF($C190="","",IF(COUNTIF(店舗マスタ!$B$5:$B$304,$C190)&gt;0,"登録済","未登録→マスタに追加"))</f>
        <v/>
      </c>
    </row>
    <row r="191" customFormat="false" ht="15" hidden="false" customHeight="false" outlineLevel="0" collapsed="false">
      <c r="A191" s="63" t="n">
        <v>189</v>
      </c>
      <c r="B191" s="63" t="str">
        <f aca="false">IF(元データ!$A$189="","",元データ!$A$189)</f>
        <v/>
      </c>
      <c r="C191" s="63" t="str">
        <f aca="false">IF(LEFT(B191,1)="(",IFERROR(VALUE(MID(B191,2,FIND(")",B191)-2)),""),"")</f>
        <v/>
      </c>
      <c r="D191" s="64" t="str">
        <f aca="false">IF($C191="","",N(元データ!$B$189))</f>
        <v/>
      </c>
      <c r="E191" s="64" t="str">
        <f aca="false">IF($C191="","",N(元データ!$C$189))</f>
        <v/>
      </c>
      <c r="F191" s="64" t="str">
        <f aca="false">IF($C191="","",N(元データ!$F$189))</f>
        <v/>
      </c>
      <c r="G191" s="63" t="str">
        <f aca="false">IF($C191="","",IF(COUNTIF(店舗マスタ!$B$5:$B$304,$C191)&gt;0,"登録済","未登録→マスタに追加"))</f>
        <v/>
      </c>
    </row>
    <row r="192" customFormat="false" ht="15" hidden="false" customHeight="false" outlineLevel="0" collapsed="false">
      <c r="A192" s="63" t="n">
        <v>190</v>
      </c>
      <c r="B192" s="63" t="str">
        <f aca="false">IF(元データ!$A$190="","",元データ!$A$190)</f>
        <v/>
      </c>
      <c r="C192" s="63" t="str">
        <f aca="false">IF(LEFT(B192,1)="(",IFERROR(VALUE(MID(B192,2,FIND(")",B192)-2)),""),"")</f>
        <v/>
      </c>
      <c r="D192" s="64" t="str">
        <f aca="false">IF($C192="","",N(元データ!$B$190))</f>
        <v/>
      </c>
      <c r="E192" s="64" t="str">
        <f aca="false">IF($C192="","",N(元データ!$C$190))</f>
        <v/>
      </c>
      <c r="F192" s="64" t="str">
        <f aca="false">IF($C192="","",N(元データ!$F$190))</f>
        <v/>
      </c>
      <c r="G192" s="63" t="str">
        <f aca="false">IF($C192="","",IF(COUNTIF(店舗マスタ!$B$5:$B$304,$C192)&gt;0,"登録済","未登録→マスタに追加"))</f>
        <v/>
      </c>
    </row>
    <row r="193" customFormat="false" ht="15" hidden="false" customHeight="false" outlineLevel="0" collapsed="false">
      <c r="A193" s="63" t="n">
        <v>191</v>
      </c>
      <c r="B193" s="63" t="str">
        <f aca="false">IF(元データ!$A$191="","",元データ!$A$191)</f>
        <v/>
      </c>
      <c r="C193" s="63" t="str">
        <f aca="false">IF(LEFT(B193,1)="(",IFERROR(VALUE(MID(B193,2,FIND(")",B193)-2)),""),"")</f>
        <v/>
      </c>
      <c r="D193" s="64" t="str">
        <f aca="false">IF($C193="","",N(元データ!$B$191))</f>
        <v/>
      </c>
      <c r="E193" s="64" t="str">
        <f aca="false">IF($C193="","",N(元データ!$C$191))</f>
        <v/>
      </c>
      <c r="F193" s="64" t="str">
        <f aca="false">IF($C193="","",N(元データ!$F$191))</f>
        <v/>
      </c>
      <c r="G193" s="63" t="str">
        <f aca="false">IF($C193="","",IF(COUNTIF(店舗マスタ!$B$5:$B$304,$C193)&gt;0,"登録済","未登録→マスタに追加"))</f>
        <v/>
      </c>
    </row>
    <row r="194" customFormat="false" ht="15" hidden="false" customHeight="false" outlineLevel="0" collapsed="false">
      <c r="A194" s="63" t="n">
        <v>192</v>
      </c>
      <c r="B194" s="63" t="str">
        <f aca="false">IF(元データ!$A$192="","",元データ!$A$192)</f>
        <v/>
      </c>
      <c r="C194" s="63" t="str">
        <f aca="false">IF(LEFT(B194,1)="(",IFERROR(VALUE(MID(B194,2,FIND(")",B194)-2)),""),"")</f>
        <v/>
      </c>
      <c r="D194" s="64" t="str">
        <f aca="false">IF($C194="","",N(元データ!$B$192))</f>
        <v/>
      </c>
      <c r="E194" s="64" t="str">
        <f aca="false">IF($C194="","",N(元データ!$C$192))</f>
        <v/>
      </c>
      <c r="F194" s="64" t="str">
        <f aca="false">IF($C194="","",N(元データ!$F$192))</f>
        <v/>
      </c>
      <c r="G194" s="63" t="str">
        <f aca="false">IF($C194="","",IF(COUNTIF(店舗マスタ!$B$5:$B$304,$C194)&gt;0,"登録済","未登録→マスタに追加"))</f>
        <v/>
      </c>
    </row>
    <row r="195" customFormat="false" ht="15" hidden="false" customHeight="false" outlineLevel="0" collapsed="false">
      <c r="A195" s="63" t="n">
        <v>193</v>
      </c>
      <c r="B195" s="63" t="str">
        <f aca="false">IF(元データ!$A$193="","",元データ!$A$193)</f>
        <v/>
      </c>
      <c r="C195" s="63" t="str">
        <f aca="false">IF(LEFT(B195,1)="(",IFERROR(VALUE(MID(B195,2,FIND(")",B195)-2)),""),"")</f>
        <v/>
      </c>
      <c r="D195" s="64" t="str">
        <f aca="false">IF($C195="","",N(元データ!$B$193))</f>
        <v/>
      </c>
      <c r="E195" s="64" t="str">
        <f aca="false">IF($C195="","",N(元データ!$C$193))</f>
        <v/>
      </c>
      <c r="F195" s="64" t="str">
        <f aca="false">IF($C195="","",N(元データ!$F$193))</f>
        <v/>
      </c>
      <c r="G195" s="63" t="str">
        <f aca="false">IF($C195="","",IF(COUNTIF(店舗マスタ!$B$5:$B$304,$C195)&gt;0,"登録済","未登録→マスタに追加"))</f>
        <v/>
      </c>
    </row>
    <row r="196" customFormat="false" ht="15" hidden="false" customHeight="false" outlineLevel="0" collapsed="false">
      <c r="A196" s="63" t="n">
        <v>194</v>
      </c>
      <c r="B196" s="63" t="str">
        <f aca="false">IF(元データ!$A$194="","",元データ!$A$194)</f>
        <v/>
      </c>
      <c r="C196" s="63" t="str">
        <f aca="false">IF(LEFT(B196,1)="(",IFERROR(VALUE(MID(B196,2,FIND(")",B196)-2)),""),"")</f>
        <v/>
      </c>
      <c r="D196" s="64" t="str">
        <f aca="false">IF($C196="","",N(元データ!$B$194))</f>
        <v/>
      </c>
      <c r="E196" s="64" t="str">
        <f aca="false">IF($C196="","",N(元データ!$C$194))</f>
        <v/>
      </c>
      <c r="F196" s="64" t="str">
        <f aca="false">IF($C196="","",N(元データ!$F$194))</f>
        <v/>
      </c>
      <c r="G196" s="63" t="str">
        <f aca="false">IF($C196="","",IF(COUNTIF(店舗マスタ!$B$5:$B$304,$C196)&gt;0,"登録済","未登録→マスタに追加"))</f>
        <v/>
      </c>
    </row>
    <row r="197" customFormat="false" ht="15" hidden="false" customHeight="false" outlineLevel="0" collapsed="false">
      <c r="A197" s="63" t="n">
        <v>195</v>
      </c>
      <c r="B197" s="63" t="str">
        <f aca="false">IF(元データ!$A$195="","",元データ!$A$195)</f>
        <v/>
      </c>
      <c r="C197" s="63" t="str">
        <f aca="false">IF(LEFT(B197,1)="(",IFERROR(VALUE(MID(B197,2,FIND(")",B197)-2)),""),"")</f>
        <v/>
      </c>
      <c r="D197" s="64" t="str">
        <f aca="false">IF($C197="","",N(元データ!$B$195))</f>
        <v/>
      </c>
      <c r="E197" s="64" t="str">
        <f aca="false">IF($C197="","",N(元データ!$C$195))</f>
        <v/>
      </c>
      <c r="F197" s="64" t="str">
        <f aca="false">IF($C197="","",N(元データ!$F$195))</f>
        <v/>
      </c>
      <c r="G197" s="63" t="str">
        <f aca="false">IF($C197="","",IF(COUNTIF(店舗マスタ!$B$5:$B$304,$C197)&gt;0,"登録済","未登録→マスタに追加"))</f>
        <v/>
      </c>
    </row>
    <row r="198" customFormat="false" ht="15" hidden="false" customHeight="false" outlineLevel="0" collapsed="false">
      <c r="A198" s="63" t="n">
        <v>196</v>
      </c>
      <c r="B198" s="63" t="str">
        <f aca="false">IF(元データ!$A$196="","",元データ!$A$196)</f>
        <v/>
      </c>
      <c r="C198" s="63" t="str">
        <f aca="false">IF(LEFT(B198,1)="(",IFERROR(VALUE(MID(B198,2,FIND(")",B198)-2)),""),"")</f>
        <v/>
      </c>
      <c r="D198" s="64" t="str">
        <f aca="false">IF($C198="","",N(元データ!$B$196))</f>
        <v/>
      </c>
      <c r="E198" s="64" t="str">
        <f aca="false">IF($C198="","",N(元データ!$C$196))</f>
        <v/>
      </c>
      <c r="F198" s="64" t="str">
        <f aca="false">IF($C198="","",N(元データ!$F$196))</f>
        <v/>
      </c>
      <c r="G198" s="63" t="str">
        <f aca="false">IF($C198="","",IF(COUNTIF(店舗マスタ!$B$5:$B$304,$C198)&gt;0,"登録済","未登録→マスタに追加"))</f>
        <v/>
      </c>
    </row>
    <row r="199" customFormat="false" ht="15" hidden="false" customHeight="false" outlineLevel="0" collapsed="false">
      <c r="A199" s="63" t="n">
        <v>197</v>
      </c>
      <c r="B199" s="63" t="str">
        <f aca="false">IF(元データ!$A$197="","",元データ!$A$197)</f>
        <v/>
      </c>
      <c r="C199" s="63" t="str">
        <f aca="false">IF(LEFT(B199,1)="(",IFERROR(VALUE(MID(B199,2,FIND(")",B199)-2)),""),"")</f>
        <v/>
      </c>
      <c r="D199" s="64" t="str">
        <f aca="false">IF($C199="","",N(元データ!$B$197))</f>
        <v/>
      </c>
      <c r="E199" s="64" t="str">
        <f aca="false">IF($C199="","",N(元データ!$C$197))</f>
        <v/>
      </c>
      <c r="F199" s="64" t="str">
        <f aca="false">IF($C199="","",N(元データ!$F$197))</f>
        <v/>
      </c>
      <c r="G199" s="63" t="str">
        <f aca="false">IF($C199="","",IF(COUNTIF(店舗マスタ!$B$5:$B$304,$C199)&gt;0,"登録済","未登録→マスタに追加"))</f>
        <v/>
      </c>
    </row>
    <row r="200" customFormat="false" ht="15" hidden="false" customHeight="false" outlineLevel="0" collapsed="false">
      <c r="A200" s="63" t="n">
        <v>198</v>
      </c>
      <c r="B200" s="63" t="str">
        <f aca="false">IF(元データ!$A$198="","",元データ!$A$198)</f>
        <v/>
      </c>
      <c r="C200" s="63" t="str">
        <f aca="false">IF(LEFT(B200,1)="(",IFERROR(VALUE(MID(B200,2,FIND(")",B200)-2)),""),"")</f>
        <v/>
      </c>
      <c r="D200" s="64" t="str">
        <f aca="false">IF($C200="","",N(元データ!$B$198))</f>
        <v/>
      </c>
      <c r="E200" s="64" t="str">
        <f aca="false">IF($C200="","",N(元データ!$C$198))</f>
        <v/>
      </c>
      <c r="F200" s="64" t="str">
        <f aca="false">IF($C200="","",N(元データ!$F$198))</f>
        <v/>
      </c>
      <c r="G200" s="63" t="str">
        <f aca="false">IF($C200="","",IF(COUNTIF(店舗マスタ!$B$5:$B$304,$C200)&gt;0,"登録済","未登録→マスタに追加"))</f>
        <v/>
      </c>
    </row>
    <row r="201" customFormat="false" ht="15" hidden="false" customHeight="false" outlineLevel="0" collapsed="false">
      <c r="A201" s="63" t="n">
        <v>199</v>
      </c>
      <c r="B201" s="63" t="str">
        <f aca="false">IF(元データ!$A$199="","",元データ!$A$199)</f>
        <v/>
      </c>
      <c r="C201" s="63" t="str">
        <f aca="false">IF(LEFT(B201,1)="(",IFERROR(VALUE(MID(B201,2,FIND(")",B201)-2)),""),"")</f>
        <v/>
      </c>
      <c r="D201" s="64" t="str">
        <f aca="false">IF($C201="","",N(元データ!$B$199))</f>
        <v/>
      </c>
      <c r="E201" s="64" t="str">
        <f aca="false">IF($C201="","",N(元データ!$C$199))</f>
        <v/>
      </c>
      <c r="F201" s="64" t="str">
        <f aca="false">IF($C201="","",N(元データ!$F$199))</f>
        <v/>
      </c>
      <c r="G201" s="63" t="str">
        <f aca="false">IF($C201="","",IF(COUNTIF(店舗マスタ!$B$5:$B$304,$C201)&gt;0,"登録済","未登録→マスタに追加"))</f>
        <v/>
      </c>
    </row>
    <row r="202" customFormat="false" ht="15" hidden="false" customHeight="false" outlineLevel="0" collapsed="false">
      <c r="A202" s="63" t="n">
        <v>200</v>
      </c>
      <c r="B202" s="63" t="str">
        <f aca="false">IF(元データ!$A$200="","",元データ!$A$200)</f>
        <v/>
      </c>
      <c r="C202" s="63" t="str">
        <f aca="false">IF(LEFT(B202,1)="(",IFERROR(VALUE(MID(B202,2,FIND(")",B202)-2)),""),"")</f>
        <v/>
      </c>
      <c r="D202" s="64" t="str">
        <f aca="false">IF($C202="","",N(元データ!$B$200))</f>
        <v/>
      </c>
      <c r="E202" s="64" t="str">
        <f aca="false">IF($C202="","",N(元データ!$C$200))</f>
        <v/>
      </c>
      <c r="F202" s="64" t="str">
        <f aca="false">IF($C202="","",N(元データ!$F$200))</f>
        <v/>
      </c>
      <c r="G202" s="63" t="str">
        <f aca="false">IF($C202="","",IF(COUNTIF(店舗マスタ!$B$5:$B$304,$C202)&gt;0,"登録済","未登録→マスタに追加"))</f>
        <v/>
      </c>
    </row>
    <row r="203" customFormat="false" ht="15" hidden="false" customHeight="false" outlineLevel="0" collapsed="false">
      <c r="A203" s="63" t="n">
        <v>201</v>
      </c>
      <c r="B203" s="63" t="str">
        <f aca="false">IF(元データ!$A$201="","",元データ!$A$201)</f>
        <v/>
      </c>
      <c r="C203" s="63" t="str">
        <f aca="false">IF(LEFT(B203,1)="(",IFERROR(VALUE(MID(B203,2,FIND(")",B203)-2)),""),"")</f>
        <v/>
      </c>
      <c r="D203" s="64" t="str">
        <f aca="false">IF($C203="","",N(元データ!$B$201))</f>
        <v/>
      </c>
      <c r="E203" s="64" t="str">
        <f aca="false">IF($C203="","",N(元データ!$C$201))</f>
        <v/>
      </c>
      <c r="F203" s="64" t="str">
        <f aca="false">IF($C203="","",N(元データ!$F$201))</f>
        <v/>
      </c>
      <c r="G203" s="63" t="str">
        <f aca="false">IF($C203="","",IF(COUNTIF(店舗マスタ!$B$5:$B$304,$C203)&gt;0,"登録済","未登録→マスタに追加"))</f>
        <v/>
      </c>
    </row>
    <row r="204" customFormat="false" ht="15" hidden="false" customHeight="false" outlineLevel="0" collapsed="false">
      <c r="A204" s="63" t="n">
        <v>202</v>
      </c>
      <c r="B204" s="63" t="str">
        <f aca="false">IF(元データ!$A$202="","",元データ!$A$202)</f>
        <v/>
      </c>
      <c r="C204" s="63" t="str">
        <f aca="false">IF(LEFT(B204,1)="(",IFERROR(VALUE(MID(B204,2,FIND(")",B204)-2)),""),"")</f>
        <v/>
      </c>
      <c r="D204" s="64" t="str">
        <f aca="false">IF($C204="","",N(元データ!$B$202))</f>
        <v/>
      </c>
      <c r="E204" s="64" t="str">
        <f aca="false">IF($C204="","",N(元データ!$C$202))</f>
        <v/>
      </c>
      <c r="F204" s="64" t="str">
        <f aca="false">IF($C204="","",N(元データ!$F$202))</f>
        <v/>
      </c>
      <c r="G204" s="63" t="str">
        <f aca="false">IF($C204="","",IF(COUNTIF(店舗マスタ!$B$5:$B$304,$C204)&gt;0,"登録済","未登録→マスタに追加"))</f>
        <v/>
      </c>
    </row>
    <row r="205" customFormat="false" ht="15" hidden="false" customHeight="false" outlineLevel="0" collapsed="false">
      <c r="A205" s="63" t="n">
        <v>203</v>
      </c>
      <c r="B205" s="63" t="str">
        <f aca="false">IF(元データ!$A$203="","",元データ!$A$203)</f>
        <v/>
      </c>
      <c r="C205" s="63" t="str">
        <f aca="false">IF(LEFT(B205,1)="(",IFERROR(VALUE(MID(B205,2,FIND(")",B205)-2)),""),"")</f>
        <v/>
      </c>
      <c r="D205" s="64" t="str">
        <f aca="false">IF($C205="","",N(元データ!$B$203))</f>
        <v/>
      </c>
      <c r="E205" s="64" t="str">
        <f aca="false">IF($C205="","",N(元データ!$C$203))</f>
        <v/>
      </c>
      <c r="F205" s="64" t="str">
        <f aca="false">IF($C205="","",N(元データ!$F$203))</f>
        <v/>
      </c>
      <c r="G205" s="63" t="str">
        <f aca="false">IF($C205="","",IF(COUNTIF(店舗マスタ!$B$5:$B$304,$C205)&gt;0,"登録済","未登録→マスタに追加"))</f>
        <v/>
      </c>
    </row>
    <row r="206" customFormat="false" ht="15" hidden="false" customHeight="false" outlineLevel="0" collapsed="false">
      <c r="A206" s="63" t="n">
        <v>204</v>
      </c>
      <c r="B206" s="63" t="str">
        <f aca="false">IF(元データ!$A$204="","",元データ!$A$204)</f>
        <v/>
      </c>
      <c r="C206" s="63" t="str">
        <f aca="false">IF(LEFT(B206,1)="(",IFERROR(VALUE(MID(B206,2,FIND(")",B206)-2)),""),"")</f>
        <v/>
      </c>
      <c r="D206" s="64" t="str">
        <f aca="false">IF($C206="","",N(元データ!$B$204))</f>
        <v/>
      </c>
      <c r="E206" s="64" t="str">
        <f aca="false">IF($C206="","",N(元データ!$C$204))</f>
        <v/>
      </c>
      <c r="F206" s="64" t="str">
        <f aca="false">IF($C206="","",N(元データ!$F$204))</f>
        <v/>
      </c>
      <c r="G206" s="63" t="str">
        <f aca="false">IF($C206="","",IF(COUNTIF(店舗マスタ!$B$5:$B$304,$C206)&gt;0,"登録済","未登録→マスタに追加"))</f>
        <v/>
      </c>
    </row>
    <row r="207" customFormat="false" ht="15" hidden="false" customHeight="false" outlineLevel="0" collapsed="false">
      <c r="A207" s="63" t="n">
        <v>205</v>
      </c>
      <c r="B207" s="63" t="str">
        <f aca="false">IF(元データ!$A$205="","",元データ!$A$205)</f>
        <v/>
      </c>
      <c r="C207" s="63" t="str">
        <f aca="false">IF(LEFT(B207,1)="(",IFERROR(VALUE(MID(B207,2,FIND(")",B207)-2)),""),"")</f>
        <v/>
      </c>
      <c r="D207" s="64" t="str">
        <f aca="false">IF($C207="","",N(元データ!$B$205))</f>
        <v/>
      </c>
      <c r="E207" s="64" t="str">
        <f aca="false">IF($C207="","",N(元データ!$C$205))</f>
        <v/>
      </c>
      <c r="F207" s="64" t="str">
        <f aca="false">IF($C207="","",N(元データ!$F$205))</f>
        <v/>
      </c>
      <c r="G207" s="63" t="str">
        <f aca="false">IF($C207="","",IF(COUNTIF(店舗マスタ!$B$5:$B$304,$C207)&gt;0,"登録済","未登録→マスタに追加"))</f>
        <v/>
      </c>
    </row>
    <row r="208" customFormat="false" ht="15" hidden="false" customHeight="false" outlineLevel="0" collapsed="false">
      <c r="A208" s="63" t="n">
        <v>206</v>
      </c>
      <c r="B208" s="63" t="str">
        <f aca="false">IF(元データ!$A$206="","",元データ!$A$206)</f>
        <v/>
      </c>
      <c r="C208" s="63" t="str">
        <f aca="false">IF(LEFT(B208,1)="(",IFERROR(VALUE(MID(B208,2,FIND(")",B208)-2)),""),"")</f>
        <v/>
      </c>
      <c r="D208" s="64" t="str">
        <f aca="false">IF($C208="","",N(元データ!$B$206))</f>
        <v/>
      </c>
      <c r="E208" s="64" t="str">
        <f aca="false">IF($C208="","",N(元データ!$C$206))</f>
        <v/>
      </c>
      <c r="F208" s="64" t="str">
        <f aca="false">IF($C208="","",N(元データ!$F$206))</f>
        <v/>
      </c>
      <c r="G208" s="63" t="str">
        <f aca="false">IF($C208="","",IF(COUNTIF(店舗マスタ!$B$5:$B$304,$C208)&gt;0,"登録済","未登録→マスタに追加"))</f>
        <v/>
      </c>
    </row>
    <row r="209" customFormat="false" ht="15" hidden="false" customHeight="false" outlineLevel="0" collapsed="false">
      <c r="A209" s="63" t="n">
        <v>207</v>
      </c>
      <c r="B209" s="63" t="str">
        <f aca="false">IF(元データ!$A$207="","",元データ!$A$207)</f>
        <v/>
      </c>
      <c r="C209" s="63" t="str">
        <f aca="false">IF(LEFT(B209,1)="(",IFERROR(VALUE(MID(B209,2,FIND(")",B209)-2)),""),"")</f>
        <v/>
      </c>
      <c r="D209" s="64" t="str">
        <f aca="false">IF($C209="","",N(元データ!$B$207))</f>
        <v/>
      </c>
      <c r="E209" s="64" t="str">
        <f aca="false">IF($C209="","",N(元データ!$C$207))</f>
        <v/>
      </c>
      <c r="F209" s="64" t="str">
        <f aca="false">IF($C209="","",N(元データ!$F$207))</f>
        <v/>
      </c>
      <c r="G209" s="63" t="str">
        <f aca="false">IF($C209="","",IF(COUNTIF(店舗マスタ!$B$5:$B$304,$C209)&gt;0,"登録済","未登録→マスタに追加"))</f>
        <v/>
      </c>
    </row>
    <row r="210" customFormat="false" ht="15" hidden="false" customHeight="false" outlineLevel="0" collapsed="false">
      <c r="A210" s="63" t="n">
        <v>208</v>
      </c>
      <c r="B210" s="63" t="str">
        <f aca="false">IF(元データ!$A$208="","",元データ!$A$208)</f>
        <v/>
      </c>
      <c r="C210" s="63" t="str">
        <f aca="false">IF(LEFT(B210,1)="(",IFERROR(VALUE(MID(B210,2,FIND(")",B210)-2)),""),"")</f>
        <v/>
      </c>
      <c r="D210" s="64" t="str">
        <f aca="false">IF($C210="","",N(元データ!$B$208))</f>
        <v/>
      </c>
      <c r="E210" s="64" t="str">
        <f aca="false">IF($C210="","",N(元データ!$C$208))</f>
        <v/>
      </c>
      <c r="F210" s="64" t="str">
        <f aca="false">IF($C210="","",N(元データ!$F$208))</f>
        <v/>
      </c>
      <c r="G210" s="63" t="str">
        <f aca="false">IF($C210="","",IF(COUNTIF(店舗マスタ!$B$5:$B$304,$C210)&gt;0,"登録済","未登録→マスタに追加"))</f>
        <v/>
      </c>
    </row>
    <row r="211" customFormat="false" ht="15" hidden="false" customHeight="false" outlineLevel="0" collapsed="false">
      <c r="A211" s="63" t="n">
        <v>209</v>
      </c>
      <c r="B211" s="63" t="str">
        <f aca="false">IF(元データ!$A$209="","",元データ!$A$209)</f>
        <v/>
      </c>
      <c r="C211" s="63" t="str">
        <f aca="false">IF(LEFT(B211,1)="(",IFERROR(VALUE(MID(B211,2,FIND(")",B211)-2)),""),"")</f>
        <v/>
      </c>
      <c r="D211" s="64" t="str">
        <f aca="false">IF($C211="","",N(元データ!$B$209))</f>
        <v/>
      </c>
      <c r="E211" s="64" t="str">
        <f aca="false">IF($C211="","",N(元データ!$C$209))</f>
        <v/>
      </c>
      <c r="F211" s="64" t="str">
        <f aca="false">IF($C211="","",N(元データ!$F$209))</f>
        <v/>
      </c>
      <c r="G211" s="63" t="str">
        <f aca="false">IF($C211="","",IF(COUNTIF(店舗マスタ!$B$5:$B$304,$C211)&gt;0,"登録済","未登録→マスタに追加"))</f>
        <v/>
      </c>
    </row>
    <row r="212" customFormat="false" ht="15" hidden="false" customHeight="false" outlineLevel="0" collapsed="false">
      <c r="A212" s="63" t="n">
        <v>210</v>
      </c>
      <c r="B212" s="63" t="str">
        <f aca="false">IF(元データ!$A$210="","",元データ!$A$210)</f>
        <v/>
      </c>
      <c r="C212" s="63" t="str">
        <f aca="false">IF(LEFT(B212,1)="(",IFERROR(VALUE(MID(B212,2,FIND(")",B212)-2)),""),"")</f>
        <v/>
      </c>
      <c r="D212" s="64" t="str">
        <f aca="false">IF($C212="","",N(元データ!$B$210))</f>
        <v/>
      </c>
      <c r="E212" s="64" t="str">
        <f aca="false">IF($C212="","",N(元データ!$C$210))</f>
        <v/>
      </c>
      <c r="F212" s="64" t="str">
        <f aca="false">IF($C212="","",N(元データ!$F$210))</f>
        <v/>
      </c>
      <c r="G212" s="63" t="str">
        <f aca="false">IF($C212="","",IF(COUNTIF(店舗マスタ!$B$5:$B$304,$C212)&gt;0,"登録済","未登録→マスタに追加"))</f>
        <v/>
      </c>
    </row>
    <row r="213" customFormat="false" ht="15" hidden="false" customHeight="false" outlineLevel="0" collapsed="false">
      <c r="A213" s="63" t="n">
        <v>211</v>
      </c>
      <c r="B213" s="63" t="str">
        <f aca="false">IF(元データ!$A$211="","",元データ!$A$211)</f>
        <v/>
      </c>
      <c r="C213" s="63" t="str">
        <f aca="false">IF(LEFT(B213,1)="(",IFERROR(VALUE(MID(B213,2,FIND(")",B213)-2)),""),"")</f>
        <v/>
      </c>
      <c r="D213" s="64" t="str">
        <f aca="false">IF($C213="","",N(元データ!$B$211))</f>
        <v/>
      </c>
      <c r="E213" s="64" t="str">
        <f aca="false">IF($C213="","",N(元データ!$C$211))</f>
        <v/>
      </c>
      <c r="F213" s="64" t="str">
        <f aca="false">IF($C213="","",N(元データ!$F$211))</f>
        <v/>
      </c>
      <c r="G213" s="63" t="str">
        <f aca="false">IF($C213="","",IF(COUNTIF(店舗マスタ!$B$5:$B$304,$C213)&gt;0,"登録済","未登録→マスタに追加"))</f>
        <v/>
      </c>
    </row>
    <row r="214" customFormat="false" ht="15" hidden="false" customHeight="false" outlineLevel="0" collapsed="false">
      <c r="A214" s="63" t="n">
        <v>212</v>
      </c>
      <c r="B214" s="63" t="str">
        <f aca="false">IF(元データ!$A$212="","",元データ!$A$212)</f>
        <v/>
      </c>
      <c r="C214" s="63" t="str">
        <f aca="false">IF(LEFT(B214,1)="(",IFERROR(VALUE(MID(B214,2,FIND(")",B214)-2)),""),"")</f>
        <v/>
      </c>
      <c r="D214" s="64" t="str">
        <f aca="false">IF($C214="","",N(元データ!$B$212))</f>
        <v/>
      </c>
      <c r="E214" s="64" t="str">
        <f aca="false">IF($C214="","",N(元データ!$C$212))</f>
        <v/>
      </c>
      <c r="F214" s="64" t="str">
        <f aca="false">IF($C214="","",N(元データ!$F$212))</f>
        <v/>
      </c>
      <c r="G214" s="63" t="str">
        <f aca="false">IF($C214="","",IF(COUNTIF(店舗マスタ!$B$5:$B$304,$C214)&gt;0,"登録済","未登録→マスタに追加"))</f>
        <v/>
      </c>
    </row>
    <row r="215" customFormat="false" ht="15" hidden="false" customHeight="false" outlineLevel="0" collapsed="false">
      <c r="A215" s="63" t="n">
        <v>213</v>
      </c>
      <c r="B215" s="63" t="str">
        <f aca="false">IF(元データ!$A$213="","",元データ!$A$213)</f>
        <v/>
      </c>
      <c r="C215" s="63" t="str">
        <f aca="false">IF(LEFT(B215,1)="(",IFERROR(VALUE(MID(B215,2,FIND(")",B215)-2)),""),"")</f>
        <v/>
      </c>
      <c r="D215" s="64" t="str">
        <f aca="false">IF($C215="","",N(元データ!$B$213))</f>
        <v/>
      </c>
      <c r="E215" s="64" t="str">
        <f aca="false">IF($C215="","",N(元データ!$C$213))</f>
        <v/>
      </c>
      <c r="F215" s="64" t="str">
        <f aca="false">IF($C215="","",N(元データ!$F$213))</f>
        <v/>
      </c>
      <c r="G215" s="63" t="str">
        <f aca="false">IF($C215="","",IF(COUNTIF(店舗マスタ!$B$5:$B$304,$C215)&gt;0,"登録済","未登録→マスタに追加"))</f>
        <v/>
      </c>
    </row>
    <row r="216" customFormat="false" ht="15" hidden="false" customHeight="false" outlineLevel="0" collapsed="false">
      <c r="A216" s="63" t="n">
        <v>214</v>
      </c>
      <c r="B216" s="63" t="str">
        <f aca="false">IF(元データ!$A$214="","",元データ!$A$214)</f>
        <v/>
      </c>
      <c r="C216" s="63" t="str">
        <f aca="false">IF(LEFT(B216,1)="(",IFERROR(VALUE(MID(B216,2,FIND(")",B216)-2)),""),"")</f>
        <v/>
      </c>
      <c r="D216" s="64" t="str">
        <f aca="false">IF($C216="","",N(元データ!$B$214))</f>
        <v/>
      </c>
      <c r="E216" s="64" t="str">
        <f aca="false">IF($C216="","",N(元データ!$C$214))</f>
        <v/>
      </c>
      <c r="F216" s="64" t="str">
        <f aca="false">IF($C216="","",N(元データ!$F$214))</f>
        <v/>
      </c>
      <c r="G216" s="63" t="str">
        <f aca="false">IF($C216="","",IF(COUNTIF(店舗マスタ!$B$5:$B$304,$C216)&gt;0,"登録済","未登録→マスタに追加"))</f>
        <v/>
      </c>
    </row>
    <row r="217" customFormat="false" ht="15" hidden="false" customHeight="false" outlineLevel="0" collapsed="false">
      <c r="A217" s="63" t="n">
        <v>215</v>
      </c>
      <c r="B217" s="63" t="str">
        <f aca="false">IF(元データ!$A$215="","",元データ!$A$215)</f>
        <v/>
      </c>
      <c r="C217" s="63" t="str">
        <f aca="false">IF(LEFT(B217,1)="(",IFERROR(VALUE(MID(B217,2,FIND(")",B217)-2)),""),"")</f>
        <v/>
      </c>
      <c r="D217" s="64" t="str">
        <f aca="false">IF($C217="","",N(元データ!$B$215))</f>
        <v/>
      </c>
      <c r="E217" s="64" t="str">
        <f aca="false">IF($C217="","",N(元データ!$C$215))</f>
        <v/>
      </c>
      <c r="F217" s="64" t="str">
        <f aca="false">IF($C217="","",N(元データ!$F$215))</f>
        <v/>
      </c>
      <c r="G217" s="63" t="str">
        <f aca="false">IF($C217="","",IF(COUNTIF(店舗マスタ!$B$5:$B$304,$C217)&gt;0,"登録済","未登録→マスタに追加"))</f>
        <v/>
      </c>
    </row>
    <row r="218" customFormat="false" ht="15" hidden="false" customHeight="false" outlineLevel="0" collapsed="false">
      <c r="A218" s="63" t="n">
        <v>216</v>
      </c>
      <c r="B218" s="63" t="str">
        <f aca="false">IF(元データ!$A$216="","",元データ!$A$216)</f>
        <v/>
      </c>
      <c r="C218" s="63" t="str">
        <f aca="false">IF(LEFT(B218,1)="(",IFERROR(VALUE(MID(B218,2,FIND(")",B218)-2)),""),"")</f>
        <v/>
      </c>
      <c r="D218" s="64" t="str">
        <f aca="false">IF($C218="","",N(元データ!$B$216))</f>
        <v/>
      </c>
      <c r="E218" s="64" t="str">
        <f aca="false">IF($C218="","",N(元データ!$C$216))</f>
        <v/>
      </c>
      <c r="F218" s="64" t="str">
        <f aca="false">IF($C218="","",N(元データ!$F$216))</f>
        <v/>
      </c>
      <c r="G218" s="63" t="str">
        <f aca="false">IF($C218="","",IF(COUNTIF(店舗マスタ!$B$5:$B$304,$C218)&gt;0,"登録済","未登録→マスタに追加"))</f>
        <v/>
      </c>
    </row>
    <row r="219" customFormat="false" ht="15" hidden="false" customHeight="false" outlineLevel="0" collapsed="false">
      <c r="A219" s="63" t="n">
        <v>217</v>
      </c>
      <c r="B219" s="63" t="str">
        <f aca="false">IF(元データ!$A$217="","",元データ!$A$217)</f>
        <v/>
      </c>
      <c r="C219" s="63" t="str">
        <f aca="false">IF(LEFT(B219,1)="(",IFERROR(VALUE(MID(B219,2,FIND(")",B219)-2)),""),"")</f>
        <v/>
      </c>
      <c r="D219" s="64" t="str">
        <f aca="false">IF($C219="","",N(元データ!$B$217))</f>
        <v/>
      </c>
      <c r="E219" s="64" t="str">
        <f aca="false">IF($C219="","",N(元データ!$C$217))</f>
        <v/>
      </c>
      <c r="F219" s="64" t="str">
        <f aca="false">IF($C219="","",N(元データ!$F$217))</f>
        <v/>
      </c>
      <c r="G219" s="63" t="str">
        <f aca="false">IF($C219="","",IF(COUNTIF(店舗マスタ!$B$5:$B$304,$C219)&gt;0,"登録済","未登録→マスタに追加"))</f>
        <v/>
      </c>
    </row>
    <row r="220" customFormat="false" ht="15" hidden="false" customHeight="false" outlineLevel="0" collapsed="false">
      <c r="A220" s="63" t="n">
        <v>218</v>
      </c>
      <c r="B220" s="63" t="str">
        <f aca="false">IF(元データ!$A$218="","",元データ!$A$218)</f>
        <v/>
      </c>
      <c r="C220" s="63" t="str">
        <f aca="false">IF(LEFT(B220,1)="(",IFERROR(VALUE(MID(B220,2,FIND(")",B220)-2)),""),"")</f>
        <v/>
      </c>
      <c r="D220" s="64" t="str">
        <f aca="false">IF($C220="","",N(元データ!$B$218))</f>
        <v/>
      </c>
      <c r="E220" s="64" t="str">
        <f aca="false">IF($C220="","",N(元データ!$C$218))</f>
        <v/>
      </c>
      <c r="F220" s="64" t="str">
        <f aca="false">IF($C220="","",N(元データ!$F$218))</f>
        <v/>
      </c>
      <c r="G220" s="63" t="str">
        <f aca="false">IF($C220="","",IF(COUNTIF(店舗マスタ!$B$5:$B$304,$C220)&gt;0,"登録済","未登録→マスタに追加"))</f>
        <v/>
      </c>
    </row>
    <row r="221" customFormat="false" ht="15" hidden="false" customHeight="false" outlineLevel="0" collapsed="false">
      <c r="A221" s="63" t="n">
        <v>219</v>
      </c>
      <c r="B221" s="63" t="str">
        <f aca="false">IF(元データ!$A$219="","",元データ!$A$219)</f>
        <v/>
      </c>
      <c r="C221" s="63" t="str">
        <f aca="false">IF(LEFT(B221,1)="(",IFERROR(VALUE(MID(B221,2,FIND(")",B221)-2)),""),"")</f>
        <v/>
      </c>
      <c r="D221" s="64" t="str">
        <f aca="false">IF($C221="","",N(元データ!$B$219))</f>
        <v/>
      </c>
      <c r="E221" s="64" t="str">
        <f aca="false">IF($C221="","",N(元データ!$C$219))</f>
        <v/>
      </c>
      <c r="F221" s="64" t="str">
        <f aca="false">IF($C221="","",N(元データ!$F$219))</f>
        <v/>
      </c>
      <c r="G221" s="63" t="str">
        <f aca="false">IF($C221="","",IF(COUNTIF(店舗マスタ!$B$5:$B$304,$C221)&gt;0,"登録済","未登録→マスタに追加"))</f>
        <v/>
      </c>
    </row>
    <row r="222" customFormat="false" ht="15" hidden="false" customHeight="false" outlineLevel="0" collapsed="false">
      <c r="A222" s="63" t="n">
        <v>220</v>
      </c>
      <c r="B222" s="63" t="str">
        <f aca="false">IF(元データ!$A$220="","",元データ!$A$220)</f>
        <v/>
      </c>
      <c r="C222" s="63" t="str">
        <f aca="false">IF(LEFT(B222,1)="(",IFERROR(VALUE(MID(B222,2,FIND(")",B222)-2)),""),"")</f>
        <v/>
      </c>
      <c r="D222" s="64" t="str">
        <f aca="false">IF($C222="","",N(元データ!$B$220))</f>
        <v/>
      </c>
      <c r="E222" s="64" t="str">
        <f aca="false">IF($C222="","",N(元データ!$C$220))</f>
        <v/>
      </c>
      <c r="F222" s="64" t="str">
        <f aca="false">IF($C222="","",N(元データ!$F$220))</f>
        <v/>
      </c>
      <c r="G222" s="63" t="str">
        <f aca="false">IF($C222="","",IF(COUNTIF(店舗マスタ!$B$5:$B$304,$C222)&gt;0,"登録済","未登録→マスタに追加"))</f>
        <v/>
      </c>
    </row>
    <row r="223" customFormat="false" ht="15" hidden="false" customHeight="false" outlineLevel="0" collapsed="false">
      <c r="A223" s="63" t="n">
        <v>221</v>
      </c>
      <c r="B223" s="63" t="str">
        <f aca="false">IF(元データ!$A$221="","",元データ!$A$221)</f>
        <v/>
      </c>
      <c r="C223" s="63" t="str">
        <f aca="false">IF(LEFT(B223,1)="(",IFERROR(VALUE(MID(B223,2,FIND(")",B223)-2)),""),"")</f>
        <v/>
      </c>
      <c r="D223" s="64" t="str">
        <f aca="false">IF($C223="","",N(元データ!$B$221))</f>
        <v/>
      </c>
      <c r="E223" s="64" t="str">
        <f aca="false">IF($C223="","",N(元データ!$C$221))</f>
        <v/>
      </c>
      <c r="F223" s="64" t="str">
        <f aca="false">IF($C223="","",N(元データ!$F$221))</f>
        <v/>
      </c>
      <c r="G223" s="63" t="str">
        <f aca="false">IF($C223="","",IF(COUNTIF(店舗マスタ!$B$5:$B$304,$C223)&gt;0,"登録済","未登録→マスタに追加"))</f>
        <v/>
      </c>
    </row>
    <row r="224" customFormat="false" ht="15" hidden="false" customHeight="false" outlineLevel="0" collapsed="false">
      <c r="A224" s="63" t="n">
        <v>222</v>
      </c>
      <c r="B224" s="63" t="str">
        <f aca="false">IF(元データ!$A$222="","",元データ!$A$222)</f>
        <v/>
      </c>
      <c r="C224" s="63" t="str">
        <f aca="false">IF(LEFT(B224,1)="(",IFERROR(VALUE(MID(B224,2,FIND(")",B224)-2)),""),"")</f>
        <v/>
      </c>
      <c r="D224" s="64" t="str">
        <f aca="false">IF($C224="","",N(元データ!$B$222))</f>
        <v/>
      </c>
      <c r="E224" s="64" t="str">
        <f aca="false">IF($C224="","",N(元データ!$C$222))</f>
        <v/>
      </c>
      <c r="F224" s="64" t="str">
        <f aca="false">IF($C224="","",N(元データ!$F$222))</f>
        <v/>
      </c>
      <c r="G224" s="63" t="str">
        <f aca="false">IF($C224="","",IF(COUNTIF(店舗マスタ!$B$5:$B$304,$C224)&gt;0,"登録済","未登録→マスタに追加"))</f>
        <v/>
      </c>
    </row>
    <row r="225" customFormat="false" ht="15" hidden="false" customHeight="false" outlineLevel="0" collapsed="false">
      <c r="A225" s="63" t="n">
        <v>223</v>
      </c>
      <c r="B225" s="63" t="str">
        <f aca="false">IF(元データ!$A$223="","",元データ!$A$223)</f>
        <v/>
      </c>
      <c r="C225" s="63" t="str">
        <f aca="false">IF(LEFT(B225,1)="(",IFERROR(VALUE(MID(B225,2,FIND(")",B225)-2)),""),"")</f>
        <v/>
      </c>
      <c r="D225" s="64" t="str">
        <f aca="false">IF($C225="","",N(元データ!$B$223))</f>
        <v/>
      </c>
      <c r="E225" s="64" t="str">
        <f aca="false">IF($C225="","",N(元データ!$C$223))</f>
        <v/>
      </c>
      <c r="F225" s="64" t="str">
        <f aca="false">IF($C225="","",N(元データ!$F$223))</f>
        <v/>
      </c>
      <c r="G225" s="63" t="str">
        <f aca="false">IF($C225="","",IF(COUNTIF(店舗マスタ!$B$5:$B$304,$C225)&gt;0,"登録済","未登録→マスタに追加"))</f>
        <v/>
      </c>
    </row>
    <row r="226" customFormat="false" ht="15" hidden="false" customHeight="false" outlineLevel="0" collapsed="false">
      <c r="A226" s="63" t="n">
        <v>224</v>
      </c>
      <c r="B226" s="63" t="str">
        <f aca="false">IF(元データ!$A$224="","",元データ!$A$224)</f>
        <v/>
      </c>
      <c r="C226" s="63" t="str">
        <f aca="false">IF(LEFT(B226,1)="(",IFERROR(VALUE(MID(B226,2,FIND(")",B226)-2)),""),"")</f>
        <v/>
      </c>
      <c r="D226" s="64" t="str">
        <f aca="false">IF($C226="","",N(元データ!$B$224))</f>
        <v/>
      </c>
      <c r="E226" s="64" t="str">
        <f aca="false">IF($C226="","",N(元データ!$C$224))</f>
        <v/>
      </c>
      <c r="F226" s="64" t="str">
        <f aca="false">IF($C226="","",N(元データ!$F$224))</f>
        <v/>
      </c>
      <c r="G226" s="63" t="str">
        <f aca="false">IF($C226="","",IF(COUNTIF(店舗マスタ!$B$5:$B$304,$C226)&gt;0,"登録済","未登録→マスタに追加"))</f>
        <v/>
      </c>
    </row>
    <row r="227" customFormat="false" ht="15" hidden="false" customHeight="false" outlineLevel="0" collapsed="false">
      <c r="A227" s="63" t="n">
        <v>225</v>
      </c>
      <c r="B227" s="63" t="str">
        <f aca="false">IF(元データ!$A$225="","",元データ!$A$225)</f>
        <v/>
      </c>
      <c r="C227" s="63" t="str">
        <f aca="false">IF(LEFT(B227,1)="(",IFERROR(VALUE(MID(B227,2,FIND(")",B227)-2)),""),"")</f>
        <v/>
      </c>
      <c r="D227" s="64" t="str">
        <f aca="false">IF($C227="","",N(元データ!$B$225))</f>
        <v/>
      </c>
      <c r="E227" s="64" t="str">
        <f aca="false">IF($C227="","",N(元データ!$C$225))</f>
        <v/>
      </c>
      <c r="F227" s="64" t="str">
        <f aca="false">IF($C227="","",N(元データ!$F$225))</f>
        <v/>
      </c>
      <c r="G227" s="63" t="str">
        <f aca="false">IF($C227="","",IF(COUNTIF(店舗マスタ!$B$5:$B$304,$C227)&gt;0,"登録済","未登録→マスタに追加"))</f>
        <v/>
      </c>
    </row>
    <row r="228" customFormat="false" ht="15" hidden="false" customHeight="false" outlineLevel="0" collapsed="false">
      <c r="A228" s="63" t="n">
        <v>226</v>
      </c>
      <c r="B228" s="63" t="str">
        <f aca="false">IF(元データ!$A$226="","",元データ!$A$226)</f>
        <v/>
      </c>
      <c r="C228" s="63" t="str">
        <f aca="false">IF(LEFT(B228,1)="(",IFERROR(VALUE(MID(B228,2,FIND(")",B228)-2)),""),"")</f>
        <v/>
      </c>
      <c r="D228" s="64" t="str">
        <f aca="false">IF($C228="","",N(元データ!$B$226))</f>
        <v/>
      </c>
      <c r="E228" s="64" t="str">
        <f aca="false">IF($C228="","",N(元データ!$C$226))</f>
        <v/>
      </c>
      <c r="F228" s="64" t="str">
        <f aca="false">IF($C228="","",N(元データ!$F$226))</f>
        <v/>
      </c>
      <c r="G228" s="63" t="str">
        <f aca="false">IF($C228="","",IF(COUNTIF(店舗マスタ!$B$5:$B$304,$C228)&gt;0,"登録済","未登録→マスタに追加"))</f>
        <v/>
      </c>
    </row>
    <row r="229" customFormat="false" ht="15" hidden="false" customHeight="false" outlineLevel="0" collapsed="false">
      <c r="A229" s="63" t="n">
        <v>227</v>
      </c>
      <c r="B229" s="63" t="str">
        <f aca="false">IF(元データ!$A$227="","",元データ!$A$227)</f>
        <v/>
      </c>
      <c r="C229" s="63" t="str">
        <f aca="false">IF(LEFT(B229,1)="(",IFERROR(VALUE(MID(B229,2,FIND(")",B229)-2)),""),"")</f>
        <v/>
      </c>
      <c r="D229" s="64" t="str">
        <f aca="false">IF($C229="","",N(元データ!$B$227))</f>
        <v/>
      </c>
      <c r="E229" s="64" t="str">
        <f aca="false">IF($C229="","",N(元データ!$C$227))</f>
        <v/>
      </c>
      <c r="F229" s="64" t="str">
        <f aca="false">IF($C229="","",N(元データ!$F$227))</f>
        <v/>
      </c>
      <c r="G229" s="63" t="str">
        <f aca="false">IF($C229="","",IF(COUNTIF(店舗マスタ!$B$5:$B$304,$C229)&gt;0,"登録済","未登録→マスタに追加"))</f>
        <v/>
      </c>
    </row>
    <row r="230" customFormat="false" ht="15" hidden="false" customHeight="false" outlineLevel="0" collapsed="false">
      <c r="A230" s="63" t="n">
        <v>228</v>
      </c>
      <c r="B230" s="63" t="str">
        <f aca="false">IF(元データ!$A$228="","",元データ!$A$228)</f>
        <v/>
      </c>
      <c r="C230" s="63" t="str">
        <f aca="false">IF(LEFT(B230,1)="(",IFERROR(VALUE(MID(B230,2,FIND(")",B230)-2)),""),"")</f>
        <v/>
      </c>
      <c r="D230" s="64" t="str">
        <f aca="false">IF($C230="","",N(元データ!$B$228))</f>
        <v/>
      </c>
      <c r="E230" s="64" t="str">
        <f aca="false">IF($C230="","",N(元データ!$C$228))</f>
        <v/>
      </c>
      <c r="F230" s="64" t="str">
        <f aca="false">IF($C230="","",N(元データ!$F$228))</f>
        <v/>
      </c>
      <c r="G230" s="63" t="str">
        <f aca="false">IF($C230="","",IF(COUNTIF(店舗マスタ!$B$5:$B$304,$C230)&gt;0,"登録済","未登録→マスタに追加"))</f>
        <v/>
      </c>
    </row>
    <row r="231" customFormat="false" ht="15" hidden="false" customHeight="false" outlineLevel="0" collapsed="false">
      <c r="A231" s="63" t="n">
        <v>229</v>
      </c>
      <c r="B231" s="63" t="str">
        <f aca="false">IF(元データ!$A$229="","",元データ!$A$229)</f>
        <v/>
      </c>
      <c r="C231" s="63" t="str">
        <f aca="false">IF(LEFT(B231,1)="(",IFERROR(VALUE(MID(B231,2,FIND(")",B231)-2)),""),"")</f>
        <v/>
      </c>
      <c r="D231" s="64" t="str">
        <f aca="false">IF($C231="","",N(元データ!$B$229))</f>
        <v/>
      </c>
      <c r="E231" s="64" t="str">
        <f aca="false">IF($C231="","",N(元データ!$C$229))</f>
        <v/>
      </c>
      <c r="F231" s="64" t="str">
        <f aca="false">IF($C231="","",N(元データ!$F$229))</f>
        <v/>
      </c>
      <c r="G231" s="63" t="str">
        <f aca="false">IF($C231="","",IF(COUNTIF(店舗マスタ!$B$5:$B$304,$C231)&gt;0,"登録済","未登録→マスタに追加"))</f>
        <v/>
      </c>
    </row>
    <row r="232" customFormat="false" ht="15" hidden="false" customHeight="false" outlineLevel="0" collapsed="false">
      <c r="A232" s="63" t="n">
        <v>230</v>
      </c>
      <c r="B232" s="63" t="str">
        <f aca="false">IF(元データ!$A$230="","",元データ!$A$230)</f>
        <v/>
      </c>
      <c r="C232" s="63" t="str">
        <f aca="false">IF(LEFT(B232,1)="(",IFERROR(VALUE(MID(B232,2,FIND(")",B232)-2)),""),"")</f>
        <v/>
      </c>
      <c r="D232" s="64" t="str">
        <f aca="false">IF($C232="","",N(元データ!$B$230))</f>
        <v/>
      </c>
      <c r="E232" s="64" t="str">
        <f aca="false">IF($C232="","",N(元データ!$C$230))</f>
        <v/>
      </c>
      <c r="F232" s="64" t="str">
        <f aca="false">IF($C232="","",N(元データ!$F$230))</f>
        <v/>
      </c>
      <c r="G232" s="63" t="str">
        <f aca="false">IF($C232="","",IF(COUNTIF(店舗マスタ!$B$5:$B$304,$C232)&gt;0,"登録済","未登録→マスタに追加"))</f>
        <v/>
      </c>
    </row>
    <row r="233" customFormat="false" ht="15" hidden="false" customHeight="false" outlineLevel="0" collapsed="false">
      <c r="A233" s="63" t="n">
        <v>231</v>
      </c>
      <c r="B233" s="63" t="str">
        <f aca="false">IF(元データ!$A$231="","",元データ!$A$231)</f>
        <v/>
      </c>
      <c r="C233" s="63" t="str">
        <f aca="false">IF(LEFT(B233,1)="(",IFERROR(VALUE(MID(B233,2,FIND(")",B233)-2)),""),"")</f>
        <v/>
      </c>
      <c r="D233" s="64" t="str">
        <f aca="false">IF($C233="","",N(元データ!$B$231))</f>
        <v/>
      </c>
      <c r="E233" s="64" t="str">
        <f aca="false">IF($C233="","",N(元データ!$C$231))</f>
        <v/>
      </c>
      <c r="F233" s="64" t="str">
        <f aca="false">IF($C233="","",N(元データ!$F$231))</f>
        <v/>
      </c>
      <c r="G233" s="63" t="str">
        <f aca="false">IF($C233="","",IF(COUNTIF(店舗マスタ!$B$5:$B$304,$C233)&gt;0,"登録済","未登録→マスタに追加"))</f>
        <v/>
      </c>
    </row>
    <row r="234" customFormat="false" ht="15" hidden="false" customHeight="false" outlineLevel="0" collapsed="false">
      <c r="A234" s="63" t="n">
        <v>232</v>
      </c>
      <c r="B234" s="63" t="str">
        <f aca="false">IF(元データ!$A$232="","",元データ!$A$232)</f>
        <v/>
      </c>
      <c r="C234" s="63" t="str">
        <f aca="false">IF(LEFT(B234,1)="(",IFERROR(VALUE(MID(B234,2,FIND(")",B234)-2)),""),"")</f>
        <v/>
      </c>
      <c r="D234" s="64" t="str">
        <f aca="false">IF($C234="","",N(元データ!$B$232))</f>
        <v/>
      </c>
      <c r="E234" s="64" t="str">
        <f aca="false">IF($C234="","",N(元データ!$C$232))</f>
        <v/>
      </c>
      <c r="F234" s="64" t="str">
        <f aca="false">IF($C234="","",N(元データ!$F$232))</f>
        <v/>
      </c>
      <c r="G234" s="63" t="str">
        <f aca="false">IF($C234="","",IF(COUNTIF(店舗マスタ!$B$5:$B$304,$C234)&gt;0,"登録済","未登録→マスタに追加"))</f>
        <v/>
      </c>
    </row>
    <row r="235" customFormat="false" ht="15" hidden="false" customHeight="false" outlineLevel="0" collapsed="false">
      <c r="A235" s="63" t="n">
        <v>233</v>
      </c>
      <c r="B235" s="63" t="str">
        <f aca="false">IF(元データ!$A$233="","",元データ!$A$233)</f>
        <v/>
      </c>
      <c r="C235" s="63" t="str">
        <f aca="false">IF(LEFT(B235,1)="(",IFERROR(VALUE(MID(B235,2,FIND(")",B235)-2)),""),"")</f>
        <v/>
      </c>
      <c r="D235" s="64" t="str">
        <f aca="false">IF($C235="","",N(元データ!$B$233))</f>
        <v/>
      </c>
      <c r="E235" s="64" t="str">
        <f aca="false">IF($C235="","",N(元データ!$C$233))</f>
        <v/>
      </c>
      <c r="F235" s="64" t="str">
        <f aca="false">IF($C235="","",N(元データ!$F$233))</f>
        <v/>
      </c>
      <c r="G235" s="63" t="str">
        <f aca="false">IF($C235="","",IF(COUNTIF(店舗マスタ!$B$5:$B$304,$C235)&gt;0,"登録済","未登録→マスタに追加"))</f>
        <v/>
      </c>
    </row>
    <row r="236" customFormat="false" ht="15" hidden="false" customHeight="false" outlineLevel="0" collapsed="false">
      <c r="A236" s="63" t="n">
        <v>234</v>
      </c>
      <c r="B236" s="63" t="str">
        <f aca="false">IF(元データ!$A$234="","",元データ!$A$234)</f>
        <v/>
      </c>
      <c r="C236" s="63" t="str">
        <f aca="false">IF(LEFT(B236,1)="(",IFERROR(VALUE(MID(B236,2,FIND(")",B236)-2)),""),"")</f>
        <v/>
      </c>
      <c r="D236" s="64" t="str">
        <f aca="false">IF($C236="","",N(元データ!$B$234))</f>
        <v/>
      </c>
      <c r="E236" s="64" t="str">
        <f aca="false">IF($C236="","",N(元データ!$C$234))</f>
        <v/>
      </c>
      <c r="F236" s="64" t="str">
        <f aca="false">IF($C236="","",N(元データ!$F$234))</f>
        <v/>
      </c>
      <c r="G236" s="63" t="str">
        <f aca="false">IF($C236="","",IF(COUNTIF(店舗マスタ!$B$5:$B$304,$C236)&gt;0,"登録済","未登録→マスタに追加"))</f>
        <v/>
      </c>
    </row>
    <row r="237" customFormat="false" ht="15" hidden="false" customHeight="false" outlineLevel="0" collapsed="false">
      <c r="A237" s="63" t="n">
        <v>235</v>
      </c>
      <c r="B237" s="63" t="str">
        <f aca="false">IF(元データ!$A$235="","",元データ!$A$235)</f>
        <v/>
      </c>
      <c r="C237" s="63" t="str">
        <f aca="false">IF(LEFT(B237,1)="(",IFERROR(VALUE(MID(B237,2,FIND(")",B237)-2)),""),"")</f>
        <v/>
      </c>
      <c r="D237" s="64" t="str">
        <f aca="false">IF($C237="","",N(元データ!$B$235))</f>
        <v/>
      </c>
      <c r="E237" s="64" t="str">
        <f aca="false">IF($C237="","",N(元データ!$C$235))</f>
        <v/>
      </c>
      <c r="F237" s="64" t="str">
        <f aca="false">IF($C237="","",N(元データ!$F$235))</f>
        <v/>
      </c>
      <c r="G237" s="63" t="str">
        <f aca="false">IF($C237="","",IF(COUNTIF(店舗マスタ!$B$5:$B$304,$C237)&gt;0,"登録済","未登録→マスタに追加"))</f>
        <v/>
      </c>
    </row>
    <row r="238" customFormat="false" ht="15" hidden="false" customHeight="false" outlineLevel="0" collapsed="false">
      <c r="A238" s="63" t="n">
        <v>236</v>
      </c>
      <c r="B238" s="63" t="str">
        <f aca="false">IF(元データ!$A$236="","",元データ!$A$236)</f>
        <v/>
      </c>
      <c r="C238" s="63" t="str">
        <f aca="false">IF(LEFT(B238,1)="(",IFERROR(VALUE(MID(B238,2,FIND(")",B238)-2)),""),"")</f>
        <v/>
      </c>
      <c r="D238" s="64" t="str">
        <f aca="false">IF($C238="","",N(元データ!$B$236))</f>
        <v/>
      </c>
      <c r="E238" s="64" t="str">
        <f aca="false">IF($C238="","",N(元データ!$C$236))</f>
        <v/>
      </c>
      <c r="F238" s="64" t="str">
        <f aca="false">IF($C238="","",N(元データ!$F$236))</f>
        <v/>
      </c>
      <c r="G238" s="63" t="str">
        <f aca="false">IF($C238="","",IF(COUNTIF(店舗マスタ!$B$5:$B$304,$C238)&gt;0,"登録済","未登録→マスタに追加"))</f>
        <v/>
      </c>
    </row>
    <row r="239" customFormat="false" ht="15" hidden="false" customHeight="false" outlineLevel="0" collapsed="false">
      <c r="A239" s="63" t="n">
        <v>237</v>
      </c>
      <c r="B239" s="63" t="str">
        <f aca="false">IF(元データ!$A$237="","",元データ!$A$237)</f>
        <v/>
      </c>
      <c r="C239" s="63" t="str">
        <f aca="false">IF(LEFT(B239,1)="(",IFERROR(VALUE(MID(B239,2,FIND(")",B239)-2)),""),"")</f>
        <v/>
      </c>
      <c r="D239" s="64" t="str">
        <f aca="false">IF($C239="","",N(元データ!$B$237))</f>
        <v/>
      </c>
      <c r="E239" s="64" t="str">
        <f aca="false">IF($C239="","",N(元データ!$C$237))</f>
        <v/>
      </c>
      <c r="F239" s="64" t="str">
        <f aca="false">IF($C239="","",N(元データ!$F$237))</f>
        <v/>
      </c>
      <c r="G239" s="63" t="str">
        <f aca="false">IF($C239="","",IF(COUNTIF(店舗マスタ!$B$5:$B$304,$C239)&gt;0,"登録済","未登録→マスタに追加"))</f>
        <v/>
      </c>
    </row>
    <row r="240" customFormat="false" ht="15" hidden="false" customHeight="false" outlineLevel="0" collapsed="false">
      <c r="A240" s="63" t="n">
        <v>238</v>
      </c>
      <c r="B240" s="63" t="str">
        <f aca="false">IF(元データ!$A$238="","",元データ!$A$238)</f>
        <v/>
      </c>
      <c r="C240" s="63" t="str">
        <f aca="false">IF(LEFT(B240,1)="(",IFERROR(VALUE(MID(B240,2,FIND(")",B240)-2)),""),"")</f>
        <v/>
      </c>
      <c r="D240" s="64" t="str">
        <f aca="false">IF($C240="","",N(元データ!$B$238))</f>
        <v/>
      </c>
      <c r="E240" s="64" t="str">
        <f aca="false">IF($C240="","",N(元データ!$C$238))</f>
        <v/>
      </c>
      <c r="F240" s="64" t="str">
        <f aca="false">IF($C240="","",N(元データ!$F$238))</f>
        <v/>
      </c>
      <c r="G240" s="63" t="str">
        <f aca="false">IF($C240="","",IF(COUNTIF(店舗マスタ!$B$5:$B$304,$C240)&gt;0,"登録済","未登録→マスタに追加"))</f>
        <v/>
      </c>
    </row>
    <row r="241" customFormat="false" ht="15" hidden="false" customHeight="false" outlineLevel="0" collapsed="false">
      <c r="A241" s="63" t="n">
        <v>239</v>
      </c>
      <c r="B241" s="63" t="str">
        <f aca="false">IF(元データ!$A$239="","",元データ!$A$239)</f>
        <v/>
      </c>
      <c r="C241" s="63" t="str">
        <f aca="false">IF(LEFT(B241,1)="(",IFERROR(VALUE(MID(B241,2,FIND(")",B241)-2)),""),"")</f>
        <v/>
      </c>
      <c r="D241" s="64" t="str">
        <f aca="false">IF($C241="","",N(元データ!$B$239))</f>
        <v/>
      </c>
      <c r="E241" s="64" t="str">
        <f aca="false">IF($C241="","",N(元データ!$C$239))</f>
        <v/>
      </c>
      <c r="F241" s="64" t="str">
        <f aca="false">IF($C241="","",N(元データ!$F$239))</f>
        <v/>
      </c>
      <c r="G241" s="63" t="str">
        <f aca="false">IF($C241="","",IF(COUNTIF(店舗マスタ!$B$5:$B$304,$C241)&gt;0,"登録済","未登録→マスタに追加"))</f>
        <v/>
      </c>
    </row>
    <row r="242" customFormat="false" ht="15" hidden="false" customHeight="false" outlineLevel="0" collapsed="false">
      <c r="A242" s="63" t="n">
        <v>240</v>
      </c>
      <c r="B242" s="63" t="str">
        <f aca="false">IF(元データ!$A$240="","",元データ!$A$240)</f>
        <v/>
      </c>
      <c r="C242" s="63" t="str">
        <f aca="false">IF(LEFT(B242,1)="(",IFERROR(VALUE(MID(B242,2,FIND(")",B242)-2)),""),"")</f>
        <v/>
      </c>
      <c r="D242" s="64" t="str">
        <f aca="false">IF($C242="","",N(元データ!$B$240))</f>
        <v/>
      </c>
      <c r="E242" s="64" t="str">
        <f aca="false">IF($C242="","",N(元データ!$C$240))</f>
        <v/>
      </c>
      <c r="F242" s="64" t="str">
        <f aca="false">IF($C242="","",N(元データ!$F$240))</f>
        <v/>
      </c>
      <c r="G242" s="63" t="str">
        <f aca="false">IF($C242="","",IF(COUNTIF(店舗マスタ!$B$5:$B$304,$C242)&gt;0,"登録済","未登録→マスタに追加"))</f>
        <v/>
      </c>
    </row>
    <row r="243" customFormat="false" ht="15" hidden="false" customHeight="false" outlineLevel="0" collapsed="false">
      <c r="A243" s="63" t="n">
        <v>241</v>
      </c>
      <c r="B243" s="63" t="str">
        <f aca="false">IF(元データ!$A$241="","",元データ!$A$241)</f>
        <v/>
      </c>
      <c r="C243" s="63" t="str">
        <f aca="false">IF(LEFT(B243,1)="(",IFERROR(VALUE(MID(B243,2,FIND(")",B243)-2)),""),"")</f>
        <v/>
      </c>
      <c r="D243" s="64" t="str">
        <f aca="false">IF($C243="","",N(元データ!$B$241))</f>
        <v/>
      </c>
      <c r="E243" s="64" t="str">
        <f aca="false">IF($C243="","",N(元データ!$C$241))</f>
        <v/>
      </c>
      <c r="F243" s="64" t="str">
        <f aca="false">IF($C243="","",N(元データ!$F$241))</f>
        <v/>
      </c>
      <c r="G243" s="63" t="str">
        <f aca="false">IF($C243="","",IF(COUNTIF(店舗マスタ!$B$5:$B$304,$C243)&gt;0,"登録済","未登録→マスタに追加"))</f>
        <v/>
      </c>
    </row>
    <row r="244" customFormat="false" ht="15" hidden="false" customHeight="false" outlineLevel="0" collapsed="false">
      <c r="A244" s="63" t="n">
        <v>242</v>
      </c>
      <c r="B244" s="63" t="str">
        <f aca="false">IF(元データ!$A$242="","",元データ!$A$242)</f>
        <v/>
      </c>
      <c r="C244" s="63" t="str">
        <f aca="false">IF(LEFT(B244,1)="(",IFERROR(VALUE(MID(B244,2,FIND(")",B244)-2)),""),"")</f>
        <v/>
      </c>
      <c r="D244" s="64" t="str">
        <f aca="false">IF($C244="","",N(元データ!$B$242))</f>
        <v/>
      </c>
      <c r="E244" s="64" t="str">
        <f aca="false">IF($C244="","",N(元データ!$C$242))</f>
        <v/>
      </c>
      <c r="F244" s="64" t="str">
        <f aca="false">IF($C244="","",N(元データ!$F$242))</f>
        <v/>
      </c>
      <c r="G244" s="63" t="str">
        <f aca="false">IF($C244="","",IF(COUNTIF(店舗マスタ!$B$5:$B$304,$C244)&gt;0,"登録済","未登録→マスタに追加"))</f>
        <v/>
      </c>
    </row>
    <row r="245" customFormat="false" ht="15" hidden="false" customHeight="false" outlineLevel="0" collapsed="false">
      <c r="A245" s="63" t="n">
        <v>243</v>
      </c>
      <c r="B245" s="63" t="str">
        <f aca="false">IF(元データ!$A$243="","",元データ!$A$243)</f>
        <v/>
      </c>
      <c r="C245" s="63" t="str">
        <f aca="false">IF(LEFT(B245,1)="(",IFERROR(VALUE(MID(B245,2,FIND(")",B245)-2)),""),"")</f>
        <v/>
      </c>
      <c r="D245" s="64" t="str">
        <f aca="false">IF($C245="","",N(元データ!$B$243))</f>
        <v/>
      </c>
      <c r="E245" s="64" t="str">
        <f aca="false">IF($C245="","",N(元データ!$C$243))</f>
        <v/>
      </c>
      <c r="F245" s="64" t="str">
        <f aca="false">IF($C245="","",N(元データ!$F$243))</f>
        <v/>
      </c>
      <c r="G245" s="63" t="str">
        <f aca="false">IF($C245="","",IF(COUNTIF(店舗マスタ!$B$5:$B$304,$C245)&gt;0,"登録済","未登録→マスタに追加"))</f>
        <v/>
      </c>
    </row>
    <row r="246" customFormat="false" ht="15" hidden="false" customHeight="false" outlineLevel="0" collapsed="false">
      <c r="A246" s="63" t="n">
        <v>244</v>
      </c>
      <c r="B246" s="63" t="str">
        <f aca="false">IF(元データ!$A$244="","",元データ!$A$244)</f>
        <v/>
      </c>
      <c r="C246" s="63" t="str">
        <f aca="false">IF(LEFT(B246,1)="(",IFERROR(VALUE(MID(B246,2,FIND(")",B246)-2)),""),"")</f>
        <v/>
      </c>
      <c r="D246" s="64" t="str">
        <f aca="false">IF($C246="","",N(元データ!$B$244))</f>
        <v/>
      </c>
      <c r="E246" s="64" t="str">
        <f aca="false">IF($C246="","",N(元データ!$C$244))</f>
        <v/>
      </c>
      <c r="F246" s="64" t="str">
        <f aca="false">IF($C246="","",N(元データ!$F$244))</f>
        <v/>
      </c>
      <c r="G246" s="63" t="str">
        <f aca="false">IF($C246="","",IF(COUNTIF(店舗マスタ!$B$5:$B$304,$C246)&gt;0,"登録済","未登録→マスタに追加"))</f>
        <v/>
      </c>
    </row>
    <row r="247" customFormat="false" ht="15" hidden="false" customHeight="false" outlineLevel="0" collapsed="false">
      <c r="A247" s="63" t="n">
        <v>245</v>
      </c>
      <c r="B247" s="63" t="str">
        <f aca="false">IF(元データ!$A$245="","",元データ!$A$245)</f>
        <v/>
      </c>
      <c r="C247" s="63" t="str">
        <f aca="false">IF(LEFT(B247,1)="(",IFERROR(VALUE(MID(B247,2,FIND(")",B247)-2)),""),"")</f>
        <v/>
      </c>
      <c r="D247" s="64" t="str">
        <f aca="false">IF($C247="","",N(元データ!$B$245))</f>
        <v/>
      </c>
      <c r="E247" s="64" t="str">
        <f aca="false">IF($C247="","",N(元データ!$C$245))</f>
        <v/>
      </c>
      <c r="F247" s="64" t="str">
        <f aca="false">IF($C247="","",N(元データ!$F$245))</f>
        <v/>
      </c>
      <c r="G247" s="63" t="str">
        <f aca="false">IF($C247="","",IF(COUNTIF(店舗マスタ!$B$5:$B$304,$C247)&gt;0,"登録済","未登録→マスタに追加"))</f>
        <v/>
      </c>
    </row>
    <row r="248" customFormat="false" ht="15" hidden="false" customHeight="false" outlineLevel="0" collapsed="false">
      <c r="A248" s="63" t="n">
        <v>246</v>
      </c>
      <c r="B248" s="63" t="str">
        <f aca="false">IF(元データ!$A$246="","",元データ!$A$246)</f>
        <v/>
      </c>
      <c r="C248" s="63" t="str">
        <f aca="false">IF(LEFT(B248,1)="(",IFERROR(VALUE(MID(B248,2,FIND(")",B248)-2)),""),"")</f>
        <v/>
      </c>
      <c r="D248" s="64" t="str">
        <f aca="false">IF($C248="","",N(元データ!$B$246))</f>
        <v/>
      </c>
      <c r="E248" s="64" t="str">
        <f aca="false">IF($C248="","",N(元データ!$C$246))</f>
        <v/>
      </c>
      <c r="F248" s="64" t="str">
        <f aca="false">IF($C248="","",N(元データ!$F$246))</f>
        <v/>
      </c>
      <c r="G248" s="63" t="str">
        <f aca="false">IF($C248="","",IF(COUNTIF(店舗マスタ!$B$5:$B$304,$C248)&gt;0,"登録済","未登録→マスタに追加"))</f>
        <v/>
      </c>
    </row>
    <row r="249" customFormat="false" ht="15" hidden="false" customHeight="false" outlineLevel="0" collapsed="false">
      <c r="A249" s="63" t="n">
        <v>247</v>
      </c>
      <c r="B249" s="63" t="str">
        <f aca="false">IF(元データ!$A$247="","",元データ!$A$247)</f>
        <v/>
      </c>
      <c r="C249" s="63" t="str">
        <f aca="false">IF(LEFT(B249,1)="(",IFERROR(VALUE(MID(B249,2,FIND(")",B249)-2)),""),"")</f>
        <v/>
      </c>
      <c r="D249" s="64" t="str">
        <f aca="false">IF($C249="","",N(元データ!$B$247))</f>
        <v/>
      </c>
      <c r="E249" s="64" t="str">
        <f aca="false">IF($C249="","",N(元データ!$C$247))</f>
        <v/>
      </c>
      <c r="F249" s="64" t="str">
        <f aca="false">IF($C249="","",N(元データ!$F$247))</f>
        <v/>
      </c>
      <c r="G249" s="63" t="str">
        <f aca="false">IF($C249="","",IF(COUNTIF(店舗マスタ!$B$5:$B$304,$C249)&gt;0,"登録済","未登録→マスタに追加"))</f>
        <v/>
      </c>
    </row>
    <row r="250" customFormat="false" ht="15" hidden="false" customHeight="false" outlineLevel="0" collapsed="false">
      <c r="A250" s="63" t="n">
        <v>248</v>
      </c>
      <c r="B250" s="63" t="str">
        <f aca="false">IF(元データ!$A$248="","",元データ!$A$248)</f>
        <v/>
      </c>
      <c r="C250" s="63" t="str">
        <f aca="false">IF(LEFT(B250,1)="(",IFERROR(VALUE(MID(B250,2,FIND(")",B250)-2)),""),"")</f>
        <v/>
      </c>
      <c r="D250" s="64" t="str">
        <f aca="false">IF($C250="","",N(元データ!$B$248))</f>
        <v/>
      </c>
      <c r="E250" s="64" t="str">
        <f aca="false">IF($C250="","",N(元データ!$C$248))</f>
        <v/>
      </c>
      <c r="F250" s="64" t="str">
        <f aca="false">IF($C250="","",N(元データ!$F$248))</f>
        <v/>
      </c>
      <c r="G250" s="63" t="str">
        <f aca="false">IF($C250="","",IF(COUNTIF(店舗マスタ!$B$5:$B$304,$C250)&gt;0,"登録済","未登録→マスタに追加"))</f>
        <v/>
      </c>
    </row>
    <row r="251" customFormat="false" ht="15" hidden="false" customHeight="false" outlineLevel="0" collapsed="false">
      <c r="A251" s="63" t="n">
        <v>249</v>
      </c>
      <c r="B251" s="63" t="str">
        <f aca="false">IF(元データ!$A$249="","",元データ!$A$249)</f>
        <v/>
      </c>
      <c r="C251" s="63" t="str">
        <f aca="false">IF(LEFT(B251,1)="(",IFERROR(VALUE(MID(B251,2,FIND(")",B251)-2)),""),"")</f>
        <v/>
      </c>
      <c r="D251" s="64" t="str">
        <f aca="false">IF($C251="","",N(元データ!$B$249))</f>
        <v/>
      </c>
      <c r="E251" s="64" t="str">
        <f aca="false">IF($C251="","",N(元データ!$C$249))</f>
        <v/>
      </c>
      <c r="F251" s="64" t="str">
        <f aca="false">IF($C251="","",N(元データ!$F$249))</f>
        <v/>
      </c>
      <c r="G251" s="63" t="str">
        <f aca="false">IF($C251="","",IF(COUNTIF(店舗マスタ!$B$5:$B$304,$C251)&gt;0,"登録済","未登録→マスタに追加"))</f>
        <v/>
      </c>
    </row>
    <row r="252" customFormat="false" ht="15" hidden="false" customHeight="false" outlineLevel="0" collapsed="false">
      <c r="A252" s="63" t="n">
        <v>250</v>
      </c>
      <c r="B252" s="63" t="str">
        <f aca="false">IF(元データ!$A$250="","",元データ!$A$250)</f>
        <v/>
      </c>
      <c r="C252" s="63" t="str">
        <f aca="false">IF(LEFT(B252,1)="(",IFERROR(VALUE(MID(B252,2,FIND(")",B252)-2)),""),"")</f>
        <v/>
      </c>
      <c r="D252" s="64" t="str">
        <f aca="false">IF($C252="","",N(元データ!$B$250))</f>
        <v/>
      </c>
      <c r="E252" s="64" t="str">
        <f aca="false">IF($C252="","",N(元データ!$C$250))</f>
        <v/>
      </c>
      <c r="F252" s="64" t="str">
        <f aca="false">IF($C252="","",N(元データ!$F$250))</f>
        <v/>
      </c>
      <c r="G252" s="63" t="str">
        <f aca="false">IF($C252="","",IF(COUNTIF(店舗マスタ!$B$5:$B$304,$C252)&gt;0,"登録済","未登録→マスタに追加"))</f>
        <v/>
      </c>
    </row>
    <row r="253" customFormat="false" ht="15" hidden="false" customHeight="false" outlineLevel="0" collapsed="false">
      <c r="A253" s="63" t="n">
        <v>251</v>
      </c>
      <c r="B253" s="63" t="str">
        <f aca="false">IF(元データ!$A$251="","",元データ!$A$251)</f>
        <v/>
      </c>
      <c r="C253" s="63" t="str">
        <f aca="false">IF(LEFT(B253,1)="(",IFERROR(VALUE(MID(B253,2,FIND(")",B253)-2)),""),"")</f>
        <v/>
      </c>
      <c r="D253" s="64" t="str">
        <f aca="false">IF($C253="","",N(元データ!$B$251))</f>
        <v/>
      </c>
      <c r="E253" s="64" t="str">
        <f aca="false">IF($C253="","",N(元データ!$C$251))</f>
        <v/>
      </c>
      <c r="F253" s="64" t="str">
        <f aca="false">IF($C253="","",N(元データ!$F$251))</f>
        <v/>
      </c>
      <c r="G253" s="63" t="str">
        <f aca="false">IF($C253="","",IF(COUNTIF(店舗マスタ!$B$5:$B$304,$C253)&gt;0,"登録済","未登録→マスタに追加"))</f>
        <v/>
      </c>
    </row>
    <row r="254" customFormat="false" ht="15" hidden="false" customHeight="false" outlineLevel="0" collapsed="false">
      <c r="A254" s="63" t="n">
        <v>252</v>
      </c>
      <c r="B254" s="63" t="str">
        <f aca="false">IF(元データ!$A$252="","",元データ!$A$252)</f>
        <v/>
      </c>
      <c r="C254" s="63" t="str">
        <f aca="false">IF(LEFT(B254,1)="(",IFERROR(VALUE(MID(B254,2,FIND(")",B254)-2)),""),"")</f>
        <v/>
      </c>
      <c r="D254" s="64" t="str">
        <f aca="false">IF($C254="","",N(元データ!$B$252))</f>
        <v/>
      </c>
      <c r="E254" s="64" t="str">
        <f aca="false">IF($C254="","",N(元データ!$C$252))</f>
        <v/>
      </c>
      <c r="F254" s="64" t="str">
        <f aca="false">IF($C254="","",N(元データ!$F$252))</f>
        <v/>
      </c>
      <c r="G254" s="63" t="str">
        <f aca="false">IF($C254="","",IF(COUNTIF(店舗マスタ!$B$5:$B$304,$C254)&gt;0,"登録済","未登録→マスタに追加"))</f>
        <v/>
      </c>
    </row>
    <row r="255" customFormat="false" ht="15" hidden="false" customHeight="false" outlineLevel="0" collapsed="false">
      <c r="A255" s="63" t="n">
        <v>253</v>
      </c>
      <c r="B255" s="63" t="str">
        <f aca="false">IF(元データ!$A$253="","",元データ!$A$253)</f>
        <v/>
      </c>
      <c r="C255" s="63" t="str">
        <f aca="false">IF(LEFT(B255,1)="(",IFERROR(VALUE(MID(B255,2,FIND(")",B255)-2)),""),"")</f>
        <v/>
      </c>
      <c r="D255" s="64" t="str">
        <f aca="false">IF($C255="","",N(元データ!$B$253))</f>
        <v/>
      </c>
      <c r="E255" s="64" t="str">
        <f aca="false">IF($C255="","",N(元データ!$C$253))</f>
        <v/>
      </c>
      <c r="F255" s="64" t="str">
        <f aca="false">IF($C255="","",N(元データ!$F$253))</f>
        <v/>
      </c>
      <c r="G255" s="63" t="str">
        <f aca="false">IF($C255="","",IF(COUNTIF(店舗マスタ!$B$5:$B$304,$C255)&gt;0,"登録済","未登録→マスタに追加"))</f>
        <v/>
      </c>
    </row>
    <row r="256" customFormat="false" ht="15" hidden="false" customHeight="false" outlineLevel="0" collapsed="false">
      <c r="A256" s="63" t="n">
        <v>254</v>
      </c>
      <c r="B256" s="63" t="str">
        <f aca="false">IF(元データ!$A$254="","",元データ!$A$254)</f>
        <v/>
      </c>
      <c r="C256" s="63" t="str">
        <f aca="false">IF(LEFT(B256,1)="(",IFERROR(VALUE(MID(B256,2,FIND(")",B256)-2)),""),"")</f>
        <v/>
      </c>
      <c r="D256" s="64" t="str">
        <f aca="false">IF($C256="","",N(元データ!$B$254))</f>
        <v/>
      </c>
      <c r="E256" s="64" t="str">
        <f aca="false">IF($C256="","",N(元データ!$C$254))</f>
        <v/>
      </c>
      <c r="F256" s="64" t="str">
        <f aca="false">IF($C256="","",N(元データ!$F$254))</f>
        <v/>
      </c>
      <c r="G256" s="63" t="str">
        <f aca="false">IF($C256="","",IF(COUNTIF(店舗マスタ!$B$5:$B$304,$C256)&gt;0,"登録済","未登録→マスタに追加"))</f>
        <v/>
      </c>
    </row>
    <row r="257" customFormat="false" ht="15" hidden="false" customHeight="false" outlineLevel="0" collapsed="false">
      <c r="A257" s="63" t="n">
        <v>255</v>
      </c>
      <c r="B257" s="63" t="str">
        <f aca="false">IF(元データ!$A$255="","",元データ!$A$255)</f>
        <v/>
      </c>
      <c r="C257" s="63" t="str">
        <f aca="false">IF(LEFT(B257,1)="(",IFERROR(VALUE(MID(B257,2,FIND(")",B257)-2)),""),"")</f>
        <v/>
      </c>
      <c r="D257" s="64" t="str">
        <f aca="false">IF($C257="","",N(元データ!$B$255))</f>
        <v/>
      </c>
      <c r="E257" s="64" t="str">
        <f aca="false">IF($C257="","",N(元データ!$C$255))</f>
        <v/>
      </c>
      <c r="F257" s="64" t="str">
        <f aca="false">IF($C257="","",N(元データ!$F$255))</f>
        <v/>
      </c>
      <c r="G257" s="63" t="str">
        <f aca="false">IF($C257="","",IF(COUNTIF(店舗マスタ!$B$5:$B$304,$C257)&gt;0,"登録済","未登録→マスタに追加"))</f>
        <v/>
      </c>
    </row>
    <row r="258" customFormat="false" ht="15" hidden="false" customHeight="false" outlineLevel="0" collapsed="false">
      <c r="A258" s="63" t="n">
        <v>256</v>
      </c>
      <c r="B258" s="63" t="str">
        <f aca="false">IF(元データ!$A$256="","",元データ!$A$256)</f>
        <v/>
      </c>
      <c r="C258" s="63" t="str">
        <f aca="false">IF(LEFT(B258,1)="(",IFERROR(VALUE(MID(B258,2,FIND(")",B258)-2)),""),"")</f>
        <v/>
      </c>
      <c r="D258" s="64" t="str">
        <f aca="false">IF($C258="","",N(元データ!$B$256))</f>
        <v/>
      </c>
      <c r="E258" s="64" t="str">
        <f aca="false">IF($C258="","",N(元データ!$C$256))</f>
        <v/>
      </c>
      <c r="F258" s="64" t="str">
        <f aca="false">IF($C258="","",N(元データ!$F$256))</f>
        <v/>
      </c>
      <c r="G258" s="63" t="str">
        <f aca="false">IF($C258="","",IF(COUNTIF(店舗マスタ!$B$5:$B$304,$C258)&gt;0,"登録済","未登録→マスタに追加"))</f>
        <v/>
      </c>
    </row>
    <row r="259" customFormat="false" ht="15" hidden="false" customHeight="false" outlineLevel="0" collapsed="false">
      <c r="A259" s="63" t="n">
        <v>257</v>
      </c>
      <c r="B259" s="63" t="str">
        <f aca="false">IF(元データ!$A$257="","",元データ!$A$257)</f>
        <v/>
      </c>
      <c r="C259" s="63" t="str">
        <f aca="false">IF(LEFT(B259,1)="(",IFERROR(VALUE(MID(B259,2,FIND(")",B259)-2)),""),"")</f>
        <v/>
      </c>
      <c r="D259" s="64" t="str">
        <f aca="false">IF($C259="","",N(元データ!$B$257))</f>
        <v/>
      </c>
      <c r="E259" s="64" t="str">
        <f aca="false">IF($C259="","",N(元データ!$C$257))</f>
        <v/>
      </c>
      <c r="F259" s="64" t="str">
        <f aca="false">IF($C259="","",N(元データ!$F$257))</f>
        <v/>
      </c>
      <c r="G259" s="63" t="str">
        <f aca="false">IF($C259="","",IF(COUNTIF(店舗マスタ!$B$5:$B$304,$C259)&gt;0,"登録済","未登録→マスタに追加"))</f>
        <v/>
      </c>
    </row>
    <row r="260" customFormat="false" ht="15" hidden="false" customHeight="false" outlineLevel="0" collapsed="false">
      <c r="A260" s="63" t="n">
        <v>258</v>
      </c>
      <c r="B260" s="63" t="str">
        <f aca="false">IF(元データ!$A$258="","",元データ!$A$258)</f>
        <v/>
      </c>
      <c r="C260" s="63" t="str">
        <f aca="false">IF(LEFT(B260,1)="(",IFERROR(VALUE(MID(B260,2,FIND(")",B260)-2)),""),"")</f>
        <v/>
      </c>
      <c r="D260" s="64" t="str">
        <f aca="false">IF($C260="","",N(元データ!$B$258))</f>
        <v/>
      </c>
      <c r="E260" s="64" t="str">
        <f aca="false">IF($C260="","",N(元データ!$C$258))</f>
        <v/>
      </c>
      <c r="F260" s="64" t="str">
        <f aca="false">IF($C260="","",N(元データ!$F$258))</f>
        <v/>
      </c>
      <c r="G260" s="63" t="str">
        <f aca="false">IF($C260="","",IF(COUNTIF(店舗マスタ!$B$5:$B$304,$C260)&gt;0,"登録済","未登録→マスタに追加"))</f>
        <v/>
      </c>
    </row>
    <row r="261" customFormat="false" ht="15" hidden="false" customHeight="false" outlineLevel="0" collapsed="false">
      <c r="A261" s="63" t="n">
        <v>259</v>
      </c>
      <c r="B261" s="63" t="str">
        <f aca="false">IF(元データ!$A$259="","",元データ!$A$259)</f>
        <v/>
      </c>
      <c r="C261" s="63" t="str">
        <f aca="false">IF(LEFT(B261,1)="(",IFERROR(VALUE(MID(B261,2,FIND(")",B261)-2)),""),"")</f>
        <v/>
      </c>
      <c r="D261" s="64" t="str">
        <f aca="false">IF($C261="","",N(元データ!$B$259))</f>
        <v/>
      </c>
      <c r="E261" s="64" t="str">
        <f aca="false">IF($C261="","",N(元データ!$C$259))</f>
        <v/>
      </c>
      <c r="F261" s="64" t="str">
        <f aca="false">IF($C261="","",N(元データ!$F$259))</f>
        <v/>
      </c>
      <c r="G261" s="63" t="str">
        <f aca="false">IF($C261="","",IF(COUNTIF(店舗マスタ!$B$5:$B$304,$C261)&gt;0,"登録済","未登録→マスタに追加"))</f>
        <v/>
      </c>
    </row>
    <row r="262" customFormat="false" ht="15" hidden="false" customHeight="false" outlineLevel="0" collapsed="false">
      <c r="A262" s="63" t="n">
        <v>260</v>
      </c>
      <c r="B262" s="63" t="str">
        <f aca="false">IF(元データ!$A$260="","",元データ!$A$260)</f>
        <v/>
      </c>
      <c r="C262" s="63" t="str">
        <f aca="false">IF(LEFT(B262,1)="(",IFERROR(VALUE(MID(B262,2,FIND(")",B262)-2)),""),"")</f>
        <v/>
      </c>
      <c r="D262" s="64" t="str">
        <f aca="false">IF($C262="","",N(元データ!$B$260))</f>
        <v/>
      </c>
      <c r="E262" s="64" t="str">
        <f aca="false">IF($C262="","",N(元データ!$C$260))</f>
        <v/>
      </c>
      <c r="F262" s="64" t="str">
        <f aca="false">IF($C262="","",N(元データ!$F$260))</f>
        <v/>
      </c>
      <c r="G262" s="63" t="str">
        <f aca="false">IF($C262="","",IF(COUNTIF(店舗マスタ!$B$5:$B$304,$C262)&gt;0,"登録済","未登録→マスタに追加"))</f>
        <v/>
      </c>
    </row>
    <row r="263" customFormat="false" ht="15" hidden="false" customHeight="false" outlineLevel="0" collapsed="false">
      <c r="A263" s="63" t="n">
        <v>261</v>
      </c>
      <c r="B263" s="63" t="str">
        <f aca="false">IF(元データ!$A$261="","",元データ!$A$261)</f>
        <v/>
      </c>
      <c r="C263" s="63" t="str">
        <f aca="false">IF(LEFT(B263,1)="(",IFERROR(VALUE(MID(B263,2,FIND(")",B263)-2)),""),"")</f>
        <v/>
      </c>
      <c r="D263" s="64" t="str">
        <f aca="false">IF($C263="","",N(元データ!$B$261))</f>
        <v/>
      </c>
      <c r="E263" s="64" t="str">
        <f aca="false">IF($C263="","",N(元データ!$C$261))</f>
        <v/>
      </c>
      <c r="F263" s="64" t="str">
        <f aca="false">IF($C263="","",N(元データ!$F$261))</f>
        <v/>
      </c>
      <c r="G263" s="63" t="str">
        <f aca="false">IF($C263="","",IF(COUNTIF(店舗マスタ!$B$5:$B$304,$C263)&gt;0,"登録済","未登録→マスタに追加"))</f>
        <v/>
      </c>
    </row>
    <row r="264" customFormat="false" ht="15" hidden="false" customHeight="false" outlineLevel="0" collapsed="false">
      <c r="A264" s="63" t="n">
        <v>262</v>
      </c>
      <c r="B264" s="63" t="str">
        <f aca="false">IF(元データ!$A$262="","",元データ!$A$262)</f>
        <v/>
      </c>
      <c r="C264" s="63" t="str">
        <f aca="false">IF(LEFT(B264,1)="(",IFERROR(VALUE(MID(B264,2,FIND(")",B264)-2)),""),"")</f>
        <v/>
      </c>
      <c r="D264" s="64" t="str">
        <f aca="false">IF($C264="","",N(元データ!$B$262))</f>
        <v/>
      </c>
      <c r="E264" s="64" t="str">
        <f aca="false">IF($C264="","",N(元データ!$C$262))</f>
        <v/>
      </c>
      <c r="F264" s="64" t="str">
        <f aca="false">IF($C264="","",N(元データ!$F$262))</f>
        <v/>
      </c>
      <c r="G264" s="63" t="str">
        <f aca="false">IF($C264="","",IF(COUNTIF(店舗マスタ!$B$5:$B$304,$C264)&gt;0,"登録済","未登録→マスタに追加"))</f>
        <v/>
      </c>
    </row>
    <row r="265" customFormat="false" ht="15" hidden="false" customHeight="false" outlineLevel="0" collapsed="false">
      <c r="A265" s="63" t="n">
        <v>263</v>
      </c>
      <c r="B265" s="63" t="str">
        <f aca="false">IF(元データ!$A$263="","",元データ!$A$263)</f>
        <v/>
      </c>
      <c r="C265" s="63" t="str">
        <f aca="false">IF(LEFT(B265,1)="(",IFERROR(VALUE(MID(B265,2,FIND(")",B265)-2)),""),"")</f>
        <v/>
      </c>
      <c r="D265" s="64" t="str">
        <f aca="false">IF($C265="","",N(元データ!$B$263))</f>
        <v/>
      </c>
      <c r="E265" s="64" t="str">
        <f aca="false">IF($C265="","",N(元データ!$C$263))</f>
        <v/>
      </c>
      <c r="F265" s="64" t="str">
        <f aca="false">IF($C265="","",N(元データ!$F$263))</f>
        <v/>
      </c>
      <c r="G265" s="63" t="str">
        <f aca="false">IF($C265="","",IF(COUNTIF(店舗マスタ!$B$5:$B$304,$C265)&gt;0,"登録済","未登録→マスタに追加"))</f>
        <v/>
      </c>
    </row>
    <row r="266" customFormat="false" ht="15" hidden="false" customHeight="false" outlineLevel="0" collapsed="false">
      <c r="A266" s="63" t="n">
        <v>264</v>
      </c>
      <c r="B266" s="63" t="str">
        <f aca="false">IF(元データ!$A$264="","",元データ!$A$264)</f>
        <v/>
      </c>
      <c r="C266" s="63" t="str">
        <f aca="false">IF(LEFT(B266,1)="(",IFERROR(VALUE(MID(B266,2,FIND(")",B266)-2)),""),"")</f>
        <v/>
      </c>
      <c r="D266" s="64" t="str">
        <f aca="false">IF($C266="","",N(元データ!$B$264))</f>
        <v/>
      </c>
      <c r="E266" s="64" t="str">
        <f aca="false">IF($C266="","",N(元データ!$C$264))</f>
        <v/>
      </c>
      <c r="F266" s="64" t="str">
        <f aca="false">IF($C266="","",N(元データ!$F$264))</f>
        <v/>
      </c>
      <c r="G266" s="63" t="str">
        <f aca="false">IF($C266="","",IF(COUNTIF(店舗マスタ!$B$5:$B$304,$C266)&gt;0,"登録済","未登録→マスタに追加"))</f>
        <v/>
      </c>
    </row>
    <row r="267" customFormat="false" ht="15" hidden="false" customHeight="false" outlineLevel="0" collapsed="false">
      <c r="A267" s="63" t="n">
        <v>265</v>
      </c>
      <c r="B267" s="63" t="str">
        <f aca="false">IF(元データ!$A$265="","",元データ!$A$265)</f>
        <v/>
      </c>
      <c r="C267" s="63" t="str">
        <f aca="false">IF(LEFT(B267,1)="(",IFERROR(VALUE(MID(B267,2,FIND(")",B267)-2)),""),"")</f>
        <v/>
      </c>
      <c r="D267" s="64" t="str">
        <f aca="false">IF($C267="","",N(元データ!$B$265))</f>
        <v/>
      </c>
      <c r="E267" s="64" t="str">
        <f aca="false">IF($C267="","",N(元データ!$C$265))</f>
        <v/>
      </c>
      <c r="F267" s="64" t="str">
        <f aca="false">IF($C267="","",N(元データ!$F$265))</f>
        <v/>
      </c>
      <c r="G267" s="63" t="str">
        <f aca="false">IF($C267="","",IF(COUNTIF(店舗マスタ!$B$5:$B$304,$C267)&gt;0,"登録済","未登録→マスタに追加"))</f>
        <v/>
      </c>
    </row>
    <row r="268" customFormat="false" ht="15" hidden="false" customHeight="false" outlineLevel="0" collapsed="false">
      <c r="A268" s="63" t="n">
        <v>266</v>
      </c>
      <c r="B268" s="63" t="str">
        <f aca="false">IF(元データ!$A$266="","",元データ!$A$266)</f>
        <v/>
      </c>
      <c r="C268" s="63" t="str">
        <f aca="false">IF(LEFT(B268,1)="(",IFERROR(VALUE(MID(B268,2,FIND(")",B268)-2)),""),"")</f>
        <v/>
      </c>
      <c r="D268" s="64" t="str">
        <f aca="false">IF($C268="","",N(元データ!$B$266))</f>
        <v/>
      </c>
      <c r="E268" s="64" t="str">
        <f aca="false">IF($C268="","",N(元データ!$C$266))</f>
        <v/>
      </c>
      <c r="F268" s="64" t="str">
        <f aca="false">IF($C268="","",N(元データ!$F$266))</f>
        <v/>
      </c>
      <c r="G268" s="63" t="str">
        <f aca="false">IF($C268="","",IF(COUNTIF(店舗マスタ!$B$5:$B$304,$C268)&gt;0,"登録済","未登録→マスタに追加"))</f>
        <v/>
      </c>
    </row>
    <row r="269" customFormat="false" ht="15" hidden="false" customHeight="false" outlineLevel="0" collapsed="false">
      <c r="A269" s="63" t="n">
        <v>267</v>
      </c>
      <c r="B269" s="63" t="str">
        <f aca="false">IF(元データ!$A$267="","",元データ!$A$267)</f>
        <v/>
      </c>
      <c r="C269" s="63" t="str">
        <f aca="false">IF(LEFT(B269,1)="(",IFERROR(VALUE(MID(B269,2,FIND(")",B269)-2)),""),"")</f>
        <v/>
      </c>
      <c r="D269" s="64" t="str">
        <f aca="false">IF($C269="","",N(元データ!$B$267))</f>
        <v/>
      </c>
      <c r="E269" s="64" t="str">
        <f aca="false">IF($C269="","",N(元データ!$C$267))</f>
        <v/>
      </c>
      <c r="F269" s="64" t="str">
        <f aca="false">IF($C269="","",N(元データ!$F$267))</f>
        <v/>
      </c>
      <c r="G269" s="63" t="str">
        <f aca="false">IF($C269="","",IF(COUNTIF(店舗マスタ!$B$5:$B$304,$C269)&gt;0,"登録済","未登録→マスタに追加"))</f>
        <v/>
      </c>
    </row>
    <row r="270" customFormat="false" ht="15" hidden="false" customHeight="false" outlineLevel="0" collapsed="false">
      <c r="A270" s="63" t="n">
        <v>268</v>
      </c>
      <c r="B270" s="63" t="str">
        <f aca="false">IF(元データ!$A$268="","",元データ!$A$268)</f>
        <v/>
      </c>
      <c r="C270" s="63" t="str">
        <f aca="false">IF(LEFT(B270,1)="(",IFERROR(VALUE(MID(B270,2,FIND(")",B270)-2)),""),"")</f>
        <v/>
      </c>
      <c r="D270" s="64" t="str">
        <f aca="false">IF($C270="","",N(元データ!$B$268))</f>
        <v/>
      </c>
      <c r="E270" s="64" t="str">
        <f aca="false">IF($C270="","",N(元データ!$C$268))</f>
        <v/>
      </c>
      <c r="F270" s="64" t="str">
        <f aca="false">IF($C270="","",N(元データ!$F$268))</f>
        <v/>
      </c>
      <c r="G270" s="63" t="str">
        <f aca="false">IF($C270="","",IF(COUNTIF(店舗マスタ!$B$5:$B$304,$C270)&gt;0,"登録済","未登録→マスタに追加"))</f>
        <v/>
      </c>
    </row>
    <row r="271" customFormat="false" ht="15" hidden="false" customHeight="false" outlineLevel="0" collapsed="false">
      <c r="A271" s="63" t="n">
        <v>269</v>
      </c>
      <c r="B271" s="63" t="str">
        <f aca="false">IF(元データ!$A$269="","",元データ!$A$269)</f>
        <v/>
      </c>
      <c r="C271" s="63" t="str">
        <f aca="false">IF(LEFT(B271,1)="(",IFERROR(VALUE(MID(B271,2,FIND(")",B271)-2)),""),"")</f>
        <v/>
      </c>
      <c r="D271" s="64" t="str">
        <f aca="false">IF($C271="","",N(元データ!$B$269))</f>
        <v/>
      </c>
      <c r="E271" s="64" t="str">
        <f aca="false">IF($C271="","",N(元データ!$C$269))</f>
        <v/>
      </c>
      <c r="F271" s="64" t="str">
        <f aca="false">IF($C271="","",N(元データ!$F$269))</f>
        <v/>
      </c>
      <c r="G271" s="63" t="str">
        <f aca="false">IF($C271="","",IF(COUNTIF(店舗マスタ!$B$5:$B$304,$C271)&gt;0,"登録済","未登録→マスタに追加"))</f>
        <v/>
      </c>
    </row>
    <row r="272" customFormat="false" ht="15" hidden="false" customHeight="false" outlineLevel="0" collapsed="false">
      <c r="A272" s="63" t="n">
        <v>270</v>
      </c>
      <c r="B272" s="63" t="str">
        <f aca="false">IF(元データ!$A$270="","",元データ!$A$270)</f>
        <v/>
      </c>
      <c r="C272" s="63" t="str">
        <f aca="false">IF(LEFT(B272,1)="(",IFERROR(VALUE(MID(B272,2,FIND(")",B272)-2)),""),"")</f>
        <v/>
      </c>
      <c r="D272" s="64" t="str">
        <f aca="false">IF($C272="","",N(元データ!$B$270))</f>
        <v/>
      </c>
      <c r="E272" s="64" t="str">
        <f aca="false">IF($C272="","",N(元データ!$C$270))</f>
        <v/>
      </c>
      <c r="F272" s="64" t="str">
        <f aca="false">IF($C272="","",N(元データ!$F$270))</f>
        <v/>
      </c>
      <c r="G272" s="63" t="str">
        <f aca="false">IF($C272="","",IF(COUNTIF(店舗マスタ!$B$5:$B$304,$C272)&gt;0,"登録済","未登録→マスタに追加"))</f>
        <v/>
      </c>
    </row>
    <row r="273" customFormat="false" ht="15" hidden="false" customHeight="false" outlineLevel="0" collapsed="false">
      <c r="A273" s="63" t="n">
        <v>271</v>
      </c>
      <c r="B273" s="63" t="str">
        <f aca="false">IF(元データ!$A$271="","",元データ!$A$271)</f>
        <v/>
      </c>
      <c r="C273" s="63" t="str">
        <f aca="false">IF(LEFT(B273,1)="(",IFERROR(VALUE(MID(B273,2,FIND(")",B273)-2)),""),"")</f>
        <v/>
      </c>
      <c r="D273" s="64" t="str">
        <f aca="false">IF($C273="","",N(元データ!$B$271))</f>
        <v/>
      </c>
      <c r="E273" s="64" t="str">
        <f aca="false">IF($C273="","",N(元データ!$C$271))</f>
        <v/>
      </c>
      <c r="F273" s="64" t="str">
        <f aca="false">IF($C273="","",N(元データ!$F$271))</f>
        <v/>
      </c>
      <c r="G273" s="63" t="str">
        <f aca="false">IF($C273="","",IF(COUNTIF(店舗マスタ!$B$5:$B$304,$C273)&gt;0,"登録済","未登録→マスタに追加"))</f>
        <v/>
      </c>
    </row>
    <row r="274" customFormat="false" ht="15" hidden="false" customHeight="false" outlineLevel="0" collapsed="false">
      <c r="A274" s="63" t="n">
        <v>272</v>
      </c>
      <c r="B274" s="63" t="str">
        <f aca="false">IF(元データ!$A$272="","",元データ!$A$272)</f>
        <v/>
      </c>
      <c r="C274" s="63" t="str">
        <f aca="false">IF(LEFT(B274,1)="(",IFERROR(VALUE(MID(B274,2,FIND(")",B274)-2)),""),"")</f>
        <v/>
      </c>
      <c r="D274" s="64" t="str">
        <f aca="false">IF($C274="","",N(元データ!$B$272))</f>
        <v/>
      </c>
      <c r="E274" s="64" t="str">
        <f aca="false">IF($C274="","",N(元データ!$C$272))</f>
        <v/>
      </c>
      <c r="F274" s="64" t="str">
        <f aca="false">IF($C274="","",N(元データ!$F$272))</f>
        <v/>
      </c>
      <c r="G274" s="63" t="str">
        <f aca="false">IF($C274="","",IF(COUNTIF(店舗マスタ!$B$5:$B$304,$C274)&gt;0,"登録済","未登録→マスタに追加"))</f>
        <v/>
      </c>
    </row>
    <row r="275" customFormat="false" ht="15" hidden="false" customHeight="false" outlineLevel="0" collapsed="false">
      <c r="A275" s="63" t="n">
        <v>273</v>
      </c>
      <c r="B275" s="63" t="str">
        <f aca="false">IF(元データ!$A$273="","",元データ!$A$273)</f>
        <v/>
      </c>
      <c r="C275" s="63" t="str">
        <f aca="false">IF(LEFT(B275,1)="(",IFERROR(VALUE(MID(B275,2,FIND(")",B275)-2)),""),"")</f>
        <v/>
      </c>
      <c r="D275" s="64" t="str">
        <f aca="false">IF($C275="","",N(元データ!$B$273))</f>
        <v/>
      </c>
      <c r="E275" s="64" t="str">
        <f aca="false">IF($C275="","",N(元データ!$C$273))</f>
        <v/>
      </c>
      <c r="F275" s="64" t="str">
        <f aca="false">IF($C275="","",N(元データ!$F$273))</f>
        <v/>
      </c>
      <c r="G275" s="63" t="str">
        <f aca="false">IF($C275="","",IF(COUNTIF(店舗マスタ!$B$5:$B$304,$C275)&gt;0,"登録済","未登録→マスタに追加"))</f>
        <v/>
      </c>
    </row>
    <row r="276" customFormat="false" ht="15" hidden="false" customHeight="false" outlineLevel="0" collapsed="false">
      <c r="A276" s="63" t="n">
        <v>274</v>
      </c>
      <c r="B276" s="63" t="str">
        <f aca="false">IF(元データ!$A$274="","",元データ!$A$274)</f>
        <v/>
      </c>
      <c r="C276" s="63" t="str">
        <f aca="false">IF(LEFT(B276,1)="(",IFERROR(VALUE(MID(B276,2,FIND(")",B276)-2)),""),"")</f>
        <v/>
      </c>
      <c r="D276" s="64" t="str">
        <f aca="false">IF($C276="","",N(元データ!$B$274))</f>
        <v/>
      </c>
      <c r="E276" s="64" t="str">
        <f aca="false">IF($C276="","",N(元データ!$C$274))</f>
        <v/>
      </c>
      <c r="F276" s="64" t="str">
        <f aca="false">IF($C276="","",N(元データ!$F$274))</f>
        <v/>
      </c>
      <c r="G276" s="63" t="str">
        <f aca="false">IF($C276="","",IF(COUNTIF(店舗マスタ!$B$5:$B$304,$C276)&gt;0,"登録済","未登録→マスタに追加"))</f>
        <v/>
      </c>
    </row>
    <row r="277" customFormat="false" ht="15" hidden="false" customHeight="false" outlineLevel="0" collapsed="false">
      <c r="A277" s="63" t="n">
        <v>275</v>
      </c>
      <c r="B277" s="63" t="str">
        <f aca="false">IF(元データ!$A$275="","",元データ!$A$275)</f>
        <v/>
      </c>
      <c r="C277" s="63" t="str">
        <f aca="false">IF(LEFT(B277,1)="(",IFERROR(VALUE(MID(B277,2,FIND(")",B277)-2)),""),"")</f>
        <v/>
      </c>
      <c r="D277" s="64" t="str">
        <f aca="false">IF($C277="","",N(元データ!$B$275))</f>
        <v/>
      </c>
      <c r="E277" s="64" t="str">
        <f aca="false">IF($C277="","",N(元データ!$C$275))</f>
        <v/>
      </c>
      <c r="F277" s="64" t="str">
        <f aca="false">IF($C277="","",N(元データ!$F$275))</f>
        <v/>
      </c>
      <c r="G277" s="63" t="str">
        <f aca="false">IF($C277="","",IF(COUNTIF(店舗マスタ!$B$5:$B$304,$C277)&gt;0,"登録済","未登録→マスタに追加"))</f>
        <v/>
      </c>
    </row>
    <row r="278" customFormat="false" ht="15" hidden="false" customHeight="false" outlineLevel="0" collapsed="false">
      <c r="A278" s="63" t="n">
        <v>276</v>
      </c>
      <c r="B278" s="63" t="str">
        <f aca="false">IF(元データ!$A$276="","",元データ!$A$276)</f>
        <v/>
      </c>
      <c r="C278" s="63" t="str">
        <f aca="false">IF(LEFT(B278,1)="(",IFERROR(VALUE(MID(B278,2,FIND(")",B278)-2)),""),"")</f>
        <v/>
      </c>
      <c r="D278" s="64" t="str">
        <f aca="false">IF($C278="","",N(元データ!$B$276))</f>
        <v/>
      </c>
      <c r="E278" s="64" t="str">
        <f aca="false">IF($C278="","",N(元データ!$C$276))</f>
        <v/>
      </c>
      <c r="F278" s="64" t="str">
        <f aca="false">IF($C278="","",N(元データ!$F$276))</f>
        <v/>
      </c>
      <c r="G278" s="63" t="str">
        <f aca="false">IF($C278="","",IF(COUNTIF(店舗マスタ!$B$5:$B$304,$C278)&gt;0,"登録済","未登録→マスタに追加"))</f>
        <v/>
      </c>
    </row>
    <row r="279" customFormat="false" ht="15" hidden="false" customHeight="false" outlineLevel="0" collapsed="false">
      <c r="A279" s="63" t="n">
        <v>277</v>
      </c>
      <c r="B279" s="63" t="str">
        <f aca="false">IF(元データ!$A$277="","",元データ!$A$277)</f>
        <v/>
      </c>
      <c r="C279" s="63" t="str">
        <f aca="false">IF(LEFT(B279,1)="(",IFERROR(VALUE(MID(B279,2,FIND(")",B279)-2)),""),"")</f>
        <v/>
      </c>
      <c r="D279" s="64" t="str">
        <f aca="false">IF($C279="","",N(元データ!$B$277))</f>
        <v/>
      </c>
      <c r="E279" s="64" t="str">
        <f aca="false">IF($C279="","",N(元データ!$C$277))</f>
        <v/>
      </c>
      <c r="F279" s="64" t="str">
        <f aca="false">IF($C279="","",N(元データ!$F$277))</f>
        <v/>
      </c>
      <c r="G279" s="63" t="str">
        <f aca="false">IF($C279="","",IF(COUNTIF(店舗マスタ!$B$5:$B$304,$C279)&gt;0,"登録済","未登録→マスタに追加"))</f>
        <v/>
      </c>
    </row>
    <row r="280" customFormat="false" ht="15" hidden="false" customHeight="false" outlineLevel="0" collapsed="false">
      <c r="A280" s="63" t="n">
        <v>278</v>
      </c>
      <c r="B280" s="63" t="str">
        <f aca="false">IF(元データ!$A$278="","",元データ!$A$278)</f>
        <v/>
      </c>
      <c r="C280" s="63" t="str">
        <f aca="false">IF(LEFT(B280,1)="(",IFERROR(VALUE(MID(B280,2,FIND(")",B280)-2)),""),"")</f>
        <v/>
      </c>
      <c r="D280" s="64" t="str">
        <f aca="false">IF($C280="","",N(元データ!$B$278))</f>
        <v/>
      </c>
      <c r="E280" s="64" t="str">
        <f aca="false">IF($C280="","",N(元データ!$C$278))</f>
        <v/>
      </c>
      <c r="F280" s="64" t="str">
        <f aca="false">IF($C280="","",N(元データ!$F$278))</f>
        <v/>
      </c>
      <c r="G280" s="63" t="str">
        <f aca="false">IF($C280="","",IF(COUNTIF(店舗マスタ!$B$5:$B$304,$C280)&gt;0,"登録済","未登録→マスタに追加"))</f>
        <v/>
      </c>
    </row>
    <row r="281" customFormat="false" ht="15" hidden="false" customHeight="false" outlineLevel="0" collapsed="false">
      <c r="A281" s="63" t="n">
        <v>279</v>
      </c>
      <c r="B281" s="63" t="str">
        <f aca="false">IF(元データ!$A$279="","",元データ!$A$279)</f>
        <v/>
      </c>
      <c r="C281" s="63" t="str">
        <f aca="false">IF(LEFT(B281,1)="(",IFERROR(VALUE(MID(B281,2,FIND(")",B281)-2)),""),"")</f>
        <v/>
      </c>
      <c r="D281" s="64" t="str">
        <f aca="false">IF($C281="","",N(元データ!$B$279))</f>
        <v/>
      </c>
      <c r="E281" s="64" t="str">
        <f aca="false">IF($C281="","",N(元データ!$C$279))</f>
        <v/>
      </c>
      <c r="F281" s="64" t="str">
        <f aca="false">IF($C281="","",N(元データ!$F$279))</f>
        <v/>
      </c>
      <c r="G281" s="63" t="str">
        <f aca="false">IF($C281="","",IF(COUNTIF(店舗マスタ!$B$5:$B$304,$C281)&gt;0,"登録済","未登録→マスタに追加"))</f>
        <v/>
      </c>
    </row>
    <row r="282" customFormat="false" ht="15" hidden="false" customHeight="false" outlineLevel="0" collapsed="false">
      <c r="A282" s="63" t="n">
        <v>280</v>
      </c>
      <c r="B282" s="63" t="str">
        <f aca="false">IF(元データ!$A$280="","",元データ!$A$280)</f>
        <v/>
      </c>
      <c r="C282" s="63" t="str">
        <f aca="false">IF(LEFT(B282,1)="(",IFERROR(VALUE(MID(B282,2,FIND(")",B282)-2)),""),"")</f>
        <v/>
      </c>
      <c r="D282" s="64" t="str">
        <f aca="false">IF($C282="","",N(元データ!$B$280))</f>
        <v/>
      </c>
      <c r="E282" s="64" t="str">
        <f aca="false">IF($C282="","",N(元データ!$C$280))</f>
        <v/>
      </c>
      <c r="F282" s="64" t="str">
        <f aca="false">IF($C282="","",N(元データ!$F$280))</f>
        <v/>
      </c>
      <c r="G282" s="63" t="str">
        <f aca="false">IF($C282="","",IF(COUNTIF(店舗マスタ!$B$5:$B$304,$C282)&gt;0,"登録済","未登録→マスタに追加"))</f>
        <v/>
      </c>
    </row>
    <row r="283" customFormat="false" ht="15" hidden="false" customHeight="false" outlineLevel="0" collapsed="false">
      <c r="A283" s="63" t="n">
        <v>281</v>
      </c>
      <c r="B283" s="63" t="str">
        <f aca="false">IF(元データ!$A$281="","",元データ!$A$281)</f>
        <v/>
      </c>
      <c r="C283" s="63" t="str">
        <f aca="false">IF(LEFT(B283,1)="(",IFERROR(VALUE(MID(B283,2,FIND(")",B283)-2)),""),"")</f>
        <v/>
      </c>
      <c r="D283" s="64" t="str">
        <f aca="false">IF($C283="","",N(元データ!$B$281))</f>
        <v/>
      </c>
      <c r="E283" s="64" t="str">
        <f aca="false">IF($C283="","",N(元データ!$C$281))</f>
        <v/>
      </c>
      <c r="F283" s="64" t="str">
        <f aca="false">IF($C283="","",N(元データ!$F$281))</f>
        <v/>
      </c>
      <c r="G283" s="63" t="str">
        <f aca="false">IF($C283="","",IF(COUNTIF(店舗マスタ!$B$5:$B$304,$C283)&gt;0,"登録済","未登録→マスタに追加"))</f>
        <v/>
      </c>
    </row>
    <row r="284" customFormat="false" ht="15" hidden="false" customHeight="false" outlineLevel="0" collapsed="false">
      <c r="A284" s="63" t="n">
        <v>282</v>
      </c>
      <c r="B284" s="63" t="str">
        <f aca="false">IF(元データ!$A$282="","",元データ!$A$282)</f>
        <v/>
      </c>
      <c r="C284" s="63" t="str">
        <f aca="false">IF(LEFT(B284,1)="(",IFERROR(VALUE(MID(B284,2,FIND(")",B284)-2)),""),"")</f>
        <v/>
      </c>
      <c r="D284" s="64" t="str">
        <f aca="false">IF($C284="","",N(元データ!$B$282))</f>
        <v/>
      </c>
      <c r="E284" s="64" t="str">
        <f aca="false">IF($C284="","",N(元データ!$C$282))</f>
        <v/>
      </c>
      <c r="F284" s="64" t="str">
        <f aca="false">IF($C284="","",N(元データ!$F$282))</f>
        <v/>
      </c>
      <c r="G284" s="63" t="str">
        <f aca="false">IF($C284="","",IF(COUNTIF(店舗マスタ!$B$5:$B$304,$C284)&gt;0,"登録済","未登録→マスタに追加"))</f>
        <v/>
      </c>
    </row>
    <row r="285" customFormat="false" ht="15" hidden="false" customHeight="false" outlineLevel="0" collapsed="false">
      <c r="A285" s="63" t="n">
        <v>283</v>
      </c>
      <c r="B285" s="63" t="str">
        <f aca="false">IF(元データ!$A$283="","",元データ!$A$283)</f>
        <v/>
      </c>
      <c r="C285" s="63" t="str">
        <f aca="false">IF(LEFT(B285,1)="(",IFERROR(VALUE(MID(B285,2,FIND(")",B285)-2)),""),"")</f>
        <v/>
      </c>
      <c r="D285" s="64" t="str">
        <f aca="false">IF($C285="","",N(元データ!$B$283))</f>
        <v/>
      </c>
      <c r="E285" s="64" t="str">
        <f aca="false">IF($C285="","",N(元データ!$C$283))</f>
        <v/>
      </c>
      <c r="F285" s="64" t="str">
        <f aca="false">IF($C285="","",N(元データ!$F$283))</f>
        <v/>
      </c>
      <c r="G285" s="63" t="str">
        <f aca="false">IF($C285="","",IF(COUNTIF(店舗マスタ!$B$5:$B$304,$C285)&gt;0,"登録済","未登録→マスタに追加"))</f>
        <v/>
      </c>
    </row>
    <row r="286" customFormat="false" ht="15" hidden="false" customHeight="false" outlineLevel="0" collapsed="false">
      <c r="A286" s="63" t="n">
        <v>284</v>
      </c>
      <c r="B286" s="63" t="str">
        <f aca="false">IF(元データ!$A$284="","",元データ!$A$284)</f>
        <v/>
      </c>
      <c r="C286" s="63" t="str">
        <f aca="false">IF(LEFT(B286,1)="(",IFERROR(VALUE(MID(B286,2,FIND(")",B286)-2)),""),"")</f>
        <v/>
      </c>
      <c r="D286" s="64" t="str">
        <f aca="false">IF($C286="","",N(元データ!$B$284))</f>
        <v/>
      </c>
      <c r="E286" s="64" t="str">
        <f aca="false">IF($C286="","",N(元データ!$C$284))</f>
        <v/>
      </c>
      <c r="F286" s="64" t="str">
        <f aca="false">IF($C286="","",N(元データ!$F$284))</f>
        <v/>
      </c>
      <c r="G286" s="63" t="str">
        <f aca="false">IF($C286="","",IF(COUNTIF(店舗マスタ!$B$5:$B$304,$C286)&gt;0,"登録済","未登録→マスタに追加"))</f>
        <v/>
      </c>
    </row>
    <row r="287" customFormat="false" ht="15" hidden="false" customHeight="false" outlineLevel="0" collapsed="false">
      <c r="A287" s="63" t="n">
        <v>285</v>
      </c>
      <c r="B287" s="63" t="str">
        <f aca="false">IF(元データ!$A$285="","",元データ!$A$285)</f>
        <v/>
      </c>
      <c r="C287" s="63" t="str">
        <f aca="false">IF(LEFT(B287,1)="(",IFERROR(VALUE(MID(B287,2,FIND(")",B287)-2)),""),"")</f>
        <v/>
      </c>
      <c r="D287" s="64" t="str">
        <f aca="false">IF($C287="","",N(元データ!$B$285))</f>
        <v/>
      </c>
      <c r="E287" s="64" t="str">
        <f aca="false">IF($C287="","",N(元データ!$C$285))</f>
        <v/>
      </c>
      <c r="F287" s="64" t="str">
        <f aca="false">IF($C287="","",N(元データ!$F$285))</f>
        <v/>
      </c>
      <c r="G287" s="63" t="str">
        <f aca="false">IF($C287="","",IF(COUNTIF(店舗マスタ!$B$5:$B$304,$C287)&gt;0,"登録済","未登録→マスタに追加"))</f>
        <v/>
      </c>
    </row>
    <row r="288" customFormat="false" ht="15" hidden="false" customHeight="false" outlineLevel="0" collapsed="false">
      <c r="A288" s="63" t="n">
        <v>286</v>
      </c>
      <c r="B288" s="63" t="str">
        <f aca="false">IF(元データ!$A$286="","",元データ!$A$286)</f>
        <v/>
      </c>
      <c r="C288" s="63" t="str">
        <f aca="false">IF(LEFT(B288,1)="(",IFERROR(VALUE(MID(B288,2,FIND(")",B288)-2)),""),"")</f>
        <v/>
      </c>
      <c r="D288" s="64" t="str">
        <f aca="false">IF($C288="","",N(元データ!$B$286))</f>
        <v/>
      </c>
      <c r="E288" s="64" t="str">
        <f aca="false">IF($C288="","",N(元データ!$C$286))</f>
        <v/>
      </c>
      <c r="F288" s="64" t="str">
        <f aca="false">IF($C288="","",N(元データ!$F$286))</f>
        <v/>
      </c>
      <c r="G288" s="63" t="str">
        <f aca="false">IF($C288="","",IF(COUNTIF(店舗マスタ!$B$5:$B$304,$C288)&gt;0,"登録済","未登録→マスタに追加"))</f>
        <v/>
      </c>
    </row>
    <row r="289" customFormat="false" ht="15" hidden="false" customHeight="false" outlineLevel="0" collapsed="false">
      <c r="A289" s="63" t="n">
        <v>287</v>
      </c>
      <c r="B289" s="63" t="str">
        <f aca="false">IF(元データ!$A$287="","",元データ!$A$287)</f>
        <v/>
      </c>
      <c r="C289" s="63" t="str">
        <f aca="false">IF(LEFT(B289,1)="(",IFERROR(VALUE(MID(B289,2,FIND(")",B289)-2)),""),"")</f>
        <v/>
      </c>
      <c r="D289" s="64" t="str">
        <f aca="false">IF($C289="","",N(元データ!$B$287))</f>
        <v/>
      </c>
      <c r="E289" s="64" t="str">
        <f aca="false">IF($C289="","",N(元データ!$C$287))</f>
        <v/>
      </c>
      <c r="F289" s="64" t="str">
        <f aca="false">IF($C289="","",N(元データ!$F$287))</f>
        <v/>
      </c>
      <c r="G289" s="63" t="str">
        <f aca="false">IF($C289="","",IF(COUNTIF(店舗マスタ!$B$5:$B$304,$C289)&gt;0,"登録済","未登録→マスタに追加"))</f>
        <v/>
      </c>
    </row>
    <row r="290" customFormat="false" ht="15" hidden="false" customHeight="false" outlineLevel="0" collapsed="false">
      <c r="A290" s="63" t="n">
        <v>288</v>
      </c>
      <c r="B290" s="63" t="str">
        <f aca="false">IF(元データ!$A$288="","",元データ!$A$288)</f>
        <v/>
      </c>
      <c r="C290" s="63" t="str">
        <f aca="false">IF(LEFT(B290,1)="(",IFERROR(VALUE(MID(B290,2,FIND(")",B290)-2)),""),"")</f>
        <v/>
      </c>
      <c r="D290" s="64" t="str">
        <f aca="false">IF($C290="","",N(元データ!$B$288))</f>
        <v/>
      </c>
      <c r="E290" s="64" t="str">
        <f aca="false">IF($C290="","",N(元データ!$C$288))</f>
        <v/>
      </c>
      <c r="F290" s="64" t="str">
        <f aca="false">IF($C290="","",N(元データ!$F$288))</f>
        <v/>
      </c>
      <c r="G290" s="63" t="str">
        <f aca="false">IF($C290="","",IF(COUNTIF(店舗マスタ!$B$5:$B$304,$C290)&gt;0,"登録済","未登録→マスタに追加"))</f>
        <v/>
      </c>
    </row>
    <row r="291" customFormat="false" ht="15" hidden="false" customHeight="false" outlineLevel="0" collapsed="false">
      <c r="A291" s="63" t="n">
        <v>289</v>
      </c>
      <c r="B291" s="63" t="str">
        <f aca="false">IF(元データ!$A$289="","",元データ!$A$289)</f>
        <v/>
      </c>
      <c r="C291" s="63" t="str">
        <f aca="false">IF(LEFT(B291,1)="(",IFERROR(VALUE(MID(B291,2,FIND(")",B291)-2)),""),"")</f>
        <v/>
      </c>
      <c r="D291" s="64" t="str">
        <f aca="false">IF($C291="","",N(元データ!$B$289))</f>
        <v/>
      </c>
      <c r="E291" s="64" t="str">
        <f aca="false">IF($C291="","",N(元データ!$C$289))</f>
        <v/>
      </c>
      <c r="F291" s="64" t="str">
        <f aca="false">IF($C291="","",N(元データ!$F$289))</f>
        <v/>
      </c>
      <c r="G291" s="63" t="str">
        <f aca="false">IF($C291="","",IF(COUNTIF(店舗マスタ!$B$5:$B$304,$C291)&gt;0,"登録済","未登録→マスタに追加"))</f>
        <v/>
      </c>
    </row>
    <row r="292" customFormat="false" ht="15" hidden="false" customHeight="false" outlineLevel="0" collapsed="false">
      <c r="A292" s="63" t="n">
        <v>290</v>
      </c>
      <c r="B292" s="63" t="str">
        <f aca="false">IF(元データ!$A$290="","",元データ!$A$290)</f>
        <v/>
      </c>
      <c r="C292" s="63" t="str">
        <f aca="false">IF(LEFT(B292,1)="(",IFERROR(VALUE(MID(B292,2,FIND(")",B292)-2)),""),"")</f>
        <v/>
      </c>
      <c r="D292" s="64" t="str">
        <f aca="false">IF($C292="","",N(元データ!$B$290))</f>
        <v/>
      </c>
      <c r="E292" s="64" t="str">
        <f aca="false">IF($C292="","",N(元データ!$C$290))</f>
        <v/>
      </c>
      <c r="F292" s="64" t="str">
        <f aca="false">IF($C292="","",N(元データ!$F$290))</f>
        <v/>
      </c>
      <c r="G292" s="63" t="str">
        <f aca="false">IF($C292="","",IF(COUNTIF(店舗マスタ!$B$5:$B$304,$C292)&gt;0,"登録済","未登録→マスタに追加"))</f>
        <v/>
      </c>
    </row>
    <row r="293" customFormat="false" ht="15" hidden="false" customHeight="false" outlineLevel="0" collapsed="false">
      <c r="A293" s="63" t="n">
        <v>291</v>
      </c>
      <c r="B293" s="63" t="str">
        <f aca="false">IF(元データ!$A$291="","",元データ!$A$291)</f>
        <v/>
      </c>
      <c r="C293" s="63" t="str">
        <f aca="false">IF(LEFT(B293,1)="(",IFERROR(VALUE(MID(B293,2,FIND(")",B293)-2)),""),"")</f>
        <v/>
      </c>
      <c r="D293" s="64" t="str">
        <f aca="false">IF($C293="","",N(元データ!$B$291))</f>
        <v/>
      </c>
      <c r="E293" s="64" t="str">
        <f aca="false">IF($C293="","",N(元データ!$C$291))</f>
        <v/>
      </c>
      <c r="F293" s="64" t="str">
        <f aca="false">IF($C293="","",N(元データ!$F$291))</f>
        <v/>
      </c>
      <c r="G293" s="63" t="str">
        <f aca="false">IF($C293="","",IF(COUNTIF(店舗マスタ!$B$5:$B$304,$C293)&gt;0,"登録済","未登録→マスタに追加"))</f>
        <v/>
      </c>
    </row>
    <row r="294" customFormat="false" ht="15" hidden="false" customHeight="false" outlineLevel="0" collapsed="false">
      <c r="A294" s="63" t="n">
        <v>292</v>
      </c>
      <c r="B294" s="63" t="str">
        <f aca="false">IF(元データ!$A$292="","",元データ!$A$292)</f>
        <v/>
      </c>
      <c r="C294" s="63" t="str">
        <f aca="false">IF(LEFT(B294,1)="(",IFERROR(VALUE(MID(B294,2,FIND(")",B294)-2)),""),"")</f>
        <v/>
      </c>
      <c r="D294" s="64" t="str">
        <f aca="false">IF($C294="","",N(元データ!$B$292))</f>
        <v/>
      </c>
      <c r="E294" s="64" t="str">
        <f aca="false">IF($C294="","",N(元データ!$C$292))</f>
        <v/>
      </c>
      <c r="F294" s="64" t="str">
        <f aca="false">IF($C294="","",N(元データ!$F$292))</f>
        <v/>
      </c>
      <c r="G294" s="63" t="str">
        <f aca="false">IF($C294="","",IF(COUNTIF(店舗マスタ!$B$5:$B$304,$C294)&gt;0,"登録済","未登録→マスタに追加"))</f>
        <v/>
      </c>
    </row>
    <row r="295" customFormat="false" ht="15" hidden="false" customHeight="false" outlineLevel="0" collapsed="false">
      <c r="A295" s="63" t="n">
        <v>293</v>
      </c>
      <c r="B295" s="63" t="str">
        <f aca="false">IF(元データ!$A$293="","",元データ!$A$293)</f>
        <v/>
      </c>
      <c r="C295" s="63" t="str">
        <f aca="false">IF(LEFT(B295,1)="(",IFERROR(VALUE(MID(B295,2,FIND(")",B295)-2)),""),"")</f>
        <v/>
      </c>
      <c r="D295" s="64" t="str">
        <f aca="false">IF($C295="","",N(元データ!$B$293))</f>
        <v/>
      </c>
      <c r="E295" s="64" t="str">
        <f aca="false">IF($C295="","",N(元データ!$C$293))</f>
        <v/>
      </c>
      <c r="F295" s="64" t="str">
        <f aca="false">IF($C295="","",N(元データ!$F$293))</f>
        <v/>
      </c>
      <c r="G295" s="63" t="str">
        <f aca="false">IF($C295="","",IF(COUNTIF(店舗マスタ!$B$5:$B$304,$C295)&gt;0,"登録済","未登録→マスタに追加"))</f>
        <v/>
      </c>
    </row>
    <row r="296" customFormat="false" ht="15" hidden="false" customHeight="false" outlineLevel="0" collapsed="false">
      <c r="A296" s="63" t="n">
        <v>294</v>
      </c>
      <c r="B296" s="63" t="str">
        <f aca="false">IF(元データ!$A$294="","",元データ!$A$294)</f>
        <v/>
      </c>
      <c r="C296" s="63" t="str">
        <f aca="false">IF(LEFT(B296,1)="(",IFERROR(VALUE(MID(B296,2,FIND(")",B296)-2)),""),"")</f>
        <v/>
      </c>
      <c r="D296" s="64" t="str">
        <f aca="false">IF($C296="","",N(元データ!$B$294))</f>
        <v/>
      </c>
      <c r="E296" s="64" t="str">
        <f aca="false">IF($C296="","",N(元データ!$C$294))</f>
        <v/>
      </c>
      <c r="F296" s="64" t="str">
        <f aca="false">IF($C296="","",N(元データ!$F$294))</f>
        <v/>
      </c>
      <c r="G296" s="63" t="str">
        <f aca="false">IF($C296="","",IF(COUNTIF(店舗マスタ!$B$5:$B$304,$C296)&gt;0,"登録済","未登録→マスタに追加"))</f>
        <v/>
      </c>
    </row>
    <row r="297" customFormat="false" ht="15" hidden="false" customHeight="false" outlineLevel="0" collapsed="false">
      <c r="A297" s="63" t="n">
        <v>295</v>
      </c>
      <c r="B297" s="63" t="str">
        <f aca="false">IF(元データ!$A$295="","",元データ!$A$295)</f>
        <v/>
      </c>
      <c r="C297" s="63" t="str">
        <f aca="false">IF(LEFT(B297,1)="(",IFERROR(VALUE(MID(B297,2,FIND(")",B297)-2)),""),"")</f>
        <v/>
      </c>
      <c r="D297" s="64" t="str">
        <f aca="false">IF($C297="","",N(元データ!$B$295))</f>
        <v/>
      </c>
      <c r="E297" s="64" t="str">
        <f aca="false">IF($C297="","",N(元データ!$C$295))</f>
        <v/>
      </c>
      <c r="F297" s="64" t="str">
        <f aca="false">IF($C297="","",N(元データ!$F$295))</f>
        <v/>
      </c>
      <c r="G297" s="63" t="str">
        <f aca="false">IF($C297="","",IF(COUNTIF(店舗マスタ!$B$5:$B$304,$C297)&gt;0,"登録済","未登録→マスタに追加"))</f>
        <v/>
      </c>
    </row>
    <row r="298" customFormat="false" ht="15" hidden="false" customHeight="false" outlineLevel="0" collapsed="false">
      <c r="A298" s="63" t="n">
        <v>296</v>
      </c>
      <c r="B298" s="63" t="str">
        <f aca="false">IF(元データ!$A$296="","",元データ!$A$296)</f>
        <v/>
      </c>
      <c r="C298" s="63" t="str">
        <f aca="false">IF(LEFT(B298,1)="(",IFERROR(VALUE(MID(B298,2,FIND(")",B298)-2)),""),"")</f>
        <v/>
      </c>
      <c r="D298" s="64" t="str">
        <f aca="false">IF($C298="","",N(元データ!$B$296))</f>
        <v/>
      </c>
      <c r="E298" s="64" t="str">
        <f aca="false">IF($C298="","",N(元データ!$C$296))</f>
        <v/>
      </c>
      <c r="F298" s="64" t="str">
        <f aca="false">IF($C298="","",N(元データ!$F$296))</f>
        <v/>
      </c>
      <c r="G298" s="63" t="str">
        <f aca="false">IF($C298="","",IF(COUNTIF(店舗マスタ!$B$5:$B$304,$C298)&gt;0,"登録済","未登録→マスタに追加"))</f>
        <v/>
      </c>
    </row>
    <row r="299" customFormat="false" ht="15" hidden="false" customHeight="false" outlineLevel="0" collapsed="false">
      <c r="A299" s="63" t="n">
        <v>297</v>
      </c>
      <c r="B299" s="63" t="str">
        <f aca="false">IF(元データ!$A$297="","",元データ!$A$297)</f>
        <v/>
      </c>
      <c r="C299" s="63" t="str">
        <f aca="false">IF(LEFT(B299,1)="(",IFERROR(VALUE(MID(B299,2,FIND(")",B299)-2)),""),"")</f>
        <v/>
      </c>
      <c r="D299" s="64" t="str">
        <f aca="false">IF($C299="","",N(元データ!$B$297))</f>
        <v/>
      </c>
      <c r="E299" s="64" t="str">
        <f aca="false">IF($C299="","",N(元データ!$C$297))</f>
        <v/>
      </c>
      <c r="F299" s="64" t="str">
        <f aca="false">IF($C299="","",N(元データ!$F$297))</f>
        <v/>
      </c>
      <c r="G299" s="63" t="str">
        <f aca="false">IF($C299="","",IF(COUNTIF(店舗マスタ!$B$5:$B$304,$C299)&gt;0,"登録済","未登録→マスタに追加"))</f>
        <v/>
      </c>
    </row>
    <row r="300" customFormat="false" ht="15" hidden="false" customHeight="false" outlineLevel="0" collapsed="false">
      <c r="A300" s="63" t="n">
        <v>298</v>
      </c>
      <c r="B300" s="63" t="str">
        <f aca="false">IF(元データ!$A$298="","",元データ!$A$298)</f>
        <v/>
      </c>
      <c r="C300" s="63" t="str">
        <f aca="false">IF(LEFT(B300,1)="(",IFERROR(VALUE(MID(B300,2,FIND(")",B300)-2)),""),"")</f>
        <v/>
      </c>
      <c r="D300" s="64" t="str">
        <f aca="false">IF($C300="","",N(元データ!$B$298))</f>
        <v/>
      </c>
      <c r="E300" s="64" t="str">
        <f aca="false">IF($C300="","",N(元データ!$C$298))</f>
        <v/>
      </c>
      <c r="F300" s="64" t="str">
        <f aca="false">IF($C300="","",N(元データ!$F$298))</f>
        <v/>
      </c>
      <c r="G300" s="63" t="str">
        <f aca="false">IF($C300="","",IF(COUNTIF(店舗マスタ!$B$5:$B$304,$C300)&gt;0,"登録済","未登録→マスタに追加"))</f>
        <v/>
      </c>
    </row>
    <row r="301" customFormat="false" ht="15" hidden="false" customHeight="false" outlineLevel="0" collapsed="false">
      <c r="A301" s="63" t="n">
        <v>299</v>
      </c>
      <c r="B301" s="63" t="str">
        <f aca="false">IF(元データ!$A$299="","",元データ!$A$299)</f>
        <v/>
      </c>
      <c r="C301" s="63" t="str">
        <f aca="false">IF(LEFT(B301,1)="(",IFERROR(VALUE(MID(B301,2,FIND(")",B301)-2)),""),"")</f>
        <v/>
      </c>
      <c r="D301" s="64" t="str">
        <f aca="false">IF($C301="","",N(元データ!$B$299))</f>
        <v/>
      </c>
      <c r="E301" s="64" t="str">
        <f aca="false">IF($C301="","",N(元データ!$C$299))</f>
        <v/>
      </c>
      <c r="F301" s="64" t="str">
        <f aca="false">IF($C301="","",N(元データ!$F$299))</f>
        <v/>
      </c>
      <c r="G301" s="63" t="str">
        <f aca="false">IF($C301="","",IF(COUNTIF(店舗マスタ!$B$5:$B$304,$C301)&gt;0,"登録済","未登録→マスタに追加"))</f>
        <v/>
      </c>
    </row>
    <row r="302" customFormat="false" ht="15" hidden="false" customHeight="false" outlineLevel="0" collapsed="false">
      <c r="A302" s="63" t="n">
        <v>300</v>
      </c>
      <c r="B302" s="63" t="str">
        <f aca="false">IF(元データ!$A$300="","",元データ!$A$300)</f>
        <v/>
      </c>
      <c r="C302" s="63" t="str">
        <f aca="false">IF(LEFT(B302,1)="(",IFERROR(VALUE(MID(B302,2,FIND(")",B302)-2)),""),"")</f>
        <v/>
      </c>
      <c r="D302" s="64" t="str">
        <f aca="false">IF($C302="","",N(元データ!$B$300))</f>
        <v/>
      </c>
      <c r="E302" s="64" t="str">
        <f aca="false">IF($C302="","",N(元データ!$C$300))</f>
        <v/>
      </c>
      <c r="F302" s="64" t="str">
        <f aca="false">IF($C302="","",N(元データ!$F$300))</f>
        <v/>
      </c>
      <c r="G302" s="63" t="str">
        <f aca="false">IF($C302="","",IF(COUNTIF(店舗マスタ!$B$5:$B$304,$C302)&gt;0,"登録済","未登録→マスタに追加"))</f>
        <v/>
      </c>
    </row>
    <row r="303" customFormat="false" ht="15" hidden="false" customHeight="false" outlineLevel="0" collapsed="false">
      <c r="A303" s="63" t="n">
        <v>301</v>
      </c>
      <c r="B303" s="63" t="str">
        <f aca="false">IF(元データ!$A$301="","",元データ!$A$301)</f>
        <v/>
      </c>
      <c r="C303" s="63" t="str">
        <f aca="false">IF(LEFT(B303,1)="(",IFERROR(VALUE(MID(B303,2,FIND(")",B303)-2)),""),"")</f>
        <v/>
      </c>
      <c r="D303" s="64" t="str">
        <f aca="false">IF($C303="","",N(元データ!$B$301))</f>
        <v/>
      </c>
      <c r="E303" s="64" t="str">
        <f aca="false">IF($C303="","",N(元データ!$C$301))</f>
        <v/>
      </c>
      <c r="F303" s="64" t="str">
        <f aca="false">IF($C303="","",N(元データ!$F$301))</f>
        <v/>
      </c>
      <c r="G303" s="63" t="str">
        <f aca="false">IF($C303="","",IF(COUNTIF(店舗マスタ!$B$5:$B$304,$C303)&gt;0,"登録済","未登録→マスタに追加"))</f>
        <v/>
      </c>
    </row>
    <row r="304" customFormat="false" ht="15" hidden="false" customHeight="false" outlineLevel="0" collapsed="false">
      <c r="A304" s="63" t="n">
        <v>302</v>
      </c>
      <c r="B304" s="63" t="str">
        <f aca="false">IF(元データ!$A$302="","",元データ!$A$302)</f>
        <v/>
      </c>
      <c r="C304" s="63" t="str">
        <f aca="false">IF(LEFT(B304,1)="(",IFERROR(VALUE(MID(B304,2,FIND(")",B304)-2)),""),"")</f>
        <v/>
      </c>
      <c r="D304" s="64" t="str">
        <f aca="false">IF($C304="","",N(元データ!$B$302))</f>
        <v/>
      </c>
      <c r="E304" s="64" t="str">
        <f aca="false">IF($C304="","",N(元データ!$C$302))</f>
        <v/>
      </c>
      <c r="F304" s="64" t="str">
        <f aca="false">IF($C304="","",N(元データ!$F$302))</f>
        <v/>
      </c>
      <c r="G304" s="63" t="str">
        <f aca="false">IF($C304="","",IF(COUNTIF(店舗マスタ!$B$5:$B$304,$C304)&gt;0,"登録済","未登録→マスタに追加"))</f>
        <v/>
      </c>
    </row>
    <row r="305" customFormat="false" ht="15" hidden="false" customHeight="false" outlineLevel="0" collapsed="false">
      <c r="A305" s="63" t="n">
        <v>303</v>
      </c>
      <c r="B305" s="63" t="str">
        <f aca="false">IF(元データ!$A$303="","",元データ!$A$303)</f>
        <v/>
      </c>
      <c r="C305" s="63" t="str">
        <f aca="false">IF(LEFT(B305,1)="(",IFERROR(VALUE(MID(B305,2,FIND(")",B305)-2)),""),"")</f>
        <v/>
      </c>
      <c r="D305" s="64" t="str">
        <f aca="false">IF($C305="","",N(元データ!$B$303))</f>
        <v/>
      </c>
      <c r="E305" s="64" t="str">
        <f aca="false">IF($C305="","",N(元データ!$C$303))</f>
        <v/>
      </c>
      <c r="F305" s="64" t="str">
        <f aca="false">IF($C305="","",N(元データ!$F$303))</f>
        <v/>
      </c>
      <c r="G305" s="63" t="str">
        <f aca="false">IF($C305="","",IF(COUNTIF(店舗マスタ!$B$5:$B$304,$C305)&gt;0,"登録済","未登録→マスタに追加"))</f>
        <v/>
      </c>
    </row>
    <row r="306" customFormat="false" ht="15" hidden="false" customHeight="false" outlineLevel="0" collapsed="false">
      <c r="A306" s="63" t="n">
        <v>304</v>
      </c>
      <c r="B306" s="63" t="str">
        <f aca="false">IF(元データ!$A$304="","",元データ!$A$304)</f>
        <v/>
      </c>
      <c r="C306" s="63" t="str">
        <f aca="false">IF(LEFT(B306,1)="(",IFERROR(VALUE(MID(B306,2,FIND(")",B306)-2)),""),"")</f>
        <v/>
      </c>
      <c r="D306" s="64" t="str">
        <f aca="false">IF($C306="","",N(元データ!$B$304))</f>
        <v/>
      </c>
      <c r="E306" s="64" t="str">
        <f aca="false">IF($C306="","",N(元データ!$C$304))</f>
        <v/>
      </c>
      <c r="F306" s="64" t="str">
        <f aca="false">IF($C306="","",N(元データ!$F$304))</f>
        <v/>
      </c>
      <c r="G306" s="63" t="str">
        <f aca="false">IF($C306="","",IF(COUNTIF(店舗マスタ!$B$5:$B$304,$C306)&gt;0,"登録済","未登録→マスタに追加"))</f>
        <v/>
      </c>
    </row>
    <row r="307" customFormat="false" ht="15" hidden="false" customHeight="false" outlineLevel="0" collapsed="false">
      <c r="A307" s="63" t="n">
        <v>305</v>
      </c>
      <c r="B307" s="63" t="str">
        <f aca="false">IF(元データ!$A$305="","",元データ!$A$305)</f>
        <v/>
      </c>
      <c r="C307" s="63" t="str">
        <f aca="false">IF(LEFT(B307,1)="(",IFERROR(VALUE(MID(B307,2,FIND(")",B307)-2)),""),"")</f>
        <v/>
      </c>
      <c r="D307" s="64" t="str">
        <f aca="false">IF($C307="","",N(元データ!$B$305))</f>
        <v/>
      </c>
      <c r="E307" s="64" t="str">
        <f aca="false">IF($C307="","",N(元データ!$C$305))</f>
        <v/>
      </c>
      <c r="F307" s="64" t="str">
        <f aca="false">IF($C307="","",N(元データ!$F$305))</f>
        <v/>
      </c>
      <c r="G307" s="63" t="str">
        <f aca="false">IF($C307="","",IF(COUNTIF(店舗マスタ!$B$5:$B$304,$C307)&gt;0,"登録済","未登録→マスタに追加"))</f>
        <v/>
      </c>
    </row>
    <row r="308" customFormat="false" ht="15" hidden="false" customHeight="false" outlineLevel="0" collapsed="false">
      <c r="A308" s="63" t="n">
        <v>306</v>
      </c>
      <c r="B308" s="63" t="str">
        <f aca="false">IF(元データ!$A$306="","",元データ!$A$306)</f>
        <v/>
      </c>
      <c r="C308" s="63" t="str">
        <f aca="false">IF(LEFT(B308,1)="(",IFERROR(VALUE(MID(B308,2,FIND(")",B308)-2)),""),"")</f>
        <v/>
      </c>
      <c r="D308" s="64" t="str">
        <f aca="false">IF($C308="","",N(元データ!$B$306))</f>
        <v/>
      </c>
      <c r="E308" s="64" t="str">
        <f aca="false">IF($C308="","",N(元データ!$C$306))</f>
        <v/>
      </c>
      <c r="F308" s="64" t="str">
        <f aca="false">IF($C308="","",N(元データ!$F$306))</f>
        <v/>
      </c>
      <c r="G308" s="63" t="str">
        <f aca="false">IF($C308="","",IF(COUNTIF(店舗マスタ!$B$5:$B$304,$C308)&gt;0,"登録済","未登録→マスタに追加"))</f>
        <v/>
      </c>
    </row>
    <row r="309" customFormat="false" ht="15" hidden="false" customHeight="false" outlineLevel="0" collapsed="false">
      <c r="A309" s="63" t="n">
        <v>307</v>
      </c>
      <c r="B309" s="63" t="str">
        <f aca="false">IF(元データ!$A$307="","",元データ!$A$307)</f>
        <v/>
      </c>
      <c r="C309" s="63" t="str">
        <f aca="false">IF(LEFT(B309,1)="(",IFERROR(VALUE(MID(B309,2,FIND(")",B309)-2)),""),"")</f>
        <v/>
      </c>
      <c r="D309" s="64" t="str">
        <f aca="false">IF($C309="","",N(元データ!$B$307))</f>
        <v/>
      </c>
      <c r="E309" s="64" t="str">
        <f aca="false">IF($C309="","",N(元データ!$C$307))</f>
        <v/>
      </c>
      <c r="F309" s="64" t="str">
        <f aca="false">IF($C309="","",N(元データ!$F$307))</f>
        <v/>
      </c>
      <c r="G309" s="63" t="str">
        <f aca="false">IF($C309="","",IF(COUNTIF(店舗マスタ!$B$5:$B$304,$C309)&gt;0,"登録済","未登録→マスタに追加"))</f>
        <v/>
      </c>
    </row>
    <row r="310" customFormat="false" ht="15" hidden="false" customHeight="false" outlineLevel="0" collapsed="false">
      <c r="A310" s="63" t="n">
        <v>308</v>
      </c>
      <c r="B310" s="63" t="str">
        <f aca="false">IF(元データ!$A$308="","",元データ!$A$308)</f>
        <v/>
      </c>
      <c r="C310" s="63" t="str">
        <f aca="false">IF(LEFT(B310,1)="(",IFERROR(VALUE(MID(B310,2,FIND(")",B310)-2)),""),"")</f>
        <v/>
      </c>
      <c r="D310" s="64" t="str">
        <f aca="false">IF($C310="","",N(元データ!$B$308))</f>
        <v/>
      </c>
      <c r="E310" s="64" t="str">
        <f aca="false">IF($C310="","",N(元データ!$C$308))</f>
        <v/>
      </c>
      <c r="F310" s="64" t="str">
        <f aca="false">IF($C310="","",N(元データ!$F$308))</f>
        <v/>
      </c>
      <c r="G310" s="63" t="str">
        <f aca="false">IF($C310="","",IF(COUNTIF(店舗マスタ!$B$5:$B$304,$C310)&gt;0,"登録済","未登録→マスタに追加"))</f>
        <v/>
      </c>
    </row>
    <row r="311" customFormat="false" ht="15" hidden="false" customHeight="false" outlineLevel="0" collapsed="false">
      <c r="A311" s="63" t="n">
        <v>309</v>
      </c>
      <c r="B311" s="63" t="str">
        <f aca="false">IF(元データ!$A$309="","",元データ!$A$309)</f>
        <v/>
      </c>
      <c r="C311" s="63" t="str">
        <f aca="false">IF(LEFT(B311,1)="(",IFERROR(VALUE(MID(B311,2,FIND(")",B311)-2)),""),"")</f>
        <v/>
      </c>
      <c r="D311" s="64" t="str">
        <f aca="false">IF($C311="","",N(元データ!$B$309))</f>
        <v/>
      </c>
      <c r="E311" s="64" t="str">
        <f aca="false">IF($C311="","",N(元データ!$C$309))</f>
        <v/>
      </c>
      <c r="F311" s="64" t="str">
        <f aca="false">IF($C311="","",N(元データ!$F$309))</f>
        <v/>
      </c>
      <c r="G311" s="63" t="str">
        <f aca="false">IF($C311="","",IF(COUNTIF(店舗マスタ!$B$5:$B$304,$C311)&gt;0,"登録済","未登録→マスタに追加"))</f>
        <v/>
      </c>
    </row>
    <row r="312" customFormat="false" ht="15" hidden="false" customHeight="false" outlineLevel="0" collapsed="false">
      <c r="A312" s="63" t="n">
        <v>310</v>
      </c>
      <c r="B312" s="63" t="str">
        <f aca="false">IF(元データ!$A$310="","",元データ!$A$310)</f>
        <v/>
      </c>
      <c r="C312" s="63" t="str">
        <f aca="false">IF(LEFT(B312,1)="(",IFERROR(VALUE(MID(B312,2,FIND(")",B312)-2)),""),"")</f>
        <v/>
      </c>
      <c r="D312" s="64" t="str">
        <f aca="false">IF($C312="","",N(元データ!$B$310))</f>
        <v/>
      </c>
      <c r="E312" s="64" t="str">
        <f aca="false">IF($C312="","",N(元データ!$C$310))</f>
        <v/>
      </c>
      <c r="F312" s="64" t="str">
        <f aca="false">IF($C312="","",N(元データ!$F$310))</f>
        <v/>
      </c>
      <c r="G312" s="63" t="str">
        <f aca="false">IF($C312="","",IF(COUNTIF(店舗マスタ!$B$5:$B$304,$C312)&gt;0,"登録済","未登録→マスタに追加"))</f>
        <v/>
      </c>
    </row>
    <row r="313" customFormat="false" ht="15" hidden="false" customHeight="false" outlineLevel="0" collapsed="false">
      <c r="A313" s="63" t="n">
        <v>311</v>
      </c>
      <c r="B313" s="63" t="str">
        <f aca="false">IF(元データ!$A$311="","",元データ!$A$311)</f>
        <v/>
      </c>
      <c r="C313" s="63" t="str">
        <f aca="false">IF(LEFT(B313,1)="(",IFERROR(VALUE(MID(B313,2,FIND(")",B313)-2)),""),"")</f>
        <v/>
      </c>
      <c r="D313" s="64" t="str">
        <f aca="false">IF($C313="","",N(元データ!$B$311))</f>
        <v/>
      </c>
      <c r="E313" s="64" t="str">
        <f aca="false">IF($C313="","",N(元データ!$C$311))</f>
        <v/>
      </c>
      <c r="F313" s="64" t="str">
        <f aca="false">IF($C313="","",N(元データ!$F$311))</f>
        <v/>
      </c>
      <c r="G313" s="63" t="str">
        <f aca="false">IF($C313="","",IF(COUNTIF(店舗マスタ!$B$5:$B$304,$C313)&gt;0,"登録済","未登録→マスタに追加"))</f>
        <v/>
      </c>
    </row>
    <row r="314" customFormat="false" ht="15" hidden="false" customHeight="false" outlineLevel="0" collapsed="false">
      <c r="A314" s="63" t="n">
        <v>312</v>
      </c>
      <c r="B314" s="63" t="str">
        <f aca="false">IF(元データ!$A$312="","",元データ!$A$312)</f>
        <v/>
      </c>
      <c r="C314" s="63" t="str">
        <f aca="false">IF(LEFT(B314,1)="(",IFERROR(VALUE(MID(B314,2,FIND(")",B314)-2)),""),"")</f>
        <v/>
      </c>
      <c r="D314" s="64" t="str">
        <f aca="false">IF($C314="","",N(元データ!$B$312))</f>
        <v/>
      </c>
      <c r="E314" s="64" t="str">
        <f aca="false">IF($C314="","",N(元データ!$C$312))</f>
        <v/>
      </c>
      <c r="F314" s="64" t="str">
        <f aca="false">IF($C314="","",N(元データ!$F$312))</f>
        <v/>
      </c>
      <c r="G314" s="63" t="str">
        <f aca="false">IF($C314="","",IF(COUNTIF(店舗マスタ!$B$5:$B$304,$C314)&gt;0,"登録済","未登録→マスタに追加"))</f>
        <v/>
      </c>
    </row>
    <row r="315" customFormat="false" ht="15" hidden="false" customHeight="false" outlineLevel="0" collapsed="false">
      <c r="A315" s="63" t="n">
        <v>313</v>
      </c>
      <c r="B315" s="63" t="str">
        <f aca="false">IF(元データ!$A$313="","",元データ!$A$313)</f>
        <v/>
      </c>
      <c r="C315" s="63" t="str">
        <f aca="false">IF(LEFT(B315,1)="(",IFERROR(VALUE(MID(B315,2,FIND(")",B315)-2)),""),"")</f>
        <v/>
      </c>
      <c r="D315" s="64" t="str">
        <f aca="false">IF($C315="","",N(元データ!$B$313))</f>
        <v/>
      </c>
      <c r="E315" s="64" t="str">
        <f aca="false">IF($C315="","",N(元データ!$C$313))</f>
        <v/>
      </c>
      <c r="F315" s="64" t="str">
        <f aca="false">IF($C315="","",N(元データ!$F$313))</f>
        <v/>
      </c>
      <c r="G315" s="63" t="str">
        <f aca="false">IF($C315="","",IF(COUNTIF(店舗マスタ!$B$5:$B$304,$C315)&gt;0,"登録済","未登録→マスタに追加"))</f>
        <v/>
      </c>
    </row>
    <row r="316" customFormat="false" ht="15" hidden="false" customHeight="false" outlineLevel="0" collapsed="false">
      <c r="A316" s="63" t="n">
        <v>314</v>
      </c>
      <c r="B316" s="63" t="str">
        <f aca="false">IF(元データ!$A$314="","",元データ!$A$314)</f>
        <v/>
      </c>
      <c r="C316" s="63" t="str">
        <f aca="false">IF(LEFT(B316,1)="(",IFERROR(VALUE(MID(B316,2,FIND(")",B316)-2)),""),"")</f>
        <v/>
      </c>
      <c r="D316" s="64" t="str">
        <f aca="false">IF($C316="","",N(元データ!$B$314))</f>
        <v/>
      </c>
      <c r="E316" s="64" t="str">
        <f aca="false">IF($C316="","",N(元データ!$C$314))</f>
        <v/>
      </c>
      <c r="F316" s="64" t="str">
        <f aca="false">IF($C316="","",N(元データ!$F$314))</f>
        <v/>
      </c>
      <c r="G316" s="63" t="str">
        <f aca="false">IF($C316="","",IF(COUNTIF(店舗マスタ!$B$5:$B$304,$C316)&gt;0,"登録済","未登録→マスタに追加"))</f>
        <v/>
      </c>
    </row>
    <row r="317" customFormat="false" ht="15" hidden="false" customHeight="false" outlineLevel="0" collapsed="false">
      <c r="A317" s="63" t="n">
        <v>315</v>
      </c>
      <c r="B317" s="63" t="str">
        <f aca="false">IF(元データ!$A$315="","",元データ!$A$315)</f>
        <v/>
      </c>
      <c r="C317" s="63" t="str">
        <f aca="false">IF(LEFT(B317,1)="(",IFERROR(VALUE(MID(B317,2,FIND(")",B317)-2)),""),"")</f>
        <v/>
      </c>
      <c r="D317" s="64" t="str">
        <f aca="false">IF($C317="","",N(元データ!$B$315))</f>
        <v/>
      </c>
      <c r="E317" s="64" t="str">
        <f aca="false">IF($C317="","",N(元データ!$C$315))</f>
        <v/>
      </c>
      <c r="F317" s="64" t="str">
        <f aca="false">IF($C317="","",N(元データ!$F$315))</f>
        <v/>
      </c>
      <c r="G317" s="63" t="str">
        <f aca="false">IF($C317="","",IF(COUNTIF(店舗マスタ!$B$5:$B$304,$C317)&gt;0,"登録済","未登録→マスタに追加"))</f>
        <v/>
      </c>
    </row>
    <row r="318" customFormat="false" ht="15" hidden="false" customHeight="false" outlineLevel="0" collapsed="false">
      <c r="A318" s="63" t="n">
        <v>316</v>
      </c>
      <c r="B318" s="63" t="str">
        <f aca="false">IF(元データ!$A$316="","",元データ!$A$316)</f>
        <v/>
      </c>
      <c r="C318" s="63" t="str">
        <f aca="false">IF(LEFT(B318,1)="(",IFERROR(VALUE(MID(B318,2,FIND(")",B318)-2)),""),"")</f>
        <v/>
      </c>
      <c r="D318" s="64" t="str">
        <f aca="false">IF($C318="","",N(元データ!$B$316))</f>
        <v/>
      </c>
      <c r="E318" s="64" t="str">
        <f aca="false">IF($C318="","",N(元データ!$C$316))</f>
        <v/>
      </c>
      <c r="F318" s="64" t="str">
        <f aca="false">IF($C318="","",N(元データ!$F$316))</f>
        <v/>
      </c>
      <c r="G318" s="63" t="str">
        <f aca="false">IF($C318="","",IF(COUNTIF(店舗マスタ!$B$5:$B$304,$C318)&gt;0,"登録済","未登録→マスタに追加"))</f>
        <v/>
      </c>
    </row>
    <row r="319" customFormat="false" ht="15" hidden="false" customHeight="false" outlineLevel="0" collapsed="false">
      <c r="A319" s="63" t="n">
        <v>317</v>
      </c>
      <c r="B319" s="63" t="str">
        <f aca="false">IF(元データ!$A$317="","",元データ!$A$317)</f>
        <v/>
      </c>
      <c r="C319" s="63" t="str">
        <f aca="false">IF(LEFT(B319,1)="(",IFERROR(VALUE(MID(B319,2,FIND(")",B319)-2)),""),"")</f>
        <v/>
      </c>
      <c r="D319" s="64" t="str">
        <f aca="false">IF($C319="","",N(元データ!$B$317))</f>
        <v/>
      </c>
      <c r="E319" s="64" t="str">
        <f aca="false">IF($C319="","",N(元データ!$C$317))</f>
        <v/>
      </c>
      <c r="F319" s="64" t="str">
        <f aca="false">IF($C319="","",N(元データ!$F$317))</f>
        <v/>
      </c>
      <c r="G319" s="63" t="str">
        <f aca="false">IF($C319="","",IF(COUNTIF(店舗マスタ!$B$5:$B$304,$C319)&gt;0,"登録済","未登録→マスタに追加"))</f>
        <v/>
      </c>
    </row>
    <row r="320" customFormat="false" ht="15" hidden="false" customHeight="false" outlineLevel="0" collapsed="false">
      <c r="A320" s="63" t="n">
        <v>318</v>
      </c>
      <c r="B320" s="63" t="str">
        <f aca="false">IF(元データ!$A$318="","",元データ!$A$318)</f>
        <v/>
      </c>
      <c r="C320" s="63" t="str">
        <f aca="false">IF(LEFT(B320,1)="(",IFERROR(VALUE(MID(B320,2,FIND(")",B320)-2)),""),"")</f>
        <v/>
      </c>
      <c r="D320" s="64" t="str">
        <f aca="false">IF($C320="","",N(元データ!$B$318))</f>
        <v/>
      </c>
      <c r="E320" s="64" t="str">
        <f aca="false">IF($C320="","",N(元データ!$C$318))</f>
        <v/>
      </c>
      <c r="F320" s="64" t="str">
        <f aca="false">IF($C320="","",N(元データ!$F$318))</f>
        <v/>
      </c>
      <c r="G320" s="63" t="str">
        <f aca="false">IF($C320="","",IF(COUNTIF(店舗マスタ!$B$5:$B$304,$C320)&gt;0,"登録済","未登録→マスタに追加"))</f>
        <v/>
      </c>
    </row>
    <row r="321" customFormat="false" ht="15" hidden="false" customHeight="false" outlineLevel="0" collapsed="false">
      <c r="A321" s="63" t="n">
        <v>319</v>
      </c>
      <c r="B321" s="63" t="str">
        <f aca="false">IF(元データ!$A$319="","",元データ!$A$319)</f>
        <v/>
      </c>
      <c r="C321" s="63" t="str">
        <f aca="false">IF(LEFT(B321,1)="(",IFERROR(VALUE(MID(B321,2,FIND(")",B321)-2)),""),"")</f>
        <v/>
      </c>
      <c r="D321" s="64" t="str">
        <f aca="false">IF($C321="","",N(元データ!$B$319))</f>
        <v/>
      </c>
      <c r="E321" s="64" t="str">
        <f aca="false">IF($C321="","",N(元データ!$C$319))</f>
        <v/>
      </c>
      <c r="F321" s="64" t="str">
        <f aca="false">IF($C321="","",N(元データ!$F$319))</f>
        <v/>
      </c>
      <c r="G321" s="63" t="str">
        <f aca="false">IF($C321="","",IF(COUNTIF(店舗マスタ!$B$5:$B$304,$C321)&gt;0,"登録済","未登録→マスタに追加"))</f>
        <v/>
      </c>
    </row>
    <row r="322" customFormat="false" ht="15" hidden="false" customHeight="false" outlineLevel="0" collapsed="false">
      <c r="A322" s="63" t="n">
        <v>320</v>
      </c>
      <c r="B322" s="63" t="str">
        <f aca="false">IF(元データ!$A$320="","",元データ!$A$320)</f>
        <v/>
      </c>
      <c r="C322" s="63" t="str">
        <f aca="false">IF(LEFT(B322,1)="(",IFERROR(VALUE(MID(B322,2,FIND(")",B322)-2)),""),"")</f>
        <v/>
      </c>
      <c r="D322" s="64" t="str">
        <f aca="false">IF($C322="","",N(元データ!$B$320))</f>
        <v/>
      </c>
      <c r="E322" s="64" t="str">
        <f aca="false">IF($C322="","",N(元データ!$C$320))</f>
        <v/>
      </c>
      <c r="F322" s="64" t="str">
        <f aca="false">IF($C322="","",N(元データ!$F$320))</f>
        <v/>
      </c>
      <c r="G322" s="63" t="str">
        <f aca="false">IF($C322="","",IF(COUNTIF(店舗マスタ!$B$5:$B$304,$C322)&gt;0,"登録済","未登録→マスタに追加"))</f>
        <v/>
      </c>
    </row>
    <row r="323" customFormat="false" ht="15" hidden="false" customHeight="false" outlineLevel="0" collapsed="false">
      <c r="A323" s="63" t="n">
        <v>321</v>
      </c>
      <c r="B323" s="63" t="str">
        <f aca="false">IF(元データ!$A$321="","",元データ!$A$321)</f>
        <v/>
      </c>
      <c r="C323" s="63" t="str">
        <f aca="false">IF(LEFT(B323,1)="(",IFERROR(VALUE(MID(B323,2,FIND(")",B323)-2)),""),"")</f>
        <v/>
      </c>
      <c r="D323" s="64" t="str">
        <f aca="false">IF($C323="","",N(元データ!$B$321))</f>
        <v/>
      </c>
      <c r="E323" s="64" t="str">
        <f aca="false">IF($C323="","",N(元データ!$C$321))</f>
        <v/>
      </c>
      <c r="F323" s="64" t="str">
        <f aca="false">IF($C323="","",N(元データ!$F$321))</f>
        <v/>
      </c>
      <c r="G323" s="63" t="str">
        <f aca="false">IF($C323="","",IF(COUNTIF(店舗マスタ!$B$5:$B$304,$C323)&gt;0,"登録済","未登録→マスタに追加"))</f>
        <v/>
      </c>
    </row>
    <row r="324" customFormat="false" ht="15" hidden="false" customHeight="false" outlineLevel="0" collapsed="false">
      <c r="A324" s="63" t="n">
        <v>322</v>
      </c>
      <c r="B324" s="63" t="str">
        <f aca="false">IF(元データ!$A$322="","",元データ!$A$322)</f>
        <v/>
      </c>
      <c r="C324" s="63" t="str">
        <f aca="false">IF(LEFT(B324,1)="(",IFERROR(VALUE(MID(B324,2,FIND(")",B324)-2)),""),"")</f>
        <v/>
      </c>
      <c r="D324" s="64" t="str">
        <f aca="false">IF($C324="","",N(元データ!$B$322))</f>
        <v/>
      </c>
      <c r="E324" s="64" t="str">
        <f aca="false">IF($C324="","",N(元データ!$C$322))</f>
        <v/>
      </c>
      <c r="F324" s="64" t="str">
        <f aca="false">IF($C324="","",N(元データ!$F$322))</f>
        <v/>
      </c>
      <c r="G324" s="63" t="str">
        <f aca="false">IF($C324="","",IF(COUNTIF(店舗マスタ!$B$5:$B$304,$C324)&gt;0,"登録済","未登録→マスタに追加"))</f>
        <v/>
      </c>
    </row>
    <row r="325" customFormat="false" ht="15" hidden="false" customHeight="false" outlineLevel="0" collapsed="false">
      <c r="A325" s="63" t="n">
        <v>323</v>
      </c>
      <c r="B325" s="63" t="str">
        <f aca="false">IF(元データ!$A$323="","",元データ!$A$323)</f>
        <v/>
      </c>
      <c r="C325" s="63" t="str">
        <f aca="false">IF(LEFT(B325,1)="(",IFERROR(VALUE(MID(B325,2,FIND(")",B325)-2)),""),"")</f>
        <v/>
      </c>
      <c r="D325" s="64" t="str">
        <f aca="false">IF($C325="","",N(元データ!$B$323))</f>
        <v/>
      </c>
      <c r="E325" s="64" t="str">
        <f aca="false">IF($C325="","",N(元データ!$C$323))</f>
        <v/>
      </c>
      <c r="F325" s="64" t="str">
        <f aca="false">IF($C325="","",N(元データ!$F$323))</f>
        <v/>
      </c>
      <c r="G325" s="63" t="str">
        <f aca="false">IF($C325="","",IF(COUNTIF(店舗マスタ!$B$5:$B$304,$C325)&gt;0,"登録済","未登録→マスタに追加"))</f>
        <v/>
      </c>
    </row>
    <row r="326" customFormat="false" ht="15" hidden="false" customHeight="false" outlineLevel="0" collapsed="false">
      <c r="A326" s="63" t="n">
        <v>324</v>
      </c>
      <c r="B326" s="63" t="str">
        <f aca="false">IF(元データ!$A$324="","",元データ!$A$324)</f>
        <v/>
      </c>
      <c r="C326" s="63" t="str">
        <f aca="false">IF(LEFT(B326,1)="(",IFERROR(VALUE(MID(B326,2,FIND(")",B326)-2)),""),"")</f>
        <v/>
      </c>
      <c r="D326" s="64" t="str">
        <f aca="false">IF($C326="","",N(元データ!$B$324))</f>
        <v/>
      </c>
      <c r="E326" s="64" t="str">
        <f aca="false">IF($C326="","",N(元データ!$C$324))</f>
        <v/>
      </c>
      <c r="F326" s="64" t="str">
        <f aca="false">IF($C326="","",N(元データ!$F$324))</f>
        <v/>
      </c>
      <c r="G326" s="63" t="str">
        <f aca="false">IF($C326="","",IF(COUNTIF(店舗マスタ!$B$5:$B$304,$C326)&gt;0,"登録済","未登録→マスタに追加"))</f>
        <v/>
      </c>
    </row>
    <row r="327" customFormat="false" ht="15" hidden="false" customHeight="false" outlineLevel="0" collapsed="false">
      <c r="A327" s="63" t="n">
        <v>325</v>
      </c>
      <c r="B327" s="63" t="str">
        <f aca="false">IF(元データ!$A$325="","",元データ!$A$325)</f>
        <v/>
      </c>
      <c r="C327" s="63" t="str">
        <f aca="false">IF(LEFT(B327,1)="(",IFERROR(VALUE(MID(B327,2,FIND(")",B327)-2)),""),"")</f>
        <v/>
      </c>
      <c r="D327" s="64" t="str">
        <f aca="false">IF($C327="","",N(元データ!$B$325))</f>
        <v/>
      </c>
      <c r="E327" s="64" t="str">
        <f aca="false">IF($C327="","",N(元データ!$C$325))</f>
        <v/>
      </c>
      <c r="F327" s="64" t="str">
        <f aca="false">IF($C327="","",N(元データ!$F$325))</f>
        <v/>
      </c>
      <c r="G327" s="63" t="str">
        <f aca="false">IF($C327="","",IF(COUNTIF(店舗マスタ!$B$5:$B$304,$C327)&gt;0,"登録済","未登録→マスタに追加"))</f>
        <v/>
      </c>
    </row>
    <row r="328" customFormat="false" ht="15" hidden="false" customHeight="false" outlineLevel="0" collapsed="false">
      <c r="A328" s="63" t="n">
        <v>326</v>
      </c>
      <c r="B328" s="63" t="str">
        <f aca="false">IF(元データ!$A$326="","",元データ!$A$326)</f>
        <v/>
      </c>
      <c r="C328" s="63" t="str">
        <f aca="false">IF(LEFT(B328,1)="(",IFERROR(VALUE(MID(B328,2,FIND(")",B328)-2)),""),"")</f>
        <v/>
      </c>
      <c r="D328" s="64" t="str">
        <f aca="false">IF($C328="","",N(元データ!$B$326))</f>
        <v/>
      </c>
      <c r="E328" s="64" t="str">
        <f aca="false">IF($C328="","",N(元データ!$C$326))</f>
        <v/>
      </c>
      <c r="F328" s="64" t="str">
        <f aca="false">IF($C328="","",N(元データ!$F$326))</f>
        <v/>
      </c>
      <c r="G328" s="63" t="str">
        <f aca="false">IF($C328="","",IF(COUNTIF(店舗マスタ!$B$5:$B$304,$C328)&gt;0,"登録済","未登録→マスタに追加"))</f>
        <v/>
      </c>
    </row>
    <row r="329" customFormat="false" ht="15" hidden="false" customHeight="false" outlineLevel="0" collapsed="false">
      <c r="A329" s="63" t="n">
        <v>327</v>
      </c>
      <c r="B329" s="63" t="str">
        <f aca="false">IF(元データ!$A$327="","",元データ!$A$327)</f>
        <v/>
      </c>
      <c r="C329" s="63" t="str">
        <f aca="false">IF(LEFT(B329,1)="(",IFERROR(VALUE(MID(B329,2,FIND(")",B329)-2)),""),"")</f>
        <v/>
      </c>
      <c r="D329" s="64" t="str">
        <f aca="false">IF($C329="","",N(元データ!$B$327))</f>
        <v/>
      </c>
      <c r="E329" s="64" t="str">
        <f aca="false">IF($C329="","",N(元データ!$C$327))</f>
        <v/>
      </c>
      <c r="F329" s="64" t="str">
        <f aca="false">IF($C329="","",N(元データ!$F$327))</f>
        <v/>
      </c>
      <c r="G329" s="63" t="str">
        <f aca="false">IF($C329="","",IF(COUNTIF(店舗マスタ!$B$5:$B$304,$C329)&gt;0,"登録済","未登録→マスタに追加"))</f>
        <v/>
      </c>
    </row>
    <row r="330" customFormat="false" ht="15" hidden="false" customHeight="false" outlineLevel="0" collapsed="false">
      <c r="A330" s="63" t="n">
        <v>328</v>
      </c>
      <c r="B330" s="63" t="str">
        <f aca="false">IF(元データ!$A$328="","",元データ!$A$328)</f>
        <v/>
      </c>
      <c r="C330" s="63" t="str">
        <f aca="false">IF(LEFT(B330,1)="(",IFERROR(VALUE(MID(B330,2,FIND(")",B330)-2)),""),"")</f>
        <v/>
      </c>
      <c r="D330" s="64" t="str">
        <f aca="false">IF($C330="","",N(元データ!$B$328))</f>
        <v/>
      </c>
      <c r="E330" s="64" t="str">
        <f aca="false">IF($C330="","",N(元データ!$C$328))</f>
        <v/>
      </c>
      <c r="F330" s="64" t="str">
        <f aca="false">IF($C330="","",N(元データ!$F$328))</f>
        <v/>
      </c>
      <c r="G330" s="63" t="str">
        <f aca="false">IF($C330="","",IF(COUNTIF(店舗マスタ!$B$5:$B$304,$C330)&gt;0,"登録済","未登録→マスタに追加"))</f>
        <v/>
      </c>
    </row>
    <row r="331" customFormat="false" ht="15" hidden="false" customHeight="false" outlineLevel="0" collapsed="false">
      <c r="A331" s="63" t="n">
        <v>329</v>
      </c>
      <c r="B331" s="63" t="str">
        <f aca="false">IF(元データ!$A$329="","",元データ!$A$329)</f>
        <v/>
      </c>
      <c r="C331" s="63" t="str">
        <f aca="false">IF(LEFT(B331,1)="(",IFERROR(VALUE(MID(B331,2,FIND(")",B331)-2)),""),"")</f>
        <v/>
      </c>
      <c r="D331" s="64" t="str">
        <f aca="false">IF($C331="","",N(元データ!$B$329))</f>
        <v/>
      </c>
      <c r="E331" s="64" t="str">
        <f aca="false">IF($C331="","",N(元データ!$C$329))</f>
        <v/>
      </c>
      <c r="F331" s="64" t="str">
        <f aca="false">IF($C331="","",N(元データ!$F$329))</f>
        <v/>
      </c>
      <c r="G331" s="63" t="str">
        <f aca="false">IF($C331="","",IF(COUNTIF(店舗マスタ!$B$5:$B$304,$C331)&gt;0,"登録済","未登録→マスタに追加"))</f>
        <v/>
      </c>
    </row>
    <row r="332" customFormat="false" ht="15" hidden="false" customHeight="false" outlineLevel="0" collapsed="false">
      <c r="A332" s="63" t="n">
        <v>330</v>
      </c>
      <c r="B332" s="63" t="str">
        <f aca="false">IF(元データ!$A$330="","",元データ!$A$330)</f>
        <v/>
      </c>
      <c r="C332" s="63" t="str">
        <f aca="false">IF(LEFT(B332,1)="(",IFERROR(VALUE(MID(B332,2,FIND(")",B332)-2)),""),"")</f>
        <v/>
      </c>
      <c r="D332" s="64" t="str">
        <f aca="false">IF($C332="","",N(元データ!$B$330))</f>
        <v/>
      </c>
      <c r="E332" s="64" t="str">
        <f aca="false">IF($C332="","",N(元データ!$C$330))</f>
        <v/>
      </c>
      <c r="F332" s="64" t="str">
        <f aca="false">IF($C332="","",N(元データ!$F$330))</f>
        <v/>
      </c>
      <c r="G332" s="63" t="str">
        <f aca="false">IF($C332="","",IF(COUNTIF(店舗マスタ!$B$5:$B$304,$C332)&gt;0,"登録済","未登録→マスタに追加"))</f>
        <v/>
      </c>
    </row>
    <row r="333" customFormat="false" ht="15" hidden="false" customHeight="false" outlineLevel="0" collapsed="false">
      <c r="A333" s="63" t="n">
        <v>331</v>
      </c>
      <c r="B333" s="63" t="str">
        <f aca="false">IF(元データ!$A$331="","",元データ!$A$331)</f>
        <v/>
      </c>
      <c r="C333" s="63" t="str">
        <f aca="false">IF(LEFT(B333,1)="(",IFERROR(VALUE(MID(B333,2,FIND(")",B333)-2)),""),"")</f>
        <v/>
      </c>
      <c r="D333" s="64" t="str">
        <f aca="false">IF($C333="","",N(元データ!$B$331))</f>
        <v/>
      </c>
      <c r="E333" s="64" t="str">
        <f aca="false">IF($C333="","",N(元データ!$C$331))</f>
        <v/>
      </c>
      <c r="F333" s="64" t="str">
        <f aca="false">IF($C333="","",N(元データ!$F$331))</f>
        <v/>
      </c>
      <c r="G333" s="63" t="str">
        <f aca="false">IF($C333="","",IF(COUNTIF(店舗マスタ!$B$5:$B$304,$C333)&gt;0,"登録済","未登録→マスタに追加"))</f>
        <v/>
      </c>
    </row>
    <row r="334" customFormat="false" ht="15" hidden="false" customHeight="false" outlineLevel="0" collapsed="false">
      <c r="A334" s="63" t="n">
        <v>332</v>
      </c>
      <c r="B334" s="63" t="str">
        <f aca="false">IF(元データ!$A$332="","",元データ!$A$332)</f>
        <v/>
      </c>
      <c r="C334" s="63" t="str">
        <f aca="false">IF(LEFT(B334,1)="(",IFERROR(VALUE(MID(B334,2,FIND(")",B334)-2)),""),"")</f>
        <v/>
      </c>
      <c r="D334" s="64" t="str">
        <f aca="false">IF($C334="","",N(元データ!$B$332))</f>
        <v/>
      </c>
      <c r="E334" s="64" t="str">
        <f aca="false">IF($C334="","",N(元データ!$C$332))</f>
        <v/>
      </c>
      <c r="F334" s="64" t="str">
        <f aca="false">IF($C334="","",N(元データ!$F$332))</f>
        <v/>
      </c>
      <c r="G334" s="63" t="str">
        <f aca="false">IF($C334="","",IF(COUNTIF(店舗マスタ!$B$5:$B$304,$C334)&gt;0,"登録済","未登録→マスタに追加"))</f>
        <v/>
      </c>
    </row>
    <row r="335" customFormat="false" ht="15" hidden="false" customHeight="false" outlineLevel="0" collapsed="false">
      <c r="A335" s="63" t="n">
        <v>333</v>
      </c>
      <c r="B335" s="63" t="str">
        <f aca="false">IF(元データ!$A$333="","",元データ!$A$333)</f>
        <v/>
      </c>
      <c r="C335" s="63" t="str">
        <f aca="false">IF(LEFT(B335,1)="(",IFERROR(VALUE(MID(B335,2,FIND(")",B335)-2)),""),"")</f>
        <v/>
      </c>
      <c r="D335" s="64" t="str">
        <f aca="false">IF($C335="","",N(元データ!$B$333))</f>
        <v/>
      </c>
      <c r="E335" s="64" t="str">
        <f aca="false">IF($C335="","",N(元データ!$C$333))</f>
        <v/>
      </c>
      <c r="F335" s="64" t="str">
        <f aca="false">IF($C335="","",N(元データ!$F$333))</f>
        <v/>
      </c>
      <c r="G335" s="63" t="str">
        <f aca="false">IF($C335="","",IF(COUNTIF(店舗マスタ!$B$5:$B$304,$C335)&gt;0,"登録済","未登録→マスタに追加"))</f>
        <v/>
      </c>
    </row>
    <row r="336" customFormat="false" ht="15" hidden="false" customHeight="false" outlineLevel="0" collapsed="false">
      <c r="A336" s="63" t="n">
        <v>334</v>
      </c>
      <c r="B336" s="63" t="str">
        <f aca="false">IF(元データ!$A$334="","",元データ!$A$334)</f>
        <v/>
      </c>
      <c r="C336" s="63" t="str">
        <f aca="false">IF(LEFT(B336,1)="(",IFERROR(VALUE(MID(B336,2,FIND(")",B336)-2)),""),"")</f>
        <v/>
      </c>
      <c r="D336" s="64" t="str">
        <f aca="false">IF($C336="","",N(元データ!$B$334))</f>
        <v/>
      </c>
      <c r="E336" s="64" t="str">
        <f aca="false">IF($C336="","",N(元データ!$C$334))</f>
        <v/>
      </c>
      <c r="F336" s="64" t="str">
        <f aca="false">IF($C336="","",N(元データ!$F$334))</f>
        <v/>
      </c>
      <c r="G336" s="63" t="str">
        <f aca="false">IF($C336="","",IF(COUNTIF(店舗マスタ!$B$5:$B$304,$C336)&gt;0,"登録済","未登録→マスタに追加"))</f>
        <v/>
      </c>
    </row>
    <row r="337" customFormat="false" ht="15" hidden="false" customHeight="false" outlineLevel="0" collapsed="false">
      <c r="A337" s="63" t="n">
        <v>335</v>
      </c>
      <c r="B337" s="63" t="str">
        <f aca="false">IF(元データ!$A$335="","",元データ!$A$335)</f>
        <v/>
      </c>
      <c r="C337" s="63" t="str">
        <f aca="false">IF(LEFT(B337,1)="(",IFERROR(VALUE(MID(B337,2,FIND(")",B337)-2)),""),"")</f>
        <v/>
      </c>
      <c r="D337" s="64" t="str">
        <f aca="false">IF($C337="","",N(元データ!$B$335))</f>
        <v/>
      </c>
      <c r="E337" s="64" t="str">
        <f aca="false">IF($C337="","",N(元データ!$C$335))</f>
        <v/>
      </c>
      <c r="F337" s="64" t="str">
        <f aca="false">IF($C337="","",N(元データ!$F$335))</f>
        <v/>
      </c>
      <c r="G337" s="63" t="str">
        <f aca="false">IF($C337="","",IF(COUNTIF(店舗マスタ!$B$5:$B$304,$C337)&gt;0,"登録済","未登録→マスタに追加"))</f>
        <v/>
      </c>
    </row>
    <row r="338" customFormat="false" ht="15" hidden="false" customHeight="false" outlineLevel="0" collapsed="false">
      <c r="A338" s="63" t="n">
        <v>336</v>
      </c>
      <c r="B338" s="63" t="str">
        <f aca="false">IF(元データ!$A$336="","",元データ!$A$336)</f>
        <v/>
      </c>
      <c r="C338" s="63" t="str">
        <f aca="false">IF(LEFT(B338,1)="(",IFERROR(VALUE(MID(B338,2,FIND(")",B338)-2)),""),"")</f>
        <v/>
      </c>
      <c r="D338" s="64" t="str">
        <f aca="false">IF($C338="","",N(元データ!$B$336))</f>
        <v/>
      </c>
      <c r="E338" s="64" t="str">
        <f aca="false">IF($C338="","",N(元データ!$C$336))</f>
        <v/>
      </c>
      <c r="F338" s="64" t="str">
        <f aca="false">IF($C338="","",N(元データ!$F$336))</f>
        <v/>
      </c>
      <c r="G338" s="63" t="str">
        <f aca="false">IF($C338="","",IF(COUNTIF(店舗マスタ!$B$5:$B$304,$C338)&gt;0,"登録済","未登録→マスタに追加"))</f>
        <v/>
      </c>
    </row>
    <row r="339" customFormat="false" ht="15" hidden="false" customHeight="false" outlineLevel="0" collapsed="false">
      <c r="A339" s="63" t="n">
        <v>337</v>
      </c>
      <c r="B339" s="63" t="str">
        <f aca="false">IF(元データ!$A$337="","",元データ!$A$337)</f>
        <v/>
      </c>
      <c r="C339" s="63" t="str">
        <f aca="false">IF(LEFT(B339,1)="(",IFERROR(VALUE(MID(B339,2,FIND(")",B339)-2)),""),"")</f>
        <v/>
      </c>
      <c r="D339" s="64" t="str">
        <f aca="false">IF($C339="","",N(元データ!$B$337))</f>
        <v/>
      </c>
      <c r="E339" s="64" t="str">
        <f aca="false">IF($C339="","",N(元データ!$C$337))</f>
        <v/>
      </c>
      <c r="F339" s="64" t="str">
        <f aca="false">IF($C339="","",N(元データ!$F$337))</f>
        <v/>
      </c>
      <c r="G339" s="63" t="str">
        <f aca="false">IF($C339="","",IF(COUNTIF(店舗マスタ!$B$5:$B$304,$C339)&gt;0,"登録済","未登録→マスタに追加"))</f>
        <v/>
      </c>
    </row>
    <row r="340" customFormat="false" ht="15" hidden="false" customHeight="false" outlineLevel="0" collapsed="false">
      <c r="A340" s="63" t="n">
        <v>338</v>
      </c>
      <c r="B340" s="63" t="str">
        <f aca="false">IF(元データ!$A$338="","",元データ!$A$338)</f>
        <v/>
      </c>
      <c r="C340" s="63" t="str">
        <f aca="false">IF(LEFT(B340,1)="(",IFERROR(VALUE(MID(B340,2,FIND(")",B340)-2)),""),"")</f>
        <v/>
      </c>
      <c r="D340" s="64" t="str">
        <f aca="false">IF($C340="","",N(元データ!$B$338))</f>
        <v/>
      </c>
      <c r="E340" s="64" t="str">
        <f aca="false">IF($C340="","",N(元データ!$C$338))</f>
        <v/>
      </c>
      <c r="F340" s="64" t="str">
        <f aca="false">IF($C340="","",N(元データ!$F$338))</f>
        <v/>
      </c>
      <c r="G340" s="63" t="str">
        <f aca="false">IF($C340="","",IF(COUNTIF(店舗マスタ!$B$5:$B$304,$C340)&gt;0,"登録済","未登録→マスタに追加"))</f>
        <v/>
      </c>
    </row>
    <row r="341" customFormat="false" ht="15" hidden="false" customHeight="false" outlineLevel="0" collapsed="false">
      <c r="A341" s="63" t="n">
        <v>339</v>
      </c>
      <c r="B341" s="63" t="str">
        <f aca="false">IF(元データ!$A$339="","",元データ!$A$339)</f>
        <v/>
      </c>
      <c r="C341" s="63" t="str">
        <f aca="false">IF(LEFT(B341,1)="(",IFERROR(VALUE(MID(B341,2,FIND(")",B341)-2)),""),"")</f>
        <v/>
      </c>
      <c r="D341" s="64" t="str">
        <f aca="false">IF($C341="","",N(元データ!$B$339))</f>
        <v/>
      </c>
      <c r="E341" s="64" t="str">
        <f aca="false">IF($C341="","",N(元データ!$C$339))</f>
        <v/>
      </c>
      <c r="F341" s="64" t="str">
        <f aca="false">IF($C341="","",N(元データ!$F$339))</f>
        <v/>
      </c>
      <c r="G341" s="63" t="str">
        <f aca="false">IF($C341="","",IF(COUNTIF(店舗マスタ!$B$5:$B$304,$C341)&gt;0,"登録済","未登録→マスタに追加"))</f>
        <v/>
      </c>
    </row>
    <row r="342" customFormat="false" ht="15" hidden="false" customHeight="false" outlineLevel="0" collapsed="false">
      <c r="A342" s="63" t="n">
        <v>340</v>
      </c>
      <c r="B342" s="63" t="str">
        <f aca="false">IF(元データ!$A$340="","",元データ!$A$340)</f>
        <v/>
      </c>
      <c r="C342" s="63" t="str">
        <f aca="false">IF(LEFT(B342,1)="(",IFERROR(VALUE(MID(B342,2,FIND(")",B342)-2)),""),"")</f>
        <v/>
      </c>
      <c r="D342" s="64" t="str">
        <f aca="false">IF($C342="","",N(元データ!$B$340))</f>
        <v/>
      </c>
      <c r="E342" s="64" t="str">
        <f aca="false">IF($C342="","",N(元データ!$C$340))</f>
        <v/>
      </c>
      <c r="F342" s="64" t="str">
        <f aca="false">IF($C342="","",N(元データ!$F$340))</f>
        <v/>
      </c>
      <c r="G342" s="63" t="str">
        <f aca="false">IF($C342="","",IF(COUNTIF(店舗マスタ!$B$5:$B$304,$C342)&gt;0,"登録済","未登録→マスタに追加"))</f>
        <v/>
      </c>
    </row>
    <row r="343" customFormat="false" ht="15" hidden="false" customHeight="false" outlineLevel="0" collapsed="false">
      <c r="A343" s="63" t="n">
        <v>341</v>
      </c>
      <c r="B343" s="63" t="str">
        <f aca="false">IF(元データ!$A$341="","",元データ!$A$341)</f>
        <v/>
      </c>
      <c r="C343" s="63" t="str">
        <f aca="false">IF(LEFT(B343,1)="(",IFERROR(VALUE(MID(B343,2,FIND(")",B343)-2)),""),"")</f>
        <v/>
      </c>
      <c r="D343" s="64" t="str">
        <f aca="false">IF($C343="","",N(元データ!$B$341))</f>
        <v/>
      </c>
      <c r="E343" s="64" t="str">
        <f aca="false">IF($C343="","",N(元データ!$C$341))</f>
        <v/>
      </c>
      <c r="F343" s="64" t="str">
        <f aca="false">IF($C343="","",N(元データ!$F$341))</f>
        <v/>
      </c>
      <c r="G343" s="63" t="str">
        <f aca="false">IF($C343="","",IF(COUNTIF(店舗マスタ!$B$5:$B$304,$C343)&gt;0,"登録済","未登録→マスタに追加"))</f>
        <v/>
      </c>
    </row>
    <row r="344" customFormat="false" ht="15" hidden="false" customHeight="false" outlineLevel="0" collapsed="false">
      <c r="A344" s="63" t="n">
        <v>342</v>
      </c>
      <c r="B344" s="63" t="str">
        <f aca="false">IF(元データ!$A$342="","",元データ!$A$342)</f>
        <v/>
      </c>
      <c r="C344" s="63" t="str">
        <f aca="false">IF(LEFT(B344,1)="(",IFERROR(VALUE(MID(B344,2,FIND(")",B344)-2)),""),"")</f>
        <v/>
      </c>
      <c r="D344" s="64" t="str">
        <f aca="false">IF($C344="","",N(元データ!$B$342))</f>
        <v/>
      </c>
      <c r="E344" s="64" t="str">
        <f aca="false">IF($C344="","",N(元データ!$C$342))</f>
        <v/>
      </c>
      <c r="F344" s="64" t="str">
        <f aca="false">IF($C344="","",N(元データ!$F$342))</f>
        <v/>
      </c>
      <c r="G344" s="63" t="str">
        <f aca="false">IF($C344="","",IF(COUNTIF(店舗マスタ!$B$5:$B$304,$C344)&gt;0,"登録済","未登録→マスタに追加"))</f>
        <v/>
      </c>
    </row>
    <row r="345" customFormat="false" ht="15" hidden="false" customHeight="false" outlineLevel="0" collapsed="false">
      <c r="A345" s="63" t="n">
        <v>343</v>
      </c>
      <c r="B345" s="63" t="str">
        <f aca="false">IF(元データ!$A$343="","",元データ!$A$343)</f>
        <v/>
      </c>
      <c r="C345" s="63" t="str">
        <f aca="false">IF(LEFT(B345,1)="(",IFERROR(VALUE(MID(B345,2,FIND(")",B345)-2)),""),"")</f>
        <v/>
      </c>
      <c r="D345" s="64" t="str">
        <f aca="false">IF($C345="","",N(元データ!$B$343))</f>
        <v/>
      </c>
      <c r="E345" s="64" t="str">
        <f aca="false">IF($C345="","",N(元データ!$C$343))</f>
        <v/>
      </c>
      <c r="F345" s="64" t="str">
        <f aca="false">IF($C345="","",N(元データ!$F$343))</f>
        <v/>
      </c>
      <c r="G345" s="63" t="str">
        <f aca="false">IF($C345="","",IF(COUNTIF(店舗マスタ!$B$5:$B$304,$C345)&gt;0,"登録済","未登録→マスタに追加"))</f>
        <v/>
      </c>
    </row>
    <row r="346" customFormat="false" ht="15" hidden="false" customHeight="false" outlineLevel="0" collapsed="false">
      <c r="A346" s="63" t="n">
        <v>344</v>
      </c>
      <c r="B346" s="63" t="str">
        <f aca="false">IF(元データ!$A$344="","",元データ!$A$344)</f>
        <v/>
      </c>
      <c r="C346" s="63" t="str">
        <f aca="false">IF(LEFT(B346,1)="(",IFERROR(VALUE(MID(B346,2,FIND(")",B346)-2)),""),"")</f>
        <v/>
      </c>
      <c r="D346" s="64" t="str">
        <f aca="false">IF($C346="","",N(元データ!$B$344))</f>
        <v/>
      </c>
      <c r="E346" s="64" t="str">
        <f aca="false">IF($C346="","",N(元データ!$C$344))</f>
        <v/>
      </c>
      <c r="F346" s="64" t="str">
        <f aca="false">IF($C346="","",N(元データ!$F$344))</f>
        <v/>
      </c>
      <c r="G346" s="63" t="str">
        <f aca="false">IF($C346="","",IF(COUNTIF(店舗マスタ!$B$5:$B$304,$C346)&gt;0,"登録済","未登録→マスタに追加"))</f>
        <v/>
      </c>
    </row>
    <row r="347" customFormat="false" ht="15" hidden="false" customHeight="false" outlineLevel="0" collapsed="false">
      <c r="A347" s="63" t="n">
        <v>345</v>
      </c>
      <c r="B347" s="63" t="str">
        <f aca="false">IF(元データ!$A$345="","",元データ!$A$345)</f>
        <v/>
      </c>
      <c r="C347" s="63" t="str">
        <f aca="false">IF(LEFT(B347,1)="(",IFERROR(VALUE(MID(B347,2,FIND(")",B347)-2)),""),"")</f>
        <v/>
      </c>
      <c r="D347" s="64" t="str">
        <f aca="false">IF($C347="","",N(元データ!$B$345))</f>
        <v/>
      </c>
      <c r="E347" s="64" t="str">
        <f aca="false">IF($C347="","",N(元データ!$C$345))</f>
        <v/>
      </c>
      <c r="F347" s="64" t="str">
        <f aca="false">IF($C347="","",N(元データ!$F$345))</f>
        <v/>
      </c>
      <c r="G347" s="63" t="str">
        <f aca="false">IF($C347="","",IF(COUNTIF(店舗マスタ!$B$5:$B$304,$C347)&gt;0,"登録済","未登録→マスタに追加"))</f>
        <v/>
      </c>
    </row>
    <row r="348" customFormat="false" ht="15" hidden="false" customHeight="false" outlineLevel="0" collapsed="false">
      <c r="A348" s="63" t="n">
        <v>346</v>
      </c>
      <c r="B348" s="63" t="str">
        <f aca="false">IF(元データ!$A$346="","",元データ!$A$346)</f>
        <v/>
      </c>
      <c r="C348" s="63" t="str">
        <f aca="false">IF(LEFT(B348,1)="(",IFERROR(VALUE(MID(B348,2,FIND(")",B348)-2)),""),"")</f>
        <v/>
      </c>
      <c r="D348" s="64" t="str">
        <f aca="false">IF($C348="","",N(元データ!$B$346))</f>
        <v/>
      </c>
      <c r="E348" s="64" t="str">
        <f aca="false">IF($C348="","",N(元データ!$C$346))</f>
        <v/>
      </c>
      <c r="F348" s="64" t="str">
        <f aca="false">IF($C348="","",N(元データ!$F$346))</f>
        <v/>
      </c>
      <c r="G348" s="63" t="str">
        <f aca="false">IF($C348="","",IF(COUNTIF(店舗マスタ!$B$5:$B$304,$C348)&gt;0,"登録済","未登録→マスタに追加"))</f>
        <v/>
      </c>
    </row>
    <row r="349" customFormat="false" ht="15" hidden="false" customHeight="false" outlineLevel="0" collapsed="false">
      <c r="A349" s="63" t="n">
        <v>347</v>
      </c>
      <c r="B349" s="63" t="str">
        <f aca="false">IF(元データ!$A$347="","",元データ!$A$347)</f>
        <v/>
      </c>
      <c r="C349" s="63" t="str">
        <f aca="false">IF(LEFT(B349,1)="(",IFERROR(VALUE(MID(B349,2,FIND(")",B349)-2)),""),"")</f>
        <v/>
      </c>
      <c r="D349" s="64" t="str">
        <f aca="false">IF($C349="","",N(元データ!$B$347))</f>
        <v/>
      </c>
      <c r="E349" s="64" t="str">
        <f aca="false">IF($C349="","",N(元データ!$C$347))</f>
        <v/>
      </c>
      <c r="F349" s="64" t="str">
        <f aca="false">IF($C349="","",N(元データ!$F$347))</f>
        <v/>
      </c>
      <c r="G349" s="63" t="str">
        <f aca="false">IF($C349="","",IF(COUNTIF(店舗マスタ!$B$5:$B$304,$C349)&gt;0,"登録済","未登録→マスタに追加"))</f>
        <v/>
      </c>
    </row>
    <row r="350" customFormat="false" ht="15" hidden="false" customHeight="false" outlineLevel="0" collapsed="false">
      <c r="A350" s="63" t="n">
        <v>348</v>
      </c>
      <c r="B350" s="63" t="str">
        <f aca="false">IF(元データ!$A$348="","",元データ!$A$348)</f>
        <v/>
      </c>
      <c r="C350" s="63" t="str">
        <f aca="false">IF(LEFT(B350,1)="(",IFERROR(VALUE(MID(B350,2,FIND(")",B350)-2)),""),"")</f>
        <v/>
      </c>
      <c r="D350" s="64" t="str">
        <f aca="false">IF($C350="","",N(元データ!$B$348))</f>
        <v/>
      </c>
      <c r="E350" s="64" t="str">
        <f aca="false">IF($C350="","",N(元データ!$C$348))</f>
        <v/>
      </c>
      <c r="F350" s="64" t="str">
        <f aca="false">IF($C350="","",N(元データ!$F$348))</f>
        <v/>
      </c>
      <c r="G350" s="63" t="str">
        <f aca="false">IF($C350="","",IF(COUNTIF(店舗マスタ!$B$5:$B$304,$C350)&gt;0,"登録済","未登録→マスタに追加"))</f>
        <v/>
      </c>
    </row>
    <row r="351" customFormat="false" ht="15" hidden="false" customHeight="false" outlineLevel="0" collapsed="false">
      <c r="A351" s="63" t="n">
        <v>349</v>
      </c>
      <c r="B351" s="63" t="str">
        <f aca="false">IF(元データ!$A$349="","",元データ!$A$349)</f>
        <v/>
      </c>
      <c r="C351" s="63" t="str">
        <f aca="false">IF(LEFT(B351,1)="(",IFERROR(VALUE(MID(B351,2,FIND(")",B351)-2)),""),"")</f>
        <v/>
      </c>
      <c r="D351" s="64" t="str">
        <f aca="false">IF($C351="","",N(元データ!$B$349))</f>
        <v/>
      </c>
      <c r="E351" s="64" t="str">
        <f aca="false">IF($C351="","",N(元データ!$C$349))</f>
        <v/>
      </c>
      <c r="F351" s="64" t="str">
        <f aca="false">IF($C351="","",N(元データ!$F$349))</f>
        <v/>
      </c>
      <c r="G351" s="63" t="str">
        <f aca="false">IF($C351="","",IF(COUNTIF(店舗マスタ!$B$5:$B$304,$C351)&gt;0,"登録済","未登録→マスタに追加"))</f>
        <v/>
      </c>
    </row>
    <row r="352" customFormat="false" ht="15" hidden="false" customHeight="false" outlineLevel="0" collapsed="false">
      <c r="A352" s="63" t="n">
        <v>350</v>
      </c>
      <c r="B352" s="63" t="str">
        <f aca="false">IF(元データ!$A$350="","",元データ!$A$350)</f>
        <v/>
      </c>
      <c r="C352" s="63" t="str">
        <f aca="false">IF(LEFT(B352,1)="(",IFERROR(VALUE(MID(B352,2,FIND(")",B352)-2)),""),"")</f>
        <v/>
      </c>
      <c r="D352" s="64" t="str">
        <f aca="false">IF($C352="","",N(元データ!$B$350))</f>
        <v/>
      </c>
      <c r="E352" s="64" t="str">
        <f aca="false">IF($C352="","",N(元データ!$C$350))</f>
        <v/>
      </c>
      <c r="F352" s="64" t="str">
        <f aca="false">IF($C352="","",N(元データ!$F$350))</f>
        <v/>
      </c>
      <c r="G352" s="63" t="str">
        <f aca="false">IF($C352="","",IF(COUNTIF(店舗マスタ!$B$5:$B$304,$C352)&gt;0,"登録済","未登録→マスタに追加"))</f>
        <v/>
      </c>
    </row>
    <row r="353" customFormat="false" ht="15" hidden="false" customHeight="false" outlineLevel="0" collapsed="false">
      <c r="A353" s="63" t="n">
        <v>351</v>
      </c>
      <c r="B353" s="63" t="str">
        <f aca="false">IF(元データ!$A$351="","",元データ!$A$351)</f>
        <v/>
      </c>
      <c r="C353" s="63" t="str">
        <f aca="false">IF(LEFT(B353,1)="(",IFERROR(VALUE(MID(B353,2,FIND(")",B353)-2)),""),"")</f>
        <v/>
      </c>
      <c r="D353" s="64" t="str">
        <f aca="false">IF($C353="","",N(元データ!$B$351))</f>
        <v/>
      </c>
      <c r="E353" s="64" t="str">
        <f aca="false">IF($C353="","",N(元データ!$C$351))</f>
        <v/>
      </c>
      <c r="F353" s="64" t="str">
        <f aca="false">IF($C353="","",N(元データ!$F$351))</f>
        <v/>
      </c>
      <c r="G353" s="63" t="str">
        <f aca="false">IF($C353="","",IF(COUNTIF(店舗マスタ!$B$5:$B$304,$C353)&gt;0,"登録済","未登録→マスタに追加"))</f>
        <v/>
      </c>
    </row>
    <row r="354" customFormat="false" ht="15" hidden="false" customHeight="false" outlineLevel="0" collapsed="false">
      <c r="A354" s="63" t="n">
        <v>352</v>
      </c>
      <c r="B354" s="63" t="str">
        <f aca="false">IF(元データ!$A$352="","",元データ!$A$352)</f>
        <v/>
      </c>
      <c r="C354" s="63" t="str">
        <f aca="false">IF(LEFT(B354,1)="(",IFERROR(VALUE(MID(B354,2,FIND(")",B354)-2)),""),"")</f>
        <v/>
      </c>
      <c r="D354" s="64" t="str">
        <f aca="false">IF($C354="","",N(元データ!$B$352))</f>
        <v/>
      </c>
      <c r="E354" s="64" t="str">
        <f aca="false">IF($C354="","",N(元データ!$C$352))</f>
        <v/>
      </c>
      <c r="F354" s="64" t="str">
        <f aca="false">IF($C354="","",N(元データ!$F$352))</f>
        <v/>
      </c>
      <c r="G354" s="63" t="str">
        <f aca="false">IF($C354="","",IF(COUNTIF(店舗マスタ!$B$5:$B$304,$C354)&gt;0,"登録済","未登録→マスタに追加"))</f>
        <v/>
      </c>
    </row>
    <row r="355" customFormat="false" ht="15" hidden="false" customHeight="false" outlineLevel="0" collapsed="false">
      <c r="A355" s="63" t="n">
        <v>353</v>
      </c>
      <c r="B355" s="63" t="str">
        <f aca="false">IF(元データ!$A$353="","",元データ!$A$353)</f>
        <v/>
      </c>
      <c r="C355" s="63" t="str">
        <f aca="false">IF(LEFT(B355,1)="(",IFERROR(VALUE(MID(B355,2,FIND(")",B355)-2)),""),"")</f>
        <v/>
      </c>
      <c r="D355" s="64" t="str">
        <f aca="false">IF($C355="","",N(元データ!$B$353))</f>
        <v/>
      </c>
      <c r="E355" s="64" t="str">
        <f aca="false">IF($C355="","",N(元データ!$C$353))</f>
        <v/>
      </c>
      <c r="F355" s="64" t="str">
        <f aca="false">IF($C355="","",N(元データ!$F$353))</f>
        <v/>
      </c>
      <c r="G355" s="63" t="str">
        <f aca="false">IF($C355="","",IF(COUNTIF(店舗マスタ!$B$5:$B$304,$C355)&gt;0,"登録済","未登録→マスタに追加"))</f>
        <v/>
      </c>
    </row>
    <row r="356" customFormat="false" ht="15" hidden="false" customHeight="false" outlineLevel="0" collapsed="false">
      <c r="A356" s="63" t="n">
        <v>354</v>
      </c>
      <c r="B356" s="63" t="str">
        <f aca="false">IF(元データ!$A$354="","",元データ!$A$354)</f>
        <v/>
      </c>
      <c r="C356" s="63" t="str">
        <f aca="false">IF(LEFT(B356,1)="(",IFERROR(VALUE(MID(B356,2,FIND(")",B356)-2)),""),"")</f>
        <v/>
      </c>
      <c r="D356" s="64" t="str">
        <f aca="false">IF($C356="","",N(元データ!$B$354))</f>
        <v/>
      </c>
      <c r="E356" s="64" t="str">
        <f aca="false">IF($C356="","",N(元データ!$C$354))</f>
        <v/>
      </c>
      <c r="F356" s="64" t="str">
        <f aca="false">IF($C356="","",N(元データ!$F$354))</f>
        <v/>
      </c>
      <c r="G356" s="63" t="str">
        <f aca="false">IF($C356="","",IF(COUNTIF(店舗マスタ!$B$5:$B$304,$C356)&gt;0,"登録済","未登録→マスタに追加"))</f>
        <v/>
      </c>
    </row>
    <row r="357" customFormat="false" ht="15" hidden="false" customHeight="false" outlineLevel="0" collapsed="false">
      <c r="A357" s="63" t="n">
        <v>355</v>
      </c>
      <c r="B357" s="63" t="str">
        <f aca="false">IF(元データ!$A$355="","",元データ!$A$355)</f>
        <v/>
      </c>
      <c r="C357" s="63" t="str">
        <f aca="false">IF(LEFT(B357,1)="(",IFERROR(VALUE(MID(B357,2,FIND(")",B357)-2)),""),"")</f>
        <v/>
      </c>
      <c r="D357" s="64" t="str">
        <f aca="false">IF($C357="","",N(元データ!$B$355))</f>
        <v/>
      </c>
      <c r="E357" s="64" t="str">
        <f aca="false">IF($C357="","",N(元データ!$C$355))</f>
        <v/>
      </c>
      <c r="F357" s="64" t="str">
        <f aca="false">IF($C357="","",N(元データ!$F$355))</f>
        <v/>
      </c>
      <c r="G357" s="63" t="str">
        <f aca="false">IF($C357="","",IF(COUNTIF(店舗マスタ!$B$5:$B$304,$C357)&gt;0,"登録済","未登録→マスタに追加"))</f>
        <v/>
      </c>
    </row>
    <row r="358" customFormat="false" ht="15" hidden="false" customHeight="false" outlineLevel="0" collapsed="false">
      <c r="A358" s="63" t="n">
        <v>356</v>
      </c>
      <c r="B358" s="63" t="str">
        <f aca="false">IF(元データ!$A$356="","",元データ!$A$356)</f>
        <v/>
      </c>
      <c r="C358" s="63" t="str">
        <f aca="false">IF(LEFT(B358,1)="(",IFERROR(VALUE(MID(B358,2,FIND(")",B358)-2)),""),"")</f>
        <v/>
      </c>
      <c r="D358" s="64" t="str">
        <f aca="false">IF($C358="","",N(元データ!$B$356))</f>
        <v/>
      </c>
      <c r="E358" s="64" t="str">
        <f aca="false">IF($C358="","",N(元データ!$C$356))</f>
        <v/>
      </c>
      <c r="F358" s="64" t="str">
        <f aca="false">IF($C358="","",N(元データ!$F$356))</f>
        <v/>
      </c>
      <c r="G358" s="63" t="str">
        <f aca="false">IF($C358="","",IF(COUNTIF(店舗マスタ!$B$5:$B$304,$C358)&gt;0,"登録済","未登録→マスタに追加"))</f>
        <v/>
      </c>
    </row>
    <row r="359" customFormat="false" ht="15" hidden="false" customHeight="false" outlineLevel="0" collapsed="false">
      <c r="A359" s="63" t="n">
        <v>357</v>
      </c>
      <c r="B359" s="63" t="str">
        <f aca="false">IF(元データ!$A$357="","",元データ!$A$357)</f>
        <v/>
      </c>
      <c r="C359" s="63" t="str">
        <f aca="false">IF(LEFT(B359,1)="(",IFERROR(VALUE(MID(B359,2,FIND(")",B359)-2)),""),"")</f>
        <v/>
      </c>
      <c r="D359" s="64" t="str">
        <f aca="false">IF($C359="","",N(元データ!$B$357))</f>
        <v/>
      </c>
      <c r="E359" s="64" t="str">
        <f aca="false">IF($C359="","",N(元データ!$C$357))</f>
        <v/>
      </c>
      <c r="F359" s="64" t="str">
        <f aca="false">IF($C359="","",N(元データ!$F$357))</f>
        <v/>
      </c>
      <c r="G359" s="63" t="str">
        <f aca="false">IF($C359="","",IF(COUNTIF(店舗マスタ!$B$5:$B$304,$C359)&gt;0,"登録済","未登録→マスタに追加"))</f>
        <v/>
      </c>
    </row>
    <row r="360" customFormat="false" ht="15" hidden="false" customHeight="false" outlineLevel="0" collapsed="false">
      <c r="A360" s="63" t="n">
        <v>358</v>
      </c>
      <c r="B360" s="63" t="str">
        <f aca="false">IF(元データ!$A$358="","",元データ!$A$358)</f>
        <v/>
      </c>
      <c r="C360" s="63" t="str">
        <f aca="false">IF(LEFT(B360,1)="(",IFERROR(VALUE(MID(B360,2,FIND(")",B360)-2)),""),"")</f>
        <v/>
      </c>
      <c r="D360" s="64" t="str">
        <f aca="false">IF($C360="","",N(元データ!$B$358))</f>
        <v/>
      </c>
      <c r="E360" s="64" t="str">
        <f aca="false">IF($C360="","",N(元データ!$C$358))</f>
        <v/>
      </c>
      <c r="F360" s="64" t="str">
        <f aca="false">IF($C360="","",N(元データ!$F$358))</f>
        <v/>
      </c>
      <c r="G360" s="63" t="str">
        <f aca="false">IF($C360="","",IF(COUNTIF(店舗マスタ!$B$5:$B$304,$C360)&gt;0,"登録済","未登録→マスタに追加"))</f>
        <v/>
      </c>
    </row>
    <row r="361" customFormat="false" ht="15" hidden="false" customHeight="false" outlineLevel="0" collapsed="false">
      <c r="A361" s="63" t="n">
        <v>359</v>
      </c>
      <c r="B361" s="63" t="str">
        <f aca="false">IF(元データ!$A$359="","",元データ!$A$359)</f>
        <v/>
      </c>
      <c r="C361" s="63" t="str">
        <f aca="false">IF(LEFT(B361,1)="(",IFERROR(VALUE(MID(B361,2,FIND(")",B361)-2)),""),"")</f>
        <v/>
      </c>
      <c r="D361" s="64" t="str">
        <f aca="false">IF($C361="","",N(元データ!$B$359))</f>
        <v/>
      </c>
      <c r="E361" s="64" t="str">
        <f aca="false">IF($C361="","",N(元データ!$C$359))</f>
        <v/>
      </c>
      <c r="F361" s="64" t="str">
        <f aca="false">IF($C361="","",N(元データ!$F$359))</f>
        <v/>
      </c>
      <c r="G361" s="63" t="str">
        <f aca="false">IF($C361="","",IF(COUNTIF(店舗マスタ!$B$5:$B$304,$C361)&gt;0,"登録済","未登録→マスタに追加"))</f>
        <v/>
      </c>
    </row>
    <row r="362" customFormat="false" ht="15" hidden="false" customHeight="false" outlineLevel="0" collapsed="false">
      <c r="A362" s="63" t="n">
        <v>360</v>
      </c>
      <c r="B362" s="63" t="str">
        <f aca="false">IF(元データ!$A$360="","",元データ!$A$360)</f>
        <v/>
      </c>
      <c r="C362" s="63" t="str">
        <f aca="false">IF(LEFT(B362,1)="(",IFERROR(VALUE(MID(B362,2,FIND(")",B362)-2)),""),"")</f>
        <v/>
      </c>
      <c r="D362" s="64" t="str">
        <f aca="false">IF($C362="","",N(元データ!$B$360))</f>
        <v/>
      </c>
      <c r="E362" s="64" t="str">
        <f aca="false">IF($C362="","",N(元データ!$C$360))</f>
        <v/>
      </c>
      <c r="F362" s="64" t="str">
        <f aca="false">IF($C362="","",N(元データ!$F$360))</f>
        <v/>
      </c>
      <c r="G362" s="63" t="str">
        <f aca="false">IF($C362="","",IF(COUNTIF(店舗マスタ!$B$5:$B$304,$C362)&gt;0,"登録済","未登録→マスタに追加"))</f>
        <v/>
      </c>
    </row>
    <row r="363" customFormat="false" ht="15" hidden="false" customHeight="false" outlineLevel="0" collapsed="false">
      <c r="A363" s="63" t="n">
        <v>361</v>
      </c>
      <c r="B363" s="63" t="str">
        <f aca="false">IF(元データ!$A$361="","",元データ!$A$361)</f>
        <v/>
      </c>
      <c r="C363" s="63" t="str">
        <f aca="false">IF(LEFT(B363,1)="(",IFERROR(VALUE(MID(B363,2,FIND(")",B363)-2)),""),"")</f>
        <v/>
      </c>
      <c r="D363" s="64" t="str">
        <f aca="false">IF($C363="","",N(元データ!$B$361))</f>
        <v/>
      </c>
      <c r="E363" s="64" t="str">
        <f aca="false">IF($C363="","",N(元データ!$C$361))</f>
        <v/>
      </c>
      <c r="F363" s="64" t="str">
        <f aca="false">IF($C363="","",N(元データ!$F$361))</f>
        <v/>
      </c>
      <c r="G363" s="63" t="str">
        <f aca="false">IF($C363="","",IF(COUNTIF(店舗マスタ!$B$5:$B$304,$C363)&gt;0,"登録済","未登録→マスタに追加"))</f>
        <v/>
      </c>
    </row>
    <row r="364" customFormat="false" ht="15" hidden="false" customHeight="false" outlineLevel="0" collapsed="false">
      <c r="A364" s="63" t="n">
        <v>362</v>
      </c>
      <c r="B364" s="63" t="str">
        <f aca="false">IF(元データ!$A$362="","",元データ!$A$362)</f>
        <v/>
      </c>
      <c r="C364" s="63" t="str">
        <f aca="false">IF(LEFT(B364,1)="(",IFERROR(VALUE(MID(B364,2,FIND(")",B364)-2)),""),"")</f>
        <v/>
      </c>
      <c r="D364" s="64" t="str">
        <f aca="false">IF($C364="","",N(元データ!$B$362))</f>
        <v/>
      </c>
      <c r="E364" s="64" t="str">
        <f aca="false">IF($C364="","",N(元データ!$C$362))</f>
        <v/>
      </c>
      <c r="F364" s="64" t="str">
        <f aca="false">IF($C364="","",N(元データ!$F$362))</f>
        <v/>
      </c>
      <c r="G364" s="63" t="str">
        <f aca="false">IF($C364="","",IF(COUNTIF(店舗マスタ!$B$5:$B$304,$C364)&gt;0,"登録済","未登録→マスタに追加"))</f>
        <v/>
      </c>
    </row>
    <row r="365" customFormat="false" ht="15" hidden="false" customHeight="false" outlineLevel="0" collapsed="false">
      <c r="A365" s="63" t="n">
        <v>363</v>
      </c>
      <c r="B365" s="63" t="str">
        <f aca="false">IF(元データ!$A$363="","",元データ!$A$363)</f>
        <v/>
      </c>
      <c r="C365" s="63" t="str">
        <f aca="false">IF(LEFT(B365,1)="(",IFERROR(VALUE(MID(B365,2,FIND(")",B365)-2)),""),"")</f>
        <v/>
      </c>
      <c r="D365" s="64" t="str">
        <f aca="false">IF($C365="","",N(元データ!$B$363))</f>
        <v/>
      </c>
      <c r="E365" s="64" t="str">
        <f aca="false">IF($C365="","",N(元データ!$C$363))</f>
        <v/>
      </c>
      <c r="F365" s="64" t="str">
        <f aca="false">IF($C365="","",N(元データ!$F$363))</f>
        <v/>
      </c>
      <c r="G365" s="63" t="str">
        <f aca="false">IF($C365="","",IF(COUNTIF(店舗マスタ!$B$5:$B$304,$C365)&gt;0,"登録済","未登録→マスタに追加"))</f>
        <v/>
      </c>
    </row>
    <row r="366" customFormat="false" ht="15" hidden="false" customHeight="false" outlineLevel="0" collapsed="false">
      <c r="A366" s="63" t="n">
        <v>364</v>
      </c>
      <c r="B366" s="63" t="str">
        <f aca="false">IF(元データ!$A$364="","",元データ!$A$364)</f>
        <v/>
      </c>
      <c r="C366" s="63" t="str">
        <f aca="false">IF(LEFT(B366,1)="(",IFERROR(VALUE(MID(B366,2,FIND(")",B366)-2)),""),"")</f>
        <v/>
      </c>
      <c r="D366" s="64" t="str">
        <f aca="false">IF($C366="","",N(元データ!$B$364))</f>
        <v/>
      </c>
      <c r="E366" s="64" t="str">
        <f aca="false">IF($C366="","",N(元データ!$C$364))</f>
        <v/>
      </c>
      <c r="F366" s="64" t="str">
        <f aca="false">IF($C366="","",N(元データ!$F$364))</f>
        <v/>
      </c>
      <c r="G366" s="63" t="str">
        <f aca="false">IF($C366="","",IF(COUNTIF(店舗マスタ!$B$5:$B$304,$C366)&gt;0,"登録済","未登録→マスタに追加"))</f>
        <v/>
      </c>
    </row>
    <row r="367" customFormat="false" ht="15" hidden="false" customHeight="false" outlineLevel="0" collapsed="false">
      <c r="A367" s="63" t="n">
        <v>365</v>
      </c>
      <c r="B367" s="63" t="str">
        <f aca="false">IF(元データ!$A$365="","",元データ!$A$365)</f>
        <v/>
      </c>
      <c r="C367" s="63" t="str">
        <f aca="false">IF(LEFT(B367,1)="(",IFERROR(VALUE(MID(B367,2,FIND(")",B367)-2)),""),"")</f>
        <v/>
      </c>
      <c r="D367" s="64" t="str">
        <f aca="false">IF($C367="","",N(元データ!$B$365))</f>
        <v/>
      </c>
      <c r="E367" s="64" t="str">
        <f aca="false">IF($C367="","",N(元データ!$C$365))</f>
        <v/>
      </c>
      <c r="F367" s="64" t="str">
        <f aca="false">IF($C367="","",N(元データ!$F$365))</f>
        <v/>
      </c>
      <c r="G367" s="63" t="str">
        <f aca="false">IF($C367="","",IF(COUNTIF(店舗マスタ!$B$5:$B$304,$C367)&gt;0,"登録済","未登録→マスタに追加"))</f>
        <v/>
      </c>
    </row>
    <row r="368" customFormat="false" ht="15" hidden="false" customHeight="false" outlineLevel="0" collapsed="false">
      <c r="A368" s="63" t="n">
        <v>366</v>
      </c>
      <c r="B368" s="63" t="str">
        <f aca="false">IF(元データ!$A$366="","",元データ!$A$366)</f>
        <v/>
      </c>
      <c r="C368" s="63" t="str">
        <f aca="false">IF(LEFT(B368,1)="(",IFERROR(VALUE(MID(B368,2,FIND(")",B368)-2)),""),"")</f>
        <v/>
      </c>
      <c r="D368" s="64" t="str">
        <f aca="false">IF($C368="","",N(元データ!$B$366))</f>
        <v/>
      </c>
      <c r="E368" s="64" t="str">
        <f aca="false">IF($C368="","",N(元データ!$C$366))</f>
        <v/>
      </c>
      <c r="F368" s="64" t="str">
        <f aca="false">IF($C368="","",N(元データ!$F$366))</f>
        <v/>
      </c>
      <c r="G368" s="63" t="str">
        <f aca="false">IF($C368="","",IF(COUNTIF(店舗マスタ!$B$5:$B$304,$C368)&gt;0,"登録済","未登録→マスタに追加"))</f>
        <v/>
      </c>
    </row>
    <row r="369" customFormat="false" ht="15" hidden="false" customHeight="false" outlineLevel="0" collapsed="false">
      <c r="A369" s="63" t="n">
        <v>367</v>
      </c>
      <c r="B369" s="63" t="str">
        <f aca="false">IF(元データ!$A$367="","",元データ!$A$367)</f>
        <v/>
      </c>
      <c r="C369" s="63" t="str">
        <f aca="false">IF(LEFT(B369,1)="(",IFERROR(VALUE(MID(B369,2,FIND(")",B369)-2)),""),"")</f>
        <v/>
      </c>
      <c r="D369" s="64" t="str">
        <f aca="false">IF($C369="","",N(元データ!$B$367))</f>
        <v/>
      </c>
      <c r="E369" s="64" t="str">
        <f aca="false">IF($C369="","",N(元データ!$C$367))</f>
        <v/>
      </c>
      <c r="F369" s="64" t="str">
        <f aca="false">IF($C369="","",N(元データ!$F$367))</f>
        <v/>
      </c>
      <c r="G369" s="63" t="str">
        <f aca="false">IF($C369="","",IF(COUNTIF(店舗マスタ!$B$5:$B$304,$C369)&gt;0,"登録済","未登録→マスタに追加"))</f>
        <v/>
      </c>
    </row>
    <row r="370" customFormat="false" ht="15" hidden="false" customHeight="false" outlineLevel="0" collapsed="false">
      <c r="A370" s="63" t="n">
        <v>368</v>
      </c>
      <c r="B370" s="63" t="str">
        <f aca="false">IF(元データ!$A$368="","",元データ!$A$368)</f>
        <v/>
      </c>
      <c r="C370" s="63" t="str">
        <f aca="false">IF(LEFT(B370,1)="(",IFERROR(VALUE(MID(B370,2,FIND(")",B370)-2)),""),"")</f>
        <v/>
      </c>
      <c r="D370" s="64" t="str">
        <f aca="false">IF($C370="","",N(元データ!$B$368))</f>
        <v/>
      </c>
      <c r="E370" s="64" t="str">
        <f aca="false">IF($C370="","",N(元データ!$C$368))</f>
        <v/>
      </c>
      <c r="F370" s="64" t="str">
        <f aca="false">IF($C370="","",N(元データ!$F$368))</f>
        <v/>
      </c>
      <c r="G370" s="63" t="str">
        <f aca="false">IF($C370="","",IF(COUNTIF(店舗マスタ!$B$5:$B$304,$C370)&gt;0,"登録済","未登録→マスタに追加"))</f>
        <v/>
      </c>
    </row>
    <row r="371" customFormat="false" ht="15" hidden="false" customHeight="false" outlineLevel="0" collapsed="false">
      <c r="A371" s="63" t="n">
        <v>369</v>
      </c>
      <c r="B371" s="63" t="str">
        <f aca="false">IF(元データ!$A$369="","",元データ!$A$369)</f>
        <v/>
      </c>
      <c r="C371" s="63" t="str">
        <f aca="false">IF(LEFT(B371,1)="(",IFERROR(VALUE(MID(B371,2,FIND(")",B371)-2)),""),"")</f>
        <v/>
      </c>
      <c r="D371" s="64" t="str">
        <f aca="false">IF($C371="","",N(元データ!$B$369))</f>
        <v/>
      </c>
      <c r="E371" s="64" t="str">
        <f aca="false">IF($C371="","",N(元データ!$C$369))</f>
        <v/>
      </c>
      <c r="F371" s="64" t="str">
        <f aca="false">IF($C371="","",N(元データ!$F$369))</f>
        <v/>
      </c>
      <c r="G371" s="63" t="str">
        <f aca="false">IF($C371="","",IF(COUNTIF(店舗マスタ!$B$5:$B$304,$C371)&gt;0,"登録済","未登録→マスタに追加"))</f>
        <v/>
      </c>
    </row>
    <row r="372" customFormat="false" ht="15" hidden="false" customHeight="false" outlineLevel="0" collapsed="false">
      <c r="A372" s="63" t="n">
        <v>370</v>
      </c>
      <c r="B372" s="63" t="str">
        <f aca="false">IF(元データ!$A$370="","",元データ!$A$370)</f>
        <v/>
      </c>
      <c r="C372" s="63" t="str">
        <f aca="false">IF(LEFT(B372,1)="(",IFERROR(VALUE(MID(B372,2,FIND(")",B372)-2)),""),"")</f>
        <v/>
      </c>
      <c r="D372" s="64" t="str">
        <f aca="false">IF($C372="","",N(元データ!$B$370))</f>
        <v/>
      </c>
      <c r="E372" s="64" t="str">
        <f aca="false">IF($C372="","",N(元データ!$C$370))</f>
        <v/>
      </c>
      <c r="F372" s="64" t="str">
        <f aca="false">IF($C372="","",N(元データ!$F$370))</f>
        <v/>
      </c>
      <c r="G372" s="63" t="str">
        <f aca="false">IF($C372="","",IF(COUNTIF(店舗マスタ!$B$5:$B$304,$C372)&gt;0,"登録済","未登録→マスタに追加"))</f>
        <v/>
      </c>
    </row>
    <row r="373" customFormat="false" ht="15" hidden="false" customHeight="false" outlineLevel="0" collapsed="false">
      <c r="A373" s="63" t="n">
        <v>371</v>
      </c>
      <c r="B373" s="63" t="str">
        <f aca="false">IF(元データ!$A$371="","",元データ!$A$371)</f>
        <v/>
      </c>
      <c r="C373" s="63" t="str">
        <f aca="false">IF(LEFT(B373,1)="(",IFERROR(VALUE(MID(B373,2,FIND(")",B373)-2)),""),"")</f>
        <v/>
      </c>
      <c r="D373" s="64" t="str">
        <f aca="false">IF($C373="","",N(元データ!$B$371))</f>
        <v/>
      </c>
      <c r="E373" s="64" t="str">
        <f aca="false">IF($C373="","",N(元データ!$C$371))</f>
        <v/>
      </c>
      <c r="F373" s="64" t="str">
        <f aca="false">IF($C373="","",N(元データ!$F$371))</f>
        <v/>
      </c>
      <c r="G373" s="63" t="str">
        <f aca="false">IF($C373="","",IF(COUNTIF(店舗マスタ!$B$5:$B$304,$C373)&gt;0,"登録済","未登録→マスタに追加"))</f>
        <v/>
      </c>
    </row>
    <row r="374" customFormat="false" ht="15" hidden="false" customHeight="false" outlineLevel="0" collapsed="false">
      <c r="A374" s="63" t="n">
        <v>372</v>
      </c>
      <c r="B374" s="63" t="str">
        <f aca="false">IF(元データ!$A$372="","",元データ!$A$372)</f>
        <v/>
      </c>
      <c r="C374" s="63" t="str">
        <f aca="false">IF(LEFT(B374,1)="(",IFERROR(VALUE(MID(B374,2,FIND(")",B374)-2)),""),"")</f>
        <v/>
      </c>
      <c r="D374" s="64" t="str">
        <f aca="false">IF($C374="","",N(元データ!$B$372))</f>
        <v/>
      </c>
      <c r="E374" s="64" t="str">
        <f aca="false">IF($C374="","",N(元データ!$C$372))</f>
        <v/>
      </c>
      <c r="F374" s="64" t="str">
        <f aca="false">IF($C374="","",N(元データ!$F$372))</f>
        <v/>
      </c>
      <c r="G374" s="63" t="str">
        <f aca="false">IF($C374="","",IF(COUNTIF(店舗マスタ!$B$5:$B$304,$C374)&gt;0,"登録済","未登録→マスタに追加"))</f>
        <v/>
      </c>
    </row>
    <row r="375" customFormat="false" ht="15" hidden="false" customHeight="false" outlineLevel="0" collapsed="false">
      <c r="A375" s="63" t="n">
        <v>373</v>
      </c>
      <c r="B375" s="63" t="str">
        <f aca="false">IF(元データ!$A$373="","",元データ!$A$373)</f>
        <v/>
      </c>
      <c r="C375" s="63" t="str">
        <f aca="false">IF(LEFT(B375,1)="(",IFERROR(VALUE(MID(B375,2,FIND(")",B375)-2)),""),"")</f>
        <v/>
      </c>
      <c r="D375" s="64" t="str">
        <f aca="false">IF($C375="","",N(元データ!$B$373))</f>
        <v/>
      </c>
      <c r="E375" s="64" t="str">
        <f aca="false">IF($C375="","",N(元データ!$C$373))</f>
        <v/>
      </c>
      <c r="F375" s="64" t="str">
        <f aca="false">IF($C375="","",N(元データ!$F$373))</f>
        <v/>
      </c>
      <c r="G375" s="63" t="str">
        <f aca="false">IF($C375="","",IF(COUNTIF(店舗マスタ!$B$5:$B$304,$C375)&gt;0,"登録済","未登録→マスタに追加"))</f>
        <v/>
      </c>
    </row>
    <row r="376" customFormat="false" ht="15" hidden="false" customHeight="false" outlineLevel="0" collapsed="false">
      <c r="A376" s="63" t="n">
        <v>374</v>
      </c>
      <c r="B376" s="63" t="str">
        <f aca="false">IF(元データ!$A$374="","",元データ!$A$374)</f>
        <v/>
      </c>
      <c r="C376" s="63" t="str">
        <f aca="false">IF(LEFT(B376,1)="(",IFERROR(VALUE(MID(B376,2,FIND(")",B376)-2)),""),"")</f>
        <v/>
      </c>
      <c r="D376" s="64" t="str">
        <f aca="false">IF($C376="","",N(元データ!$B$374))</f>
        <v/>
      </c>
      <c r="E376" s="64" t="str">
        <f aca="false">IF($C376="","",N(元データ!$C$374))</f>
        <v/>
      </c>
      <c r="F376" s="64" t="str">
        <f aca="false">IF($C376="","",N(元データ!$F$374))</f>
        <v/>
      </c>
      <c r="G376" s="63" t="str">
        <f aca="false">IF($C376="","",IF(COUNTIF(店舗マスタ!$B$5:$B$304,$C376)&gt;0,"登録済","未登録→マスタに追加"))</f>
        <v/>
      </c>
    </row>
    <row r="377" customFormat="false" ht="15" hidden="false" customHeight="false" outlineLevel="0" collapsed="false">
      <c r="A377" s="63" t="n">
        <v>375</v>
      </c>
      <c r="B377" s="63" t="str">
        <f aca="false">IF(元データ!$A$375="","",元データ!$A$375)</f>
        <v/>
      </c>
      <c r="C377" s="63" t="str">
        <f aca="false">IF(LEFT(B377,1)="(",IFERROR(VALUE(MID(B377,2,FIND(")",B377)-2)),""),"")</f>
        <v/>
      </c>
      <c r="D377" s="64" t="str">
        <f aca="false">IF($C377="","",N(元データ!$B$375))</f>
        <v/>
      </c>
      <c r="E377" s="64" t="str">
        <f aca="false">IF($C377="","",N(元データ!$C$375))</f>
        <v/>
      </c>
      <c r="F377" s="64" t="str">
        <f aca="false">IF($C377="","",N(元データ!$F$375))</f>
        <v/>
      </c>
      <c r="G377" s="63" t="str">
        <f aca="false">IF($C377="","",IF(COUNTIF(店舗マスタ!$B$5:$B$304,$C377)&gt;0,"登録済","未登録→マスタに追加"))</f>
        <v/>
      </c>
    </row>
    <row r="378" customFormat="false" ht="15" hidden="false" customHeight="false" outlineLevel="0" collapsed="false">
      <c r="A378" s="63" t="n">
        <v>376</v>
      </c>
      <c r="B378" s="63" t="str">
        <f aca="false">IF(元データ!$A$376="","",元データ!$A$376)</f>
        <v/>
      </c>
      <c r="C378" s="63" t="str">
        <f aca="false">IF(LEFT(B378,1)="(",IFERROR(VALUE(MID(B378,2,FIND(")",B378)-2)),""),"")</f>
        <v/>
      </c>
      <c r="D378" s="64" t="str">
        <f aca="false">IF($C378="","",N(元データ!$B$376))</f>
        <v/>
      </c>
      <c r="E378" s="64" t="str">
        <f aca="false">IF($C378="","",N(元データ!$C$376))</f>
        <v/>
      </c>
      <c r="F378" s="64" t="str">
        <f aca="false">IF($C378="","",N(元データ!$F$376))</f>
        <v/>
      </c>
      <c r="G378" s="63" t="str">
        <f aca="false">IF($C378="","",IF(COUNTIF(店舗マスタ!$B$5:$B$304,$C378)&gt;0,"登録済","未登録→マスタに追加"))</f>
        <v/>
      </c>
    </row>
    <row r="379" customFormat="false" ht="15" hidden="false" customHeight="false" outlineLevel="0" collapsed="false">
      <c r="A379" s="63" t="n">
        <v>377</v>
      </c>
      <c r="B379" s="63" t="str">
        <f aca="false">IF(元データ!$A$377="","",元データ!$A$377)</f>
        <v/>
      </c>
      <c r="C379" s="63" t="str">
        <f aca="false">IF(LEFT(B379,1)="(",IFERROR(VALUE(MID(B379,2,FIND(")",B379)-2)),""),"")</f>
        <v/>
      </c>
      <c r="D379" s="64" t="str">
        <f aca="false">IF($C379="","",N(元データ!$B$377))</f>
        <v/>
      </c>
      <c r="E379" s="64" t="str">
        <f aca="false">IF($C379="","",N(元データ!$C$377))</f>
        <v/>
      </c>
      <c r="F379" s="64" t="str">
        <f aca="false">IF($C379="","",N(元データ!$F$377))</f>
        <v/>
      </c>
      <c r="G379" s="63" t="str">
        <f aca="false">IF($C379="","",IF(COUNTIF(店舗マスタ!$B$5:$B$304,$C379)&gt;0,"登録済","未登録→マスタに追加"))</f>
        <v/>
      </c>
    </row>
    <row r="380" customFormat="false" ht="15" hidden="false" customHeight="false" outlineLevel="0" collapsed="false">
      <c r="A380" s="63" t="n">
        <v>378</v>
      </c>
      <c r="B380" s="63" t="str">
        <f aca="false">IF(元データ!$A$378="","",元データ!$A$378)</f>
        <v/>
      </c>
      <c r="C380" s="63" t="str">
        <f aca="false">IF(LEFT(B380,1)="(",IFERROR(VALUE(MID(B380,2,FIND(")",B380)-2)),""),"")</f>
        <v/>
      </c>
      <c r="D380" s="64" t="str">
        <f aca="false">IF($C380="","",N(元データ!$B$378))</f>
        <v/>
      </c>
      <c r="E380" s="64" t="str">
        <f aca="false">IF($C380="","",N(元データ!$C$378))</f>
        <v/>
      </c>
      <c r="F380" s="64" t="str">
        <f aca="false">IF($C380="","",N(元データ!$F$378))</f>
        <v/>
      </c>
      <c r="G380" s="63" t="str">
        <f aca="false">IF($C380="","",IF(COUNTIF(店舗マスタ!$B$5:$B$304,$C380)&gt;0,"登録済","未登録→マスタに追加"))</f>
        <v/>
      </c>
    </row>
    <row r="381" customFormat="false" ht="15" hidden="false" customHeight="false" outlineLevel="0" collapsed="false">
      <c r="A381" s="63" t="n">
        <v>379</v>
      </c>
      <c r="B381" s="63" t="str">
        <f aca="false">IF(元データ!$A$379="","",元データ!$A$379)</f>
        <v/>
      </c>
      <c r="C381" s="63" t="str">
        <f aca="false">IF(LEFT(B381,1)="(",IFERROR(VALUE(MID(B381,2,FIND(")",B381)-2)),""),"")</f>
        <v/>
      </c>
      <c r="D381" s="64" t="str">
        <f aca="false">IF($C381="","",N(元データ!$B$379))</f>
        <v/>
      </c>
      <c r="E381" s="64" t="str">
        <f aca="false">IF($C381="","",N(元データ!$C$379))</f>
        <v/>
      </c>
      <c r="F381" s="64" t="str">
        <f aca="false">IF($C381="","",N(元データ!$F$379))</f>
        <v/>
      </c>
      <c r="G381" s="63" t="str">
        <f aca="false">IF($C381="","",IF(COUNTIF(店舗マスタ!$B$5:$B$304,$C381)&gt;0,"登録済","未登録→マスタに追加"))</f>
        <v/>
      </c>
    </row>
    <row r="382" customFormat="false" ht="15" hidden="false" customHeight="false" outlineLevel="0" collapsed="false">
      <c r="A382" s="63" t="n">
        <v>380</v>
      </c>
      <c r="B382" s="63" t="str">
        <f aca="false">IF(元データ!$A$380="","",元データ!$A$380)</f>
        <v/>
      </c>
      <c r="C382" s="63" t="str">
        <f aca="false">IF(LEFT(B382,1)="(",IFERROR(VALUE(MID(B382,2,FIND(")",B382)-2)),""),"")</f>
        <v/>
      </c>
      <c r="D382" s="64" t="str">
        <f aca="false">IF($C382="","",N(元データ!$B$380))</f>
        <v/>
      </c>
      <c r="E382" s="64" t="str">
        <f aca="false">IF($C382="","",N(元データ!$C$380))</f>
        <v/>
      </c>
      <c r="F382" s="64" t="str">
        <f aca="false">IF($C382="","",N(元データ!$F$380))</f>
        <v/>
      </c>
      <c r="G382" s="63" t="str">
        <f aca="false">IF($C382="","",IF(COUNTIF(店舗マスタ!$B$5:$B$304,$C382)&gt;0,"登録済","未登録→マスタに追加"))</f>
        <v/>
      </c>
    </row>
    <row r="383" customFormat="false" ht="15" hidden="false" customHeight="false" outlineLevel="0" collapsed="false">
      <c r="A383" s="63" t="n">
        <v>381</v>
      </c>
      <c r="B383" s="63" t="str">
        <f aca="false">IF(元データ!$A$381="","",元データ!$A$381)</f>
        <v/>
      </c>
      <c r="C383" s="63" t="str">
        <f aca="false">IF(LEFT(B383,1)="(",IFERROR(VALUE(MID(B383,2,FIND(")",B383)-2)),""),"")</f>
        <v/>
      </c>
      <c r="D383" s="64" t="str">
        <f aca="false">IF($C383="","",N(元データ!$B$381))</f>
        <v/>
      </c>
      <c r="E383" s="64" t="str">
        <f aca="false">IF($C383="","",N(元データ!$C$381))</f>
        <v/>
      </c>
      <c r="F383" s="64" t="str">
        <f aca="false">IF($C383="","",N(元データ!$F$381))</f>
        <v/>
      </c>
      <c r="G383" s="63" t="str">
        <f aca="false">IF($C383="","",IF(COUNTIF(店舗マスタ!$B$5:$B$304,$C383)&gt;0,"登録済","未登録→マスタに追加"))</f>
        <v/>
      </c>
    </row>
    <row r="384" customFormat="false" ht="15" hidden="false" customHeight="false" outlineLevel="0" collapsed="false">
      <c r="A384" s="63" t="n">
        <v>382</v>
      </c>
      <c r="B384" s="63" t="str">
        <f aca="false">IF(元データ!$A$382="","",元データ!$A$382)</f>
        <v/>
      </c>
      <c r="C384" s="63" t="str">
        <f aca="false">IF(LEFT(B384,1)="(",IFERROR(VALUE(MID(B384,2,FIND(")",B384)-2)),""),"")</f>
        <v/>
      </c>
      <c r="D384" s="64" t="str">
        <f aca="false">IF($C384="","",N(元データ!$B$382))</f>
        <v/>
      </c>
      <c r="E384" s="64" t="str">
        <f aca="false">IF($C384="","",N(元データ!$C$382))</f>
        <v/>
      </c>
      <c r="F384" s="64" t="str">
        <f aca="false">IF($C384="","",N(元データ!$F$382))</f>
        <v/>
      </c>
      <c r="G384" s="63" t="str">
        <f aca="false">IF($C384="","",IF(COUNTIF(店舗マスタ!$B$5:$B$304,$C384)&gt;0,"登録済","未登録→マスタに追加"))</f>
        <v/>
      </c>
    </row>
    <row r="385" customFormat="false" ht="15" hidden="false" customHeight="false" outlineLevel="0" collapsed="false">
      <c r="A385" s="63" t="n">
        <v>383</v>
      </c>
      <c r="B385" s="63" t="str">
        <f aca="false">IF(元データ!$A$383="","",元データ!$A$383)</f>
        <v/>
      </c>
      <c r="C385" s="63" t="str">
        <f aca="false">IF(LEFT(B385,1)="(",IFERROR(VALUE(MID(B385,2,FIND(")",B385)-2)),""),"")</f>
        <v/>
      </c>
      <c r="D385" s="64" t="str">
        <f aca="false">IF($C385="","",N(元データ!$B$383))</f>
        <v/>
      </c>
      <c r="E385" s="64" t="str">
        <f aca="false">IF($C385="","",N(元データ!$C$383))</f>
        <v/>
      </c>
      <c r="F385" s="64" t="str">
        <f aca="false">IF($C385="","",N(元データ!$F$383))</f>
        <v/>
      </c>
      <c r="G385" s="63" t="str">
        <f aca="false">IF($C385="","",IF(COUNTIF(店舗マスタ!$B$5:$B$304,$C385)&gt;0,"登録済","未登録→マスタに追加"))</f>
        <v/>
      </c>
    </row>
    <row r="386" customFormat="false" ht="15" hidden="false" customHeight="false" outlineLevel="0" collapsed="false">
      <c r="A386" s="63" t="n">
        <v>384</v>
      </c>
      <c r="B386" s="63" t="str">
        <f aca="false">IF(元データ!$A$384="","",元データ!$A$384)</f>
        <v/>
      </c>
      <c r="C386" s="63" t="str">
        <f aca="false">IF(LEFT(B386,1)="(",IFERROR(VALUE(MID(B386,2,FIND(")",B386)-2)),""),"")</f>
        <v/>
      </c>
      <c r="D386" s="64" t="str">
        <f aca="false">IF($C386="","",N(元データ!$B$384))</f>
        <v/>
      </c>
      <c r="E386" s="64" t="str">
        <f aca="false">IF($C386="","",N(元データ!$C$384))</f>
        <v/>
      </c>
      <c r="F386" s="64" t="str">
        <f aca="false">IF($C386="","",N(元データ!$F$384))</f>
        <v/>
      </c>
      <c r="G386" s="63" t="str">
        <f aca="false">IF($C386="","",IF(COUNTIF(店舗マスタ!$B$5:$B$304,$C386)&gt;0,"登録済","未登録→マスタに追加"))</f>
        <v/>
      </c>
    </row>
    <row r="387" customFormat="false" ht="15" hidden="false" customHeight="false" outlineLevel="0" collapsed="false">
      <c r="A387" s="63" t="n">
        <v>385</v>
      </c>
      <c r="B387" s="63" t="str">
        <f aca="false">IF(元データ!$A$385="","",元データ!$A$385)</f>
        <v/>
      </c>
      <c r="C387" s="63" t="str">
        <f aca="false">IF(LEFT(B387,1)="(",IFERROR(VALUE(MID(B387,2,FIND(")",B387)-2)),""),"")</f>
        <v/>
      </c>
      <c r="D387" s="64" t="str">
        <f aca="false">IF($C387="","",N(元データ!$B$385))</f>
        <v/>
      </c>
      <c r="E387" s="64" t="str">
        <f aca="false">IF($C387="","",N(元データ!$C$385))</f>
        <v/>
      </c>
      <c r="F387" s="64" t="str">
        <f aca="false">IF($C387="","",N(元データ!$F$385))</f>
        <v/>
      </c>
      <c r="G387" s="63" t="str">
        <f aca="false">IF($C387="","",IF(COUNTIF(店舗マスタ!$B$5:$B$304,$C387)&gt;0,"登録済","未登録→マスタに追加"))</f>
        <v/>
      </c>
    </row>
    <row r="388" customFormat="false" ht="15" hidden="false" customHeight="false" outlineLevel="0" collapsed="false">
      <c r="A388" s="63" t="n">
        <v>386</v>
      </c>
      <c r="B388" s="63" t="str">
        <f aca="false">IF(元データ!$A$386="","",元データ!$A$386)</f>
        <v/>
      </c>
      <c r="C388" s="63" t="str">
        <f aca="false">IF(LEFT(B388,1)="(",IFERROR(VALUE(MID(B388,2,FIND(")",B388)-2)),""),"")</f>
        <v/>
      </c>
      <c r="D388" s="64" t="str">
        <f aca="false">IF($C388="","",N(元データ!$B$386))</f>
        <v/>
      </c>
      <c r="E388" s="64" t="str">
        <f aca="false">IF($C388="","",N(元データ!$C$386))</f>
        <v/>
      </c>
      <c r="F388" s="64" t="str">
        <f aca="false">IF($C388="","",N(元データ!$F$386))</f>
        <v/>
      </c>
      <c r="G388" s="63" t="str">
        <f aca="false">IF($C388="","",IF(COUNTIF(店舗マスタ!$B$5:$B$304,$C388)&gt;0,"登録済","未登録→マスタに追加"))</f>
        <v/>
      </c>
    </row>
    <row r="389" customFormat="false" ht="15" hidden="false" customHeight="false" outlineLevel="0" collapsed="false">
      <c r="A389" s="63" t="n">
        <v>387</v>
      </c>
      <c r="B389" s="63" t="str">
        <f aca="false">IF(元データ!$A$387="","",元データ!$A$387)</f>
        <v/>
      </c>
      <c r="C389" s="63" t="str">
        <f aca="false">IF(LEFT(B389,1)="(",IFERROR(VALUE(MID(B389,2,FIND(")",B389)-2)),""),"")</f>
        <v/>
      </c>
      <c r="D389" s="64" t="str">
        <f aca="false">IF($C389="","",N(元データ!$B$387))</f>
        <v/>
      </c>
      <c r="E389" s="64" t="str">
        <f aca="false">IF($C389="","",N(元データ!$C$387))</f>
        <v/>
      </c>
      <c r="F389" s="64" t="str">
        <f aca="false">IF($C389="","",N(元データ!$F$387))</f>
        <v/>
      </c>
      <c r="G389" s="63" t="str">
        <f aca="false">IF($C389="","",IF(COUNTIF(店舗マスタ!$B$5:$B$304,$C389)&gt;0,"登録済","未登録→マスタに追加"))</f>
        <v/>
      </c>
    </row>
    <row r="390" customFormat="false" ht="15" hidden="false" customHeight="false" outlineLevel="0" collapsed="false">
      <c r="A390" s="63" t="n">
        <v>388</v>
      </c>
      <c r="B390" s="63" t="str">
        <f aca="false">IF(元データ!$A$388="","",元データ!$A$388)</f>
        <v/>
      </c>
      <c r="C390" s="63" t="str">
        <f aca="false">IF(LEFT(B390,1)="(",IFERROR(VALUE(MID(B390,2,FIND(")",B390)-2)),""),"")</f>
        <v/>
      </c>
      <c r="D390" s="64" t="str">
        <f aca="false">IF($C390="","",N(元データ!$B$388))</f>
        <v/>
      </c>
      <c r="E390" s="64" t="str">
        <f aca="false">IF($C390="","",N(元データ!$C$388))</f>
        <v/>
      </c>
      <c r="F390" s="64" t="str">
        <f aca="false">IF($C390="","",N(元データ!$F$388))</f>
        <v/>
      </c>
      <c r="G390" s="63" t="str">
        <f aca="false">IF($C390="","",IF(COUNTIF(店舗マスタ!$B$5:$B$304,$C390)&gt;0,"登録済","未登録→マスタに追加"))</f>
        <v/>
      </c>
    </row>
    <row r="391" customFormat="false" ht="15" hidden="false" customHeight="false" outlineLevel="0" collapsed="false">
      <c r="A391" s="63" t="n">
        <v>389</v>
      </c>
      <c r="B391" s="63" t="str">
        <f aca="false">IF(元データ!$A$389="","",元データ!$A$389)</f>
        <v/>
      </c>
      <c r="C391" s="63" t="str">
        <f aca="false">IF(LEFT(B391,1)="(",IFERROR(VALUE(MID(B391,2,FIND(")",B391)-2)),""),"")</f>
        <v/>
      </c>
      <c r="D391" s="64" t="str">
        <f aca="false">IF($C391="","",N(元データ!$B$389))</f>
        <v/>
      </c>
      <c r="E391" s="64" t="str">
        <f aca="false">IF($C391="","",N(元データ!$C$389))</f>
        <v/>
      </c>
      <c r="F391" s="64" t="str">
        <f aca="false">IF($C391="","",N(元データ!$F$389))</f>
        <v/>
      </c>
      <c r="G391" s="63" t="str">
        <f aca="false">IF($C391="","",IF(COUNTIF(店舗マスタ!$B$5:$B$304,$C391)&gt;0,"登録済","未登録→マスタに追加"))</f>
        <v/>
      </c>
    </row>
    <row r="392" customFormat="false" ht="15" hidden="false" customHeight="false" outlineLevel="0" collapsed="false">
      <c r="A392" s="63" t="n">
        <v>390</v>
      </c>
      <c r="B392" s="63" t="str">
        <f aca="false">IF(元データ!$A$390="","",元データ!$A$390)</f>
        <v/>
      </c>
      <c r="C392" s="63" t="str">
        <f aca="false">IF(LEFT(B392,1)="(",IFERROR(VALUE(MID(B392,2,FIND(")",B392)-2)),""),"")</f>
        <v/>
      </c>
      <c r="D392" s="64" t="str">
        <f aca="false">IF($C392="","",N(元データ!$B$390))</f>
        <v/>
      </c>
      <c r="E392" s="64" t="str">
        <f aca="false">IF($C392="","",N(元データ!$C$390))</f>
        <v/>
      </c>
      <c r="F392" s="64" t="str">
        <f aca="false">IF($C392="","",N(元データ!$F$390))</f>
        <v/>
      </c>
      <c r="G392" s="63" t="str">
        <f aca="false">IF($C392="","",IF(COUNTIF(店舗マスタ!$B$5:$B$304,$C392)&gt;0,"登録済","未登録→マスタに追加"))</f>
        <v/>
      </c>
    </row>
    <row r="393" customFormat="false" ht="15" hidden="false" customHeight="false" outlineLevel="0" collapsed="false">
      <c r="A393" s="63" t="n">
        <v>391</v>
      </c>
      <c r="B393" s="63" t="str">
        <f aca="false">IF(元データ!$A$391="","",元データ!$A$391)</f>
        <v/>
      </c>
      <c r="C393" s="63" t="str">
        <f aca="false">IF(LEFT(B393,1)="(",IFERROR(VALUE(MID(B393,2,FIND(")",B393)-2)),""),"")</f>
        <v/>
      </c>
      <c r="D393" s="64" t="str">
        <f aca="false">IF($C393="","",N(元データ!$B$391))</f>
        <v/>
      </c>
      <c r="E393" s="64" t="str">
        <f aca="false">IF($C393="","",N(元データ!$C$391))</f>
        <v/>
      </c>
      <c r="F393" s="64" t="str">
        <f aca="false">IF($C393="","",N(元データ!$F$391))</f>
        <v/>
      </c>
      <c r="G393" s="63" t="str">
        <f aca="false">IF($C393="","",IF(COUNTIF(店舗マスタ!$B$5:$B$304,$C393)&gt;0,"登録済","未登録→マスタに追加"))</f>
        <v/>
      </c>
    </row>
    <row r="394" customFormat="false" ht="15" hidden="false" customHeight="false" outlineLevel="0" collapsed="false">
      <c r="A394" s="63" t="n">
        <v>392</v>
      </c>
      <c r="B394" s="63" t="str">
        <f aca="false">IF(元データ!$A$392="","",元データ!$A$392)</f>
        <v/>
      </c>
      <c r="C394" s="63" t="str">
        <f aca="false">IF(LEFT(B394,1)="(",IFERROR(VALUE(MID(B394,2,FIND(")",B394)-2)),""),"")</f>
        <v/>
      </c>
      <c r="D394" s="64" t="str">
        <f aca="false">IF($C394="","",N(元データ!$B$392))</f>
        <v/>
      </c>
      <c r="E394" s="64" t="str">
        <f aca="false">IF($C394="","",N(元データ!$C$392))</f>
        <v/>
      </c>
      <c r="F394" s="64" t="str">
        <f aca="false">IF($C394="","",N(元データ!$F$392))</f>
        <v/>
      </c>
      <c r="G394" s="63" t="str">
        <f aca="false">IF($C394="","",IF(COUNTIF(店舗マスタ!$B$5:$B$304,$C394)&gt;0,"登録済","未登録→マスタに追加"))</f>
        <v/>
      </c>
    </row>
    <row r="395" customFormat="false" ht="15" hidden="false" customHeight="false" outlineLevel="0" collapsed="false">
      <c r="A395" s="63" t="n">
        <v>393</v>
      </c>
      <c r="B395" s="63" t="str">
        <f aca="false">IF(元データ!$A$393="","",元データ!$A$393)</f>
        <v/>
      </c>
      <c r="C395" s="63" t="str">
        <f aca="false">IF(LEFT(B395,1)="(",IFERROR(VALUE(MID(B395,2,FIND(")",B395)-2)),""),"")</f>
        <v/>
      </c>
      <c r="D395" s="64" t="str">
        <f aca="false">IF($C395="","",N(元データ!$B$393))</f>
        <v/>
      </c>
      <c r="E395" s="64" t="str">
        <f aca="false">IF($C395="","",N(元データ!$C$393))</f>
        <v/>
      </c>
      <c r="F395" s="64" t="str">
        <f aca="false">IF($C395="","",N(元データ!$F$393))</f>
        <v/>
      </c>
      <c r="G395" s="63" t="str">
        <f aca="false">IF($C395="","",IF(COUNTIF(店舗マスタ!$B$5:$B$304,$C395)&gt;0,"登録済","未登録→マスタに追加"))</f>
        <v/>
      </c>
    </row>
    <row r="396" customFormat="false" ht="15" hidden="false" customHeight="false" outlineLevel="0" collapsed="false">
      <c r="A396" s="63" t="n">
        <v>394</v>
      </c>
      <c r="B396" s="63" t="str">
        <f aca="false">IF(元データ!$A$394="","",元データ!$A$394)</f>
        <v/>
      </c>
      <c r="C396" s="63" t="str">
        <f aca="false">IF(LEFT(B396,1)="(",IFERROR(VALUE(MID(B396,2,FIND(")",B396)-2)),""),"")</f>
        <v/>
      </c>
      <c r="D396" s="64" t="str">
        <f aca="false">IF($C396="","",N(元データ!$B$394))</f>
        <v/>
      </c>
      <c r="E396" s="64" t="str">
        <f aca="false">IF($C396="","",N(元データ!$C$394))</f>
        <v/>
      </c>
      <c r="F396" s="64" t="str">
        <f aca="false">IF($C396="","",N(元データ!$F$394))</f>
        <v/>
      </c>
      <c r="G396" s="63" t="str">
        <f aca="false">IF($C396="","",IF(COUNTIF(店舗マスタ!$B$5:$B$304,$C396)&gt;0,"登録済","未登録→マスタに追加"))</f>
        <v/>
      </c>
    </row>
    <row r="397" customFormat="false" ht="15" hidden="false" customHeight="false" outlineLevel="0" collapsed="false">
      <c r="A397" s="63" t="n">
        <v>395</v>
      </c>
      <c r="B397" s="63" t="str">
        <f aca="false">IF(元データ!$A$395="","",元データ!$A$395)</f>
        <v/>
      </c>
      <c r="C397" s="63" t="str">
        <f aca="false">IF(LEFT(B397,1)="(",IFERROR(VALUE(MID(B397,2,FIND(")",B397)-2)),""),"")</f>
        <v/>
      </c>
      <c r="D397" s="64" t="str">
        <f aca="false">IF($C397="","",N(元データ!$B$395))</f>
        <v/>
      </c>
      <c r="E397" s="64" t="str">
        <f aca="false">IF($C397="","",N(元データ!$C$395))</f>
        <v/>
      </c>
      <c r="F397" s="64" t="str">
        <f aca="false">IF($C397="","",N(元データ!$F$395))</f>
        <v/>
      </c>
      <c r="G397" s="63" t="str">
        <f aca="false">IF($C397="","",IF(COUNTIF(店舗マスタ!$B$5:$B$304,$C397)&gt;0,"登録済","未登録→マスタに追加"))</f>
        <v/>
      </c>
    </row>
    <row r="398" customFormat="false" ht="15" hidden="false" customHeight="false" outlineLevel="0" collapsed="false">
      <c r="A398" s="63" t="n">
        <v>396</v>
      </c>
      <c r="B398" s="63" t="str">
        <f aca="false">IF(元データ!$A$396="","",元データ!$A$396)</f>
        <v/>
      </c>
      <c r="C398" s="63" t="str">
        <f aca="false">IF(LEFT(B398,1)="(",IFERROR(VALUE(MID(B398,2,FIND(")",B398)-2)),""),"")</f>
        <v/>
      </c>
      <c r="D398" s="64" t="str">
        <f aca="false">IF($C398="","",N(元データ!$B$396))</f>
        <v/>
      </c>
      <c r="E398" s="64" t="str">
        <f aca="false">IF($C398="","",N(元データ!$C$396))</f>
        <v/>
      </c>
      <c r="F398" s="64" t="str">
        <f aca="false">IF($C398="","",N(元データ!$F$396))</f>
        <v/>
      </c>
      <c r="G398" s="63" t="str">
        <f aca="false">IF($C398="","",IF(COUNTIF(店舗マスタ!$B$5:$B$304,$C398)&gt;0,"登録済","未登録→マスタに追加"))</f>
        <v/>
      </c>
    </row>
    <row r="399" customFormat="false" ht="15" hidden="false" customHeight="false" outlineLevel="0" collapsed="false">
      <c r="A399" s="63" t="n">
        <v>397</v>
      </c>
      <c r="B399" s="63" t="str">
        <f aca="false">IF(元データ!$A$397="","",元データ!$A$397)</f>
        <v/>
      </c>
      <c r="C399" s="63" t="str">
        <f aca="false">IF(LEFT(B399,1)="(",IFERROR(VALUE(MID(B399,2,FIND(")",B399)-2)),""),"")</f>
        <v/>
      </c>
      <c r="D399" s="64" t="str">
        <f aca="false">IF($C399="","",N(元データ!$B$397))</f>
        <v/>
      </c>
      <c r="E399" s="64" t="str">
        <f aca="false">IF($C399="","",N(元データ!$C$397))</f>
        <v/>
      </c>
      <c r="F399" s="64" t="str">
        <f aca="false">IF($C399="","",N(元データ!$F$397))</f>
        <v/>
      </c>
      <c r="G399" s="63" t="str">
        <f aca="false">IF($C399="","",IF(COUNTIF(店舗マスタ!$B$5:$B$304,$C399)&gt;0,"登録済","未登録→マスタに追加"))</f>
        <v/>
      </c>
    </row>
    <row r="400" customFormat="false" ht="15" hidden="false" customHeight="false" outlineLevel="0" collapsed="false">
      <c r="A400" s="63" t="n">
        <v>398</v>
      </c>
      <c r="B400" s="63" t="str">
        <f aca="false">IF(元データ!$A$398="","",元データ!$A$398)</f>
        <v/>
      </c>
      <c r="C400" s="63" t="str">
        <f aca="false">IF(LEFT(B400,1)="(",IFERROR(VALUE(MID(B400,2,FIND(")",B400)-2)),""),"")</f>
        <v/>
      </c>
      <c r="D400" s="64" t="str">
        <f aca="false">IF($C400="","",N(元データ!$B$398))</f>
        <v/>
      </c>
      <c r="E400" s="64" t="str">
        <f aca="false">IF($C400="","",N(元データ!$C$398))</f>
        <v/>
      </c>
      <c r="F400" s="64" t="str">
        <f aca="false">IF($C400="","",N(元データ!$F$398))</f>
        <v/>
      </c>
      <c r="G400" s="63" t="str">
        <f aca="false">IF($C400="","",IF(COUNTIF(店舗マスタ!$B$5:$B$304,$C400)&gt;0,"登録済","未登録→マスタに追加"))</f>
        <v/>
      </c>
    </row>
    <row r="401" customFormat="false" ht="15" hidden="false" customHeight="false" outlineLevel="0" collapsed="false">
      <c r="A401" s="63" t="n">
        <v>399</v>
      </c>
      <c r="B401" s="63" t="str">
        <f aca="false">IF(元データ!$A$399="","",元データ!$A$399)</f>
        <v/>
      </c>
      <c r="C401" s="63" t="str">
        <f aca="false">IF(LEFT(B401,1)="(",IFERROR(VALUE(MID(B401,2,FIND(")",B401)-2)),""),"")</f>
        <v/>
      </c>
      <c r="D401" s="64" t="str">
        <f aca="false">IF($C401="","",N(元データ!$B$399))</f>
        <v/>
      </c>
      <c r="E401" s="64" t="str">
        <f aca="false">IF($C401="","",N(元データ!$C$399))</f>
        <v/>
      </c>
      <c r="F401" s="64" t="str">
        <f aca="false">IF($C401="","",N(元データ!$F$399))</f>
        <v/>
      </c>
      <c r="G401" s="63" t="str">
        <f aca="false">IF($C401="","",IF(COUNTIF(店舗マスタ!$B$5:$B$304,$C401)&gt;0,"登録済","未登録→マスタに追加"))</f>
        <v/>
      </c>
    </row>
    <row r="402" customFormat="false" ht="15" hidden="false" customHeight="false" outlineLevel="0" collapsed="false">
      <c r="A402" s="63" t="n">
        <v>400</v>
      </c>
      <c r="B402" s="63" t="str">
        <f aca="false">IF(元データ!$A$400="","",元データ!$A$400)</f>
        <v/>
      </c>
      <c r="C402" s="63" t="str">
        <f aca="false">IF(LEFT(B402,1)="(",IFERROR(VALUE(MID(B402,2,FIND(")",B402)-2)),""),"")</f>
        <v/>
      </c>
      <c r="D402" s="64" t="str">
        <f aca="false">IF($C402="","",N(元データ!$B$400))</f>
        <v/>
      </c>
      <c r="E402" s="64" t="str">
        <f aca="false">IF($C402="","",N(元データ!$C$400))</f>
        <v/>
      </c>
      <c r="F402" s="64" t="str">
        <f aca="false">IF($C402="","",N(元データ!$F$400))</f>
        <v/>
      </c>
      <c r="G402" s="63" t="str">
        <f aca="false">IF($C402="","",IF(COUNTIF(店舗マスタ!$B$5:$B$304,$C402)&gt;0,"登録済","未登録→マスタに追加"))</f>
        <v/>
      </c>
    </row>
    <row r="403" customFormat="false" ht="15" hidden="false" customHeight="false" outlineLevel="0" collapsed="false">
      <c r="A403" s="63" t="n">
        <v>401</v>
      </c>
      <c r="B403" s="63" t="str">
        <f aca="false">IF(元データ!$A$401="","",元データ!$A$401)</f>
        <v/>
      </c>
      <c r="C403" s="63" t="str">
        <f aca="false">IF(LEFT(B403,1)="(",IFERROR(VALUE(MID(B403,2,FIND(")",B403)-2)),""),"")</f>
        <v/>
      </c>
      <c r="D403" s="64" t="str">
        <f aca="false">IF($C403="","",N(元データ!$B$401))</f>
        <v/>
      </c>
      <c r="E403" s="64" t="str">
        <f aca="false">IF($C403="","",N(元データ!$C$401))</f>
        <v/>
      </c>
      <c r="F403" s="64" t="str">
        <f aca="false">IF($C403="","",N(元データ!$F$401))</f>
        <v/>
      </c>
      <c r="G403" s="63" t="str">
        <f aca="false">IF($C403="","",IF(COUNTIF(店舗マスタ!$B$5:$B$304,$C403)&gt;0,"登録済","未登録→マスタに追加"))</f>
        <v/>
      </c>
    </row>
    <row r="404" customFormat="false" ht="15" hidden="false" customHeight="false" outlineLevel="0" collapsed="false">
      <c r="A404" s="63" t="n">
        <v>402</v>
      </c>
      <c r="B404" s="63" t="str">
        <f aca="false">IF(元データ!$A$402="","",元データ!$A$402)</f>
        <v/>
      </c>
      <c r="C404" s="63" t="str">
        <f aca="false">IF(LEFT(B404,1)="(",IFERROR(VALUE(MID(B404,2,FIND(")",B404)-2)),""),"")</f>
        <v/>
      </c>
      <c r="D404" s="64" t="str">
        <f aca="false">IF($C404="","",N(元データ!$B$402))</f>
        <v/>
      </c>
      <c r="E404" s="64" t="str">
        <f aca="false">IF($C404="","",N(元データ!$C$402))</f>
        <v/>
      </c>
      <c r="F404" s="64" t="str">
        <f aca="false">IF($C404="","",N(元データ!$F$402))</f>
        <v/>
      </c>
      <c r="G404" s="63" t="str">
        <f aca="false">IF($C404="","",IF(COUNTIF(店舗マスタ!$B$5:$B$304,$C404)&gt;0,"登録済","未登録→マスタに追加"))</f>
        <v/>
      </c>
    </row>
    <row r="405" customFormat="false" ht="15" hidden="false" customHeight="false" outlineLevel="0" collapsed="false">
      <c r="A405" s="63" t="n">
        <v>403</v>
      </c>
      <c r="B405" s="63" t="str">
        <f aca="false">IF(元データ!$A$403="","",元データ!$A$403)</f>
        <v/>
      </c>
      <c r="C405" s="63" t="str">
        <f aca="false">IF(LEFT(B405,1)="(",IFERROR(VALUE(MID(B405,2,FIND(")",B405)-2)),""),"")</f>
        <v/>
      </c>
      <c r="D405" s="64" t="str">
        <f aca="false">IF($C405="","",N(元データ!$B$403))</f>
        <v/>
      </c>
      <c r="E405" s="64" t="str">
        <f aca="false">IF($C405="","",N(元データ!$C$403))</f>
        <v/>
      </c>
      <c r="F405" s="64" t="str">
        <f aca="false">IF($C405="","",N(元データ!$F$403))</f>
        <v/>
      </c>
      <c r="G405" s="63" t="str">
        <f aca="false">IF($C405="","",IF(COUNTIF(店舗マスタ!$B$5:$B$304,$C405)&gt;0,"登録済","未登録→マスタに追加"))</f>
        <v/>
      </c>
    </row>
    <row r="406" customFormat="false" ht="15" hidden="false" customHeight="false" outlineLevel="0" collapsed="false">
      <c r="A406" s="63" t="n">
        <v>404</v>
      </c>
      <c r="B406" s="63" t="str">
        <f aca="false">IF(元データ!$A$404="","",元データ!$A$404)</f>
        <v/>
      </c>
      <c r="C406" s="63" t="str">
        <f aca="false">IF(LEFT(B406,1)="(",IFERROR(VALUE(MID(B406,2,FIND(")",B406)-2)),""),"")</f>
        <v/>
      </c>
      <c r="D406" s="64" t="str">
        <f aca="false">IF($C406="","",N(元データ!$B$404))</f>
        <v/>
      </c>
      <c r="E406" s="64" t="str">
        <f aca="false">IF($C406="","",N(元データ!$C$404))</f>
        <v/>
      </c>
      <c r="F406" s="64" t="str">
        <f aca="false">IF($C406="","",N(元データ!$F$404))</f>
        <v/>
      </c>
      <c r="G406" s="63" t="str">
        <f aca="false">IF($C406="","",IF(COUNTIF(店舗マスタ!$B$5:$B$304,$C406)&gt;0,"登録済","未登録→マスタに追加"))</f>
        <v/>
      </c>
    </row>
    <row r="407" customFormat="false" ht="15" hidden="false" customHeight="false" outlineLevel="0" collapsed="false">
      <c r="A407" s="63" t="n">
        <v>405</v>
      </c>
      <c r="B407" s="63" t="str">
        <f aca="false">IF(元データ!$A$405="","",元データ!$A$405)</f>
        <v/>
      </c>
      <c r="C407" s="63" t="str">
        <f aca="false">IF(LEFT(B407,1)="(",IFERROR(VALUE(MID(B407,2,FIND(")",B407)-2)),""),"")</f>
        <v/>
      </c>
      <c r="D407" s="64" t="str">
        <f aca="false">IF($C407="","",N(元データ!$B$405))</f>
        <v/>
      </c>
      <c r="E407" s="64" t="str">
        <f aca="false">IF($C407="","",N(元データ!$C$405))</f>
        <v/>
      </c>
      <c r="F407" s="64" t="str">
        <f aca="false">IF($C407="","",N(元データ!$F$405))</f>
        <v/>
      </c>
      <c r="G407" s="63" t="str">
        <f aca="false">IF($C407="","",IF(COUNTIF(店舗マスタ!$B$5:$B$304,$C407)&gt;0,"登録済","未登録→マスタに追加"))</f>
        <v/>
      </c>
    </row>
    <row r="408" customFormat="false" ht="15" hidden="false" customHeight="false" outlineLevel="0" collapsed="false">
      <c r="A408" s="63" t="n">
        <v>406</v>
      </c>
      <c r="B408" s="63" t="str">
        <f aca="false">IF(元データ!$A$406="","",元データ!$A$406)</f>
        <v/>
      </c>
      <c r="C408" s="63" t="str">
        <f aca="false">IF(LEFT(B408,1)="(",IFERROR(VALUE(MID(B408,2,FIND(")",B408)-2)),""),"")</f>
        <v/>
      </c>
      <c r="D408" s="64" t="str">
        <f aca="false">IF($C408="","",N(元データ!$B$406))</f>
        <v/>
      </c>
      <c r="E408" s="64" t="str">
        <f aca="false">IF($C408="","",N(元データ!$C$406))</f>
        <v/>
      </c>
      <c r="F408" s="64" t="str">
        <f aca="false">IF($C408="","",N(元データ!$F$406))</f>
        <v/>
      </c>
      <c r="G408" s="63" t="str">
        <f aca="false">IF($C408="","",IF(COUNTIF(店舗マスタ!$B$5:$B$304,$C408)&gt;0,"登録済","未登録→マスタに追加"))</f>
        <v/>
      </c>
    </row>
    <row r="409" customFormat="false" ht="15" hidden="false" customHeight="false" outlineLevel="0" collapsed="false">
      <c r="A409" s="63" t="n">
        <v>407</v>
      </c>
      <c r="B409" s="63" t="str">
        <f aca="false">IF(元データ!$A$407="","",元データ!$A$407)</f>
        <v/>
      </c>
      <c r="C409" s="63" t="str">
        <f aca="false">IF(LEFT(B409,1)="(",IFERROR(VALUE(MID(B409,2,FIND(")",B409)-2)),""),"")</f>
        <v/>
      </c>
      <c r="D409" s="64" t="str">
        <f aca="false">IF($C409="","",N(元データ!$B$407))</f>
        <v/>
      </c>
      <c r="E409" s="64" t="str">
        <f aca="false">IF($C409="","",N(元データ!$C$407))</f>
        <v/>
      </c>
      <c r="F409" s="64" t="str">
        <f aca="false">IF($C409="","",N(元データ!$F$407))</f>
        <v/>
      </c>
      <c r="G409" s="63" t="str">
        <f aca="false">IF($C409="","",IF(COUNTIF(店舗マスタ!$B$5:$B$304,$C409)&gt;0,"登録済","未登録→マスタに追加"))</f>
        <v/>
      </c>
    </row>
    <row r="410" customFormat="false" ht="15" hidden="false" customHeight="false" outlineLevel="0" collapsed="false">
      <c r="A410" s="63" t="n">
        <v>408</v>
      </c>
      <c r="B410" s="63" t="str">
        <f aca="false">IF(元データ!$A$408="","",元データ!$A$408)</f>
        <v/>
      </c>
      <c r="C410" s="63" t="str">
        <f aca="false">IF(LEFT(B410,1)="(",IFERROR(VALUE(MID(B410,2,FIND(")",B410)-2)),""),"")</f>
        <v/>
      </c>
      <c r="D410" s="64" t="str">
        <f aca="false">IF($C410="","",N(元データ!$B$408))</f>
        <v/>
      </c>
      <c r="E410" s="64" t="str">
        <f aca="false">IF($C410="","",N(元データ!$C$408))</f>
        <v/>
      </c>
      <c r="F410" s="64" t="str">
        <f aca="false">IF($C410="","",N(元データ!$F$408))</f>
        <v/>
      </c>
      <c r="G410" s="63" t="str">
        <f aca="false">IF($C410="","",IF(COUNTIF(店舗マスタ!$B$5:$B$304,$C410)&gt;0,"登録済","未登録→マスタに追加"))</f>
        <v/>
      </c>
    </row>
    <row r="411" customFormat="false" ht="15" hidden="false" customHeight="false" outlineLevel="0" collapsed="false">
      <c r="A411" s="63" t="n">
        <v>409</v>
      </c>
      <c r="B411" s="63" t="str">
        <f aca="false">IF(元データ!$A$409="","",元データ!$A$409)</f>
        <v/>
      </c>
      <c r="C411" s="63" t="str">
        <f aca="false">IF(LEFT(B411,1)="(",IFERROR(VALUE(MID(B411,2,FIND(")",B411)-2)),""),"")</f>
        <v/>
      </c>
      <c r="D411" s="64" t="str">
        <f aca="false">IF($C411="","",N(元データ!$B$409))</f>
        <v/>
      </c>
      <c r="E411" s="64" t="str">
        <f aca="false">IF($C411="","",N(元データ!$C$409))</f>
        <v/>
      </c>
      <c r="F411" s="64" t="str">
        <f aca="false">IF($C411="","",N(元データ!$F$409))</f>
        <v/>
      </c>
      <c r="G411" s="63" t="str">
        <f aca="false">IF($C411="","",IF(COUNTIF(店舗マスタ!$B$5:$B$304,$C411)&gt;0,"登録済","未登録→マスタに追加"))</f>
        <v/>
      </c>
    </row>
    <row r="412" customFormat="false" ht="15" hidden="false" customHeight="false" outlineLevel="0" collapsed="false">
      <c r="A412" s="63" t="n">
        <v>410</v>
      </c>
      <c r="B412" s="63" t="str">
        <f aca="false">IF(元データ!$A$410="","",元データ!$A$410)</f>
        <v/>
      </c>
      <c r="C412" s="63" t="str">
        <f aca="false">IF(LEFT(B412,1)="(",IFERROR(VALUE(MID(B412,2,FIND(")",B412)-2)),""),"")</f>
        <v/>
      </c>
      <c r="D412" s="64" t="str">
        <f aca="false">IF($C412="","",N(元データ!$B$410))</f>
        <v/>
      </c>
      <c r="E412" s="64" t="str">
        <f aca="false">IF($C412="","",N(元データ!$C$410))</f>
        <v/>
      </c>
      <c r="F412" s="64" t="str">
        <f aca="false">IF($C412="","",N(元データ!$F$410))</f>
        <v/>
      </c>
      <c r="G412" s="63" t="str">
        <f aca="false">IF($C412="","",IF(COUNTIF(店舗マスタ!$B$5:$B$304,$C412)&gt;0,"登録済","未登録→マスタに追加"))</f>
        <v/>
      </c>
    </row>
    <row r="413" customFormat="false" ht="15" hidden="false" customHeight="false" outlineLevel="0" collapsed="false">
      <c r="A413" s="63" t="n">
        <v>411</v>
      </c>
      <c r="B413" s="63" t="str">
        <f aca="false">IF(元データ!$A$411="","",元データ!$A$411)</f>
        <v/>
      </c>
      <c r="C413" s="63" t="str">
        <f aca="false">IF(LEFT(B413,1)="(",IFERROR(VALUE(MID(B413,2,FIND(")",B413)-2)),""),"")</f>
        <v/>
      </c>
      <c r="D413" s="64" t="str">
        <f aca="false">IF($C413="","",N(元データ!$B$411))</f>
        <v/>
      </c>
      <c r="E413" s="64" t="str">
        <f aca="false">IF($C413="","",N(元データ!$C$411))</f>
        <v/>
      </c>
      <c r="F413" s="64" t="str">
        <f aca="false">IF($C413="","",N(元データ!$F$411))</f>
        <v/>
      </c>
      <c r="G413" s="63" t="str">
        <f aca="false">IF($C413="","",IF(COUNTIF(店舗マスタ!$B$5:$B$304,$C413)&gt;0,"登録済","未登録→マスタに追加"))</f>
        <v/>
      </c>
    </row>
    <row r="414" customFormat="false" ht="15" hidden="false" customHeight="false" outlineLevel="0" collapsed="false">
      <c r="A414" s="63" t="n">
        <v>412</v>
      </c>
      <c r="B414" s="63" t="str">
        <f aca="false">IF(元データ!$A$412="","",元データ!$A$412)</f>
        <v/>
      </c>
      <c r="C414" s="63" t="str">
        <f aca="false">IF(LEFT(B414,1)="(",IFERROR(VALUE(MID(B414,2,FIND(")",B414)-2)),""),"")</f>
        <v/>
      </c>
      <c r="D414" s="64" t="str">
        <f aca="false">IF($C414="","",N(元データ!$B$412))</f>
        <v/>
      </c>
      <c r="E414" s="64" t="str">
        <f aca="false">IF($C414="","",N(元データ!$C$412))</f>
        <v/>
      </c>
      <c r="F414" s="64" t="str">
        <f aca="false">IF($C414="","",N(元データ!$F$412))</f>
        <v/>
      </c>
      <c r="G414" s="63" t="str">
        <f aca="false">IF($C414="","",IF(COUNTIF(店舗マスタ!$B$5:$B$304,$C414)&gt;0,"登録済","未登録→マスタに追加"))</f>
        <v/>
      </c>
    </row>
    <row r="415" customFormat="false" ht="15" hidden="false" customHeight="false" outlineLevel="0" collapsed="false">
      <c r="A415" s="63" t="n">
        <v>413</v>
      </c>
      <c r="B415" s="63" t="str">
        <f aca="false">IF(元データ!$A$413="","",元データ!$A$413)</f>
        <v/>
      </c>
      <c r="C415" s="63" t="str">
        <f aca="false">IF(LEFT(B415,1)="(",IFERROR(VALUE(MID(B415,2,FIND(")",B415)-2)),""),"")</f>
        <v/>
      </c>
      <c r="D415" s="64" t="str">
        <f aca="false">IF($C415="","",N(元データ!$B$413))</f>
        <v/>
      </c>
      <c r="E415" s="64" t="str">
        <f aca="false">IF($C415="","",N(元データ!$C$413))</f>
        <v/>
      </c>
      <c r="F415" s="64" t="str">
        <f aca="false">IF($C415="","",N(元データ!$F$413))</f>
        <v/>
      </c>
      <c r="G415" s="63" t="str">
        <f aca="false">IF($C415="","",IF(COUNTIF(店舗マスタ!$B$5:$B$304,$C415)&gt;0,"登録済","未登録→マスタに追加"))</f>
        <v/>
      </c>
    </row>
    <row r="416" customFormat="false" ht="15" hidden="false" customHeight="false" outlineLevel="0" collapsed="false">
      <c r="A416" s="63" t="n">
        <v>414</v>
      </c>
      <c r="B416" s="63" t="str">
        <f aca="false">IF(元データ!$A$414="","",元データ!$A$414)</f>
        <v/>
      </c>
      <c r="C416" s="63" t="str">
        <f aca="false">IF(LEFT(B416,1)="(",IFERROR(VALUE(MID(B416,2,FIND(")",B416)-2)),""),"")</f>
        <v/>
      </c>
      <c r="D416" s="64" t="str">
        <f aca="false">IF($C416="","",N(元データ!$B$414))</f>
        <v/>
      </c>
      <c r="E416" s="64" t="str">
        <f aca="false">IF($C416="","",N(元データ!$C$414))</f>
        <v/>
      </c>
      <c r="F416" s="64" t="str">
        <f aca="false">IF($C416="","",N(元データ!$F$414))</f>
        <v/>
      </c>
      <c r="G416" s="63" t="str">
        <f aca="false">IF($C416="","",IF(COUNTIF(店舗マスタ!$B$5:$B$304,$C416)&gt;0,"登録済","未登録→マスタに追加"))</f>
        <v/>
      </c>
    </row>
    <row r="417" customFormat="false" ht="15" hidden="false" customHeight="false" outlineLevel="0" collapsed="false">
      <c r="A417" s="63" t="n">
        <v>415</v>
      </c>
      <c r="B417" s="63" t="str">
        <f aca="false">IF(元データ!$A$415="","",元データ!$A$415)</f>
        <v/>
      </c>
      <c r="C417" s="63" t="str">
        <f aca="false">IF(LEFT(B417,1)="(",IFERROR(VALUE(MID(B417,2,FIND(")",B417)-2)),""),"")</f>
        <v/>
      </c>
      <c r="D417" s="64" t="str">
        <f aca="false">IF($C417="","",N(元データ!$B$415))</f>
        <v/>
      </c>
      <c r="E417" s="64" t="str">
        <f aca="false">IF($C417="","",N(元データ!$C$415))</f>
        <v/>
      </c>
      <c r="F417" s="64" t="str">
        <f aca="false">IF($C417="","",N(元データ!$F$415))</f>
        <v/>
      </c>
      <c r="G417" s="63" t="str">
        <f aca="false">IF($C417="","",IF(COUNTIF(店舗マスタ!$B$5:$B$304,$C417)&gt;0,"登録済","未登録→マスタに追加"))</f>
        <v/>
      </c>
    </row>
    <row r="418" customFormat="false" ht="15" hidden="false" customHeight="false" outlineLevel="0" collapsed="false">
      <c r="A418" s="63" t="n">
        <v>416</v>
      </c>
      <c r="B418" s="63" t="str">
        <f aca="false">IF(元データ!$A$416="","",元データ!$A$416)</f>
        <v/>
      </c>
      <c r="C418" s="63" t="str">
        <f aca="false">IF(LEFT(B418,1)="(",IFERROR(VALUE(MID(B418,2,FIND(")",B418)-2)),""),"")</f>
        <v/>
      </c>
      <c r="D418" s="64" t="str">
        <f aca="false">IF($C418="","",N(元データ!$B$416))</f>
        <v/>
      </c>
      <c r="E418" s="64" t="str">
        <f aca="false">IF($C418="","",N(元データ!$C$416))</f>
        <v/>
      </c>
      <c r="F418" s="64" t="str">
        <f aca="false">IF($C418="","",N(元データ!$F$416))</f>
        <v/>
      </c>
      <c r="G418" s="63" t="str">
        <f aca="false">IF($C418="","",IF(COUNTIF(店舗マスタ!$B$5:$B$304,$C418)&gt;0,"登録済","未登録→マスタに追加"))</f>
        <v/>
      </c>
    </row>
    <row r="419" customFormat="false" ht="15" hidden="false" customHeight="false" outlineLevel="0" collapsed="false">
      <c r="A419" s="63" t="n">
        <v>417</v>
      </c>
      <c r="B419" s="63" t="str">
        <f aca="false">IF(元データ!$A$417="","",元データ!$A$417)</f>
        <v/>
      </c>
      <c r="C419" s="63" t="str">
        <f aca="false">IF(LEFT(B419,1)="(",IFERROR(VALUE(MID(B419,2,FIND(")",B419)-2)),""),"")</f>
        <v/>
      </c>
      <c r="D419" s="64" t="str">
        <f aca="false">IF($C419="","",N(元データ!$B$417))</f>
        <v/>
      </c>
      <c r="E419" s="64" t="str">
        <f aca="false">IF($C419="","",N(元データ!$C$417))</f>
        <v/>
      </c>
      <c r="F419" s="64" t="str">
        <f aca="false">IF($C419="","",N(元データ!$F$417))</f>
        <v/>
      </c>
      <c r="G419" s="63" t="str">
        <f aca="false">IF($C419="","",IF(COUNTIF(店舗マスタ!$B$5:$B$304,$C419)&gt;0,"登録済","未登録→マスタに追加"))</f>
        <v/>
      </c>
    </row>
    <row r="420" customFormat="false" ht="15" hidden="false" customHeight="false" outlineLevel="0" collapsed="false">
      <c r="A420" s="63" t="n">
        <v>418</v>
      </c>
      <c r="B420" s="63" t="str">
        <f aca="false">IF(元データ!$A$418="","",元データ!$A$418)</f>
        <v/>
      </c>
      <c r="C420" s="63" t="str">
        <f aca="false">IF(LEFT(B420,1)="(",IFERROR(VALUE(MID(B420,2,FIND(")",B420)-2)),""),"")</f>
        <v/>
      </c>
      <c r="D420" s="64" t="str">
        <f aca="false">IF($C420="","",N(元データ!$B$418))</f>
        <v/>
      </c>
      <c r="E420" s="64" t="str">
        <f aca="false">IF($C420="","",N(元データ!$C$418))</f>
        <v/>
      </c>
      <c r="F420" s="64" t="str">
        <f aca="false">IF($C420="","",N(元データ!$F$418))</f>
        <v/>
      </c>
      <c r="G420" s="63" t="str">
        <f aca="false">IF($C420="","",IF(COUNTIF(店舗マスタ!$B$5:$B$304,$C420)&gt;0,"登録済","未登録→マスタに追加"))</f>
        <v/>
      </c>
    </row>
    <row r="421" customFormat="false" ht="15" hidden="false" customHeight="false" outlineLevel="0" collapsed="false">
      <c r="A421" s="63" t="n">
        <v>419</v>
      </c>
      <c r="B421" s="63" t="str">
        <f aca="false">IF(元データ!$A$419="","",元データ!$A$419)</f>
        <v/>
      </c>
      <c r="C421" s="63" t="str">
        <f aca="false">IF(LEFT(B421,1)="(",IFERROR(VALUE(MID(B421,2,FIND(")",B421)-2)),""),"")</f>
        <v/>
      </c>
      <c r="D421" s="64" t="str">
        <f aca="false">IF($C421="","",N(元データ!$B$419))</f>
        <v/>
      </c>
      <c r="E421" s="64" t="str">
        <f aca="false">IF($C421="","",N(元データ!$C$419))</f>
        <v/>
      </c>
      <c r="F421" s="64" t="str">
        <f aca="false">IF($C421="","",N(元データ!$F$419))</f>
        <v/>
      </c>
      <c r="G421" s="63" t="str">
        <f aca="false">IF($C421="","",IF(COUNTIF(店舗マスタ!$B$5:$B$304,$C421)&gt;0,"登録済","未登録→マスタに追加"))</f>
        <v/>
      </c>
    </row>
    <row r="422" customFormat="false" ht="15" hidden="false" customHeight="false" outlineLevel="0" collapsed="false">
      <c r="A422" s="63" t="n">
        <v>420</v>
      </c>
      <c r="B422" s="63" t="str">
        <f aca="false">IF(元データ!$A$420="","",元データ!$A$420)</f>
        <v/>
      </c>
      <c r="C422" s="63" t="str">
        <f aca="false">IF(LEFT(B422,1)="(",IFERROR(VALUE(MID(B422,2,FIND(")",B422)-2)),""),"")</f>
        <v/>
      </c>
      <c r="D422" s="64" t="str">
        <f aca="false">IF($C422="","",N(元データ!$B$420))</f>
        <v/>
      </c>
      <c r="E422" s="64" t="str">
        <f aca="false">IF($C422="","",N(元データ!$C$420))</f>
        <v/>
      </c>
      <c r="F422" s="64" t="str">
        <f aca="false">IF($C422="","",N(元データ!$F$420))</f>
        <v/>
      </c>
      <c r="G422" s="63" t="str">
        <f aca="false">IF($C422="","",IF(COUNTIF(店舗マスタ!$B$5:$B$304,$C422)&gt;0,"登録済","未登録→マスタに追加"))</f>
        <v/>
      </c>
    </row>
    <row r="423" customFormat="false" ht="15" hidden="false" customHeight="false" outlineLevel="0" collapsed="false">
      <c r="A423" s="63" t="n">
        <v>421</v>
      </c>
      <c r="B423" s="63" t="str">
        <f aca="false">IF(元データ!$A$421="","",元データ!$A$421)</f>
        <v/>
      </c>
      <c r="C423" s="63" t="str">
        <f aca="false">IF(LEFT(B423,1)="(",IFERROR(VALUE(MID(B423,2,FIND(")",B423)-2)),""),"")</f>
        <v/>
      </c>
      <c r="D423" s="64" t="str">
        <f aca="false">IF($C423="","",N(元データ!$B$421))</f>
        <v/>
      </c>
      <c r="E423" s="64" t="str">
        <f aca="false">IF($C423="","",N(元データ!$C$421))</f>
        <v/>
      </c>
      <c r="F423" s="64" t="str">
        <f aca="false">IF($C423="","",N(元データ!$F$421))</f>
        <v/>
      </c>
      <c r="G423" s="63" t="str">
        <f aca="false">IF($C423="","",IF(COUNTIF(店舗マスタ!$B$5:$B$304,$C423)&gt;0,"登録済","未登録→マスタに追加"))</f>
        <v/>
      </c>
    </row>
    <row r="424" customFormat="false" ht="15" hidden="false" customHeight="false" outlineLevel="0" collapsed="false">
      <c r="A424" s="63" t="n">
        <v>422</v>
      </c>
      <c r="B424" s="63" t="str">
        <f aca="false">IF(元データ!$A$422="","",元データ!$A$422)</f>
        <v/>
      </c>
      <c r="C424" s="63" t="str">
        <f aca="false">IF(LEFT(B424,1)="(",IFERROR(VALUE(MID(B424,2,FIND(")",B424)-2)),""),"")</f>
        <v/>
      </c>
      <c r="D424" s="64" t="str">
        <f aca="false">IF($C424="","",N(元データ!$B$422))</f>
        <v/>
      </c>
      <c r="E424" s="64" t="str">
        <f aca="false">IF($C424="","",N(元データ!$C$422))</f>
        <v/>
      </c>
      <c r="F424" s="64" t="str">
        <f aca="false">IF($C424="","",N(元データ!$F$422))</f>
        <v/>
      </c>
      <c r="G424" s="63" t="str">
        <f aca="false">IF($C424="","",IF(COUNTIF(店舗マスタ!$B$5:$B$304,$C424)&gt;0,"登録済","未登録→マスタに追加"))</f>
        <v/>
      </c>
    </row>
    <row r="425" customFormat="false" ht="15" hidden="false" customHeight="false" outlineLevel="0" collapsed="false">
      <c r="A425" s="63" t="n">
        <v>423</v>
      </c>
      <c r="B425" s="63" t="str">
        <f aca="false">IF(元データ!$A$423="","",元データ!$A$423)</f>
        <v/>
      </c>
      <c r="C425" s="63" t="str">
        <f aca="false">IF(LEFT(B425,1)="(",IFERROR(VALUE(MID(B425,2,FIND(")",B425)-2)),""),"")</f>
        <v/>
      </c>
      <c r="D425" s="64" t="str">
        <f aca="false">IF($C425="","",N(元データ!$B$423))</f>
        <v/>
      </c>
      <c r="E425" s="64" t="str">
        <f aca="false">IF($C425="","",N(元データ!$C$423))</f>
        <v/>
      </c>
      <c r="F425" s="64" t="str">
        <f aca="false">IF($C425="","",N(元データ!$F$423))</f>
        <v/>
      </c>
      <c r="G425" s="63" t="str">
        <f aca="false">IF($C425="","",IF(COUNTIF(店舗マスタ!$B$5:$B$304,$C425)&gt;0,"登録済","未登録→マスタに追加"))</f>
        <v/>
      </c>
    </row>
    <row r="426" customFormat="false" ht="15" hidden="false" customHeight="false" outlineLevel="0" collapsed="false">
      <c r="A426" s="63" t="n">
        <v>424</v>
      </c>
      <c r="B426" s="63" t="str">
        <f aca="false">IF(元データ!$A$424="","",元データ!$A$424)</f>
        <v/>
      </c>
      <c r="C426" s="63" t="str">
        <f aca="false">IF(LEFT(B426,1)="(",IFERROR(VALUE(MID(B426,2,FIND(")",B426)-2)),""),"")</f>
        <v/>
      </c>
      <c r="D426" s="64" t="str">
        <f aca="false">IF($C426="","",N(元データ!$B$424))</f>
        <v/>
      </c>
      <c r="E426" s="64" t="str">
        <f aca="false">IF($C426="","",N(元データ!$C$424))</f>
        <v/>
      </c>
      <c r="F426" s="64" t="str">
        <f aca="false">IF($C426="","",N(元データ!$F$424))</f>
        <v/>
      </c>
      <c r="G426" s="63" t="str">
        <f aca="false">IF($C426="","",IF(COUNTIF(店舗マスタ!$B$5:$B$304,$C426)&gt;0,"登録済","未登録→マスタに追加"))</f>
        <v/>
      </c>
    </row>
    <row r="427" customFormat="false" ht="15" hidden="false" customHeight="false" outlineLevel="0" collapsed="false">
      <c r="A427" s="63" t="n">
        <v>425</v>
      </c>
      <c r="B427" s="63" t="str">
        <f aca="false">IF(元データ!$A$425="","",元データ!$A$425)</f>
        <v/>
      </c>
      <c r="C427" s="63" t="str">
        <f aca="false">IF(LEFT(B427,1)="(",IFERROR(VALUE(MID(B427,2,FIND(")",B427)-2)),""),"")</f>
        <v/>
      </c>
      <c r="D427" s="64" t="str">
        <f aca="false">IF($C427="","",N(元データ!$B$425))</f>
        <v/>
      </c>
      <c r="E427" s="64" t="str">
        <f aca="false">IF($C427="","",N(元データ!$C$425))</f>
        <v/>
      </c>
      <c r="F427" s="64" t="str">
        <f aca="false">IF($C427="","",N(元データ!$F$425))</f>
        <v/>
      </c>
      <c r="G427" s="63" t="str">
        <f aca="false">IF($C427="","",IF(COUNTIF(店舗マスタ!$B$5:$B$304,$C427)&gt;0,"登録済","未登録→マスタに追加"))</f>
        <v/>
      </c>
    </row>
    <row r="428" customFormat="false" ht="15" hidden="false" customHeight="false" outlineLevel="0" collapsed="false">
      <c r="A428" s="63" t="n">
        <v>426</v>
      </c>
      <c r="B428" s="63" t="str">
        <f aca="false">IF(元データ!$A$426="","",元データ!$A$426)</f>
        <v/>
      </c>
      <c r="C428" s="63" t="str">
        <f aca="false">IF(LEFT(B428,1)="(",IFERROR(VALUE(MID(B428,2,FIND(")",B428)-2)),""),"")</f>
        <v/>
      </c>
      <c r="D428" s="64" t="str">
        <f aca="false">IF($C428="","",N(元データ!$B$426))</f>
        <v/>
      </c>
      <c r="E428" s="64" t="str">
        <f aca="false">IF($C428="","",N(元データ!$C$426))</f>
        <v/>
      </c>
      <c r="F428" s="64" t="str">
        <f aca="false">IF($C428="","",N(元データ!$F$426))</f>
        <v/>
      </c>
      <c r="G428" s="63" t="str">
        <f aca="false">IF($C428="","",IF(COUNTIF(店舗マスタ!$B$5:$B$304,$C428)&gt;0,"登録済","未登録→マスタに追加"))</f>
        <v/>
      </c>
    </row>
    <row r="429" customFormat="false" ht="15" hidden="false" customHeight="false" outlineLevel="0" collapsed="false">
      <c r="A429" s="63" t="n">
        <v>427</v>
      </c>
      <c r="B429" s="63" t="str">
        <f aca="false">IF(元データ!$A$427="","",元データ!$A$427)</f>
        <v/>
      </c>
      <c r="C429" s="63" t="str">
        <f aca="false">IF(LEFT(B429,1)="(",IFERROR(VALUE(MID(B429,2,FIND(")",B429)-2)),""),"")</f>
        <v/>
      </c>
      <c r="D429" s="64" t="str">
        <f aca="false">IF($C429="","",N(元データ!$B$427))</f>
        <v/>
      </c>
      <c r="E429" s="64" t="str">
        <f aca="false">IF($C429="","",N(元データ!$C$427))</f>
        <v/>
      </c>
      <c r="F429" s="64" t="str">
        <f aca="false">IF($C429="","",N(元データ!$F$427))</f>
        <v/>
      </c>
      <c r="G429" s="63" t="str">
        <f aca="false">IF($C429="","",IF(COUNTIF(店舗マスタ!$B$5:$B$304,$C429)&gt;0,"登録済","未登録→マスタに追加"))</f>
        <v/>
      </c>
    </row>
    <row r="430" customFormat="false" ht="15" hidden="false" customHeight="false" outlineLevel="0" collapsed="false">
      <c r="A430" s="63" t="n">
        <v>428</v>
      </c>
      <c r="B430" s="63" t="str">
        <f aca="false">IF(元データ!$A$428="","",元データ!$A$428)</f>
        <v/>
      </c>
      <c r="C430" s="63" t="str">
        <f aca="false">IF(LEFT(B430,1)="(",IFERROR(VALUE(MID(B430,2,FIND(")",B430)-2)),""),"")</f>
        <v/>
      </c>
      <c r="D430" s="64" t="str">
        <f aca="false">IF($C430="","",N(元データ!$B$428))</f>
        <v/>
      </c>
      <c r="E430" s="64" t="str">
        <f aca="false">IF($C430="","",N(元データ!$C$428))</f>
        <v/>
      </c>
      <c r="F430" s="64" t="str">
        <f aca="false">IF($C430="","",N(元データ!$F$428))</f>
        <v/>
      </c>
      <c r="G430" s="63" t="str">
        <f aca="false">IF($C430="","",IF(COUNTIF(店舗マスタ!$B$5:$B$304,$C430)&gt;0,"登録済","未登録→マスタに追加"))</f>
        <v/>
      </c>
    </row>
    <row r="431" customFormat="false" ht="15" hidden="false" customHeight="false" outlineLevel="0" collapsed="false">
      <c r="A431" s="63" t="n">
        <v>429</v>
      </c>
      <c r="B431" s="63" t="str">
        <f aca="false">IF(元データ!$A$429="","",元データ!$A$429)</f>
        <v/>
      </c>
      <c r="C431" s="63" t="str">
        <f aca="false">IF(LEFT(B431,1)="(",IFERROR(VALUE(MID(B431,2,FIND(")",B431)-2)),""),"")</f>
        <v/>
      </c>
      <c r="D431" s="64" t="str">
        <f aca="false">IF($C431="","",N(元データ!$B$429))</f>
        <v/>
      </c>
      <c r="E431" s="64" t="str">
        <f aca="false">IF($C431="","",N(元データ!$C$429))</f>
        <v/>
      </c>
      <c r="F431" s="64" t="str">
        <f aca="false">IF($C431="","",N(元データ!$F$429))</f>
        <v/>
      </c>
      <c r="G431" s="63" t="str">
        <f aca="false">IF($C431="","",IF(COUNTIF(店舗マスタ!$B$5:$B$304,$C431)&gt;0,"登録済","未登録→マスタに追加"))</f>
        <v/>
      </c>
    </row>
    <row r="432" customFormat="false" ht="15" hidden="false" customHeight="false" outlineLevel="0" collapsed="false">
      <c r="A432" s="63" t="n">
        <v>430</v>
      </c>
      <c r="B432" s="63" t="str">
        <f aca="false">IF(元データ!$A$430="","",元データ!$A$430)</f>
        <v/>
      </c>
      <c r="C432" s="63" t="str">
        <f aca="false">IF(LEFT(B432,1)="(",IFERROR(VALUE(MID(B432,2,FIND(")",B432)-2)),""),"")</f>
        <v/>
      </c>
      <c r="D432" s="64" t="str">
        <f aca="false">IF($C432="","",N(元データ!$B$430))</f>
        <v/>
      </c>
      <c r="E432" s="64" t="str">
        <f aca="false">IF($C432="","",N(元データ!$C$430))</f>
        <v/>
      </c>
      <c r="F432" s="64" t="str">
        <f aca="false">IF($C432="","",N(元データ!$F$430))</f>
        <v/>
      </c>
      <c r="G432" s="63" t="str">
        <f aca="false">IF($C432="","",IF(COUNTIF(店舗マスタ!$B$5:$B$304,$C432)&gt;0,"登録済","未登録→マスタに追加"))</f>
        <v/>
      </c>
    </row>
    <row r="433" customFormat="false" ht="15" hidden="false" customHeight="false" outlineLevel="0" collapsed="false">
      <c r="A433" s="63" t="n">
        <v>431</v>
      </c>
      <c r="B433" s="63" t="str">
        <f aca="false">IF(元データ!$A$431="","",元データ!$A$431)</f>
        <v/>
      </c>
      <c r="C433" s="63" t="str">
        <f aca="false">IF(LEFT(B433,1)="(",IFERROR(VALUE(MID(B433,2,FIND(")",B433)-2)),""),"")</f>
        <v/>
      </c>
      <c r="D433" s="64" t="str">
        <f aca="false">IF($C433="","",N(元データ!$B$431))</f>
        <v/>
      </c>
      <c r="E433" s="64" t="str">
        <f aca="false">IF($C433="","",N(元データ!$C$431))</f>
        <v/>
      </c>
      <c r="F433" s="64" t="str">
        <f aca="false">IF($C433="","",N(元データ!$F$431))</f>
        <v/>
      </c>
      <c r="G433" s="63" t="str">
        <f aca="false">IF($C433="","",IF(COUNTIF(店舗マスタ!$B$5:$B$304,$C433)&gt;0,"登録済","未登録→マスタに追加"))</f>
        <v/>
      </c>
    </row>
    <row r="434" customFormat="false" ht="15" hidden="false" customHeight="false" outlineLevel="0" collapsed="false">
      <c r="A434" s="63" t="n">
        <v>432</v>
      </c>
      <c r="B434" s="63" t="str">
        <f aca="false">IF(元データ!$A$432="","",元データ!$A$432)</f>
        <v/>
      </c>
      <c r="C434" s="63" t="str">
        <f aca="false">IF(LEFT(B434,1)="(",IFERROR(VALUE(MID(B434,2,FIND(")",B434)-2)),""),"")</f>
        <v/>
      </c>
      <c r="D434" s="64" t="str">
        <f aca="false">IF($C434="","",N(元データ!$B$432))</f>
        <v/>
      </c>
      <c r="E434" s="64" t="str">
        <f aca="false">IF($C434="","",N(元データ!$C$432))</f>
        <v/>
      </c>
      <c r="F434" s="64" t="str">
        <f aca="false">IF($C434="","",N(元データ!$F$432))</f>
        <v/>
      </c>
      <c r="G434" s="63" t="str">
        <f aca="false">IF($C434="","",IF(COUNTIF(店舗マスタ!$B$5:$B$304,$C434)&gt;0,"登録済","未登録→マスタに追加"))</f>
        <v/>
      </c>
    </row>
    <row r="435" customFormat="false" ht="15" hidden="false" customHeight="false" outlineLevel="0" collapsed="false">
      <c r="A435" s="63" t="n">
        <v>433</v>
      </c>
      <c r="B435" s="63" t="str">
        <f aca="false">IF(元データ!$A$433="","",元データ!$A$433)</f>
        <v/>
      </c>
      <c r="C435" s="63" t="str">
        <f aca="false">IF(LEFT(B435,1)="(",IFERROR(VALUE(MID(B435,2,FIND(")",B435)-2)),""),"")</f>
        <v/>
      </c>
      <c r="D435" s="64" t="str">
        <f aca="false">IF($C435="","",N(元データ!$B$433))</f>
        <v/>
      </c>
      <c r="E435" s="64" t="str">
        <f aca="false">IF($C435="","",N(元データ!$C$433))</f>
        <v/>
      </c>
      <c r="F435" s="64" t="str">
        <f aca="false">IF($C435="","",N(元データ!$F$433))</f>
        <v/>
      </c>
      <c r="G435" s="63" t="str">
        <f aca="false">IF($C435="","",IF(COUNTIF(店舗マスタ!$B$5:$B$304,$C435)&gt;0,"登録済","未登録→マスタに追加"))</f>
        <v/>
      </c>
    </row>
    <row r="436" customFormat="false" ht="15" hidden="false" customHeight="false" outlineLevel="0" collapsed="false">
      <c r="A436" s="63" t="n">
        <v>434</v>
      </c>
      <c r="B436" s="63" t="str">
        <f aca="false">IF(元データ!$A$434="","",元データ!$A$434)</f>
        <v/>
      </c>
      <c r="C436" s="63" t="str">
        <f aca="false">IF(LEFT(B436,1)="(",IFERROR(VALUE(MID(B436,2,FIND(")",B436)-2)),""),"")</f>
        <v/>
      </c>
      <c r="D436" s="64" t="str">
        <f aca="false">IF($C436="","",N(元データ!$B$434))</f>
        <v/>
      </c>
      <c r="E436" s="64" t="str">
        <f aca="false">IF($C436="","",N(元データ!$C$434))</f>
        <v/>
      </c>
      <c r="F436" s="64" t="str">
        <f aca="false">IF($C436="","",N(元データ!$F$434))</f>
        <v/>
      </c>
      <c r="G436" s="63" t="str">
        <f aca="false">IF($C436="","",IF(COUNTIF(店舗マスタ!$B$5:$B$304,$C436)&gt;0,"登録済","未登録→マスタに追加"))</f>
        <v/>
      </c>
    </row>
    <row r="437" customFormat="false" ht="15" hidden="false" customHeight="false" outlineLevel="0" collapsed="false">
      <c r="A437" s="63" t="n">
        <v>435</v>
      </c>
      <c r="B437" s="63" t="str">
        <f aca="false">IF(元データ!$A$435="","",元データ!$A$435)</f>
        <v/>
      </c>
      <c r="C437" s="63" t="str">
        <f aca="false">IF(LEFT(B437,1)="(",IFERROR(VALUE(MID(B437,2,FIND(")",B437)-2)),""),"")</f>
        <v/>
      </c>
      <c r="D437" s="64" t="str">
        <f aca="false">IF($C437="","",N(元データ!$B$435))</f>
        <v/>
      </c>
      <c r="E437" s="64" t="str">
        <f aca="false">IF($C437="","",N(元データ!$C$435))</f>
        <v/>
      </c>
      <c r="F437" s="64" t="str">
        <f aca="false">IF($C437="","",N(元データ!$F$435))</f>
        <v/>
      </c>
      <c r="G437" s="63" t="str">
        <f aca="false">IF($C437="","",IF(COUNTIF(店舗マスタ!$B$5:$B$304,$C437)&gt;0,"登録済","未登録→マスタに追加"))</f>
        <v/>
      </c>
    </row>
    <row r="438" customFormat="false" ht="15" hidden="false" customHeight="false" outlineLevel="0" collapsed="false">
      <c r="A438" s="63" t="n">
        <v>436</v>
      </c>
      <c r="B438" s="63" t="str">
        <f aca="false">IF(元データ!$A$436="","",元データ!$A$436)</f>
        <v/>
      </c>
      <c r="C438" s="63" t="str">
        <f aca="false">IF(LEFT(B438,1)="(",IFERROR(VALUE(MID(B438,2,FIND(")",B438)-2)),""),"")</f>
        <v/>
      </c>
      <c r="D438" s="64" t="str">
        <f aca="false">IF($C438="","",N(元データ!$B$436))</f>
        <v/>
      </c>
      <c r="E438" s="64" t="str">
        <f aca="false">IF($C438="","",N(元データ!$C$436))</f>
        <v/>
      </c>
      <c r="F438" s="64" t="str">
        <f aca="false">IF($C438="","",N(元データ!$F$436))</f>
        <v/>
      </c>
      <c r="G438" s="63" t="str">
        <f aca="false">IF($C438="","",IF(COUNTIF(店舗マスタ!$B$5:$B$304,$C438)&gt;0,"登録済","未登録→マスタに追加"))</f>
        <v/>
      </c>
    </row>
    <row r="439" customFormat="false" ht="15" hidden="false" customHeight="false" outlineLevel="0" collapsed="false">
      <c r="A439" s="63" t="n">
        <v>437</v>
      </c>
      <c r="B439" s="63" t="str">
        <f aca="false">IF(元データ!$A$437="","",元データ!$A$437)</f>
        <v/>
      </c>
      <c r="C439" s="63" t="str">
        <f aca="false">IF(LEFT(B439,1)="(",IFERROR(VALUE(MID(B439,2,FIND(")",B439)-2)),""),"")</f>
        <v/>
      </c>
      <c r="D439" s="64" t="str">
        <f aca="false">IF($C439="","",N(元データ!$B$437))</f>
        <v/>
      </c>
      <c r="E439" s="64" t="str">
        <f aca="false">IF($C439="","",N(元データ!$C$437))</f>
        <v/>
      </c>
      <c r="F439" s="64" t="str">
        <f aca="false">IF($C439="","",N(元データ!$F$437))</f>
        <v/>
      </c>
      <c r="G439" s="63" t="str">
        <f aca="false">IF($C439="","",IF(COUNTIF(店舗マスタ!$B$5:$B$304,$C439)&gt;0,"登録済","未登録→マスタに追加"))</f>
        <v/>
      </c>
    </row>
    <row r="440" customFormat="false" ht="15" hidden="false" customHeight="false" outlineLevel="0" collapsed="false">
      <c r="A440" s="63" t="n">
        <v>438</v>
      </c>
      <c r="B440" s="63" t="str">
        <f aca="false">IF(元データ!$A$438="","",元データ!$A$438)</f>
        <v/>
      </c>
      <c r="C440" s="63" t="str">
        <f aca="false">IF(LEFT(B440,1)="(",IFERROR(VALUE(MID(B440,2,FIND(")",B440)-2)),""),"")</f>
        <v/>
      </c>
      <c r="D440" s="64" t="str">
        <f aca="false">IF($C440="","",N(元データ!$B$438))</f>
        <v/>
      </c>
      <c r="E440" s="64" t="str">
        <f aca="false">IF($C440="","",N(元データ!$C$438))</f>
        <v/>
      </c>
      <c r="F440" s="64" t="str">
        <f aca="false">IF($C440="","",N(元データ!$F$438))</f>
        <v/>
      </c>
      <c r="G440" s="63" t="str">
        <f aca="false">IF($C440="","",IF(COUNTIF(店舗マスタ!$B$5:$B$304,$C440)&gt;0,"登録済","未登録→マスタに追加"))</f>
        <v/>
      </c>
    </row>
    <row r="441" customFormat="false" ht="15" hidden="false" customHeight="false" outlineLevel="0" collapsed="false">
      <c r="A441" s="63" t="n">
        <v>439</v>
      </c>
      <c r="B441" s="63" t="str">
        <f aca="false">IF(元データ!$A$439="","",元データ!$A$439)</f>
        <v/>
      </c>
      <c r="C441" s="63" t="str">
        <f aca="false">IF(LEFT(B441,1)="(",IFERROR(VALUE(MID(B441,2,FIND(")",B441)-2)),""),"")</f>
        <v/>
      </c>
      <c r="D441" s="64" t="str">
        <f aca="false">IF($C441="","",N(元データ!$B$439))</f>
        <v/>
      </c>
      <c r="E441" s="64" t="str">
        <f aca="false">IF($C441="","",N(元データ!$C$439))</f>
        <v/>
      </c>
      <c r="F441" s="64" t="str">
        <f aca="false">IF($C441="","",N(元データ!$F$439))</f>
        <v/>
      </c>
      <c r="G441" s="63" t="str">
        <f aca="false">IF($C441="","",IF(COUNTIF(店舗マスタ!$B$5:$B$304,$C441)&gt;0,"登録済","未登録→マスタに追加"))</f>
        <v/>
      </c>
    </row>
    <row r="442" customFormat="false" ht="15" hidden="false" customHeight="false" outlineLevel="0" collapsed="false">
      <c r="A442" s="63" t="n">
        <v>440</v>
      </c>
      <c r="B442" s="63" t="str">
        <f aca="false">IF(元データ!$A$440="","",元データ!$A$440)</f>
        <v/>
      </c>
      <c r="C442" s="63" t="str">
        <f aca="false">IF(LEFT(B442,1)="(",IFERROR(VALUE(MID(B442,2,FIND(")",B442)-2)),""),"")</f>
        <v/>
      </c>
      <c r="D442" s="64" t="str">
        <f aca="false">IF($C442="","",N(元データ!$B$440))</f>
        <v/>
      </c>
      <c r="E442" s="64" t="str">
        <f aca="false">IF($C442="","",N(元データ!$C$440))</f>
        <v/>
      </c>
      <c r="F442" s="64" t="str">
        <f aca="false">IF($C442="","",N(元データ!$F$440))</f>
        <v/>
      </c>
      <c r="G442" s="63" t="str">
        <f aca="false">IF($C442="","",IF(COUNTIF(店舗マスタ!$B$5:$B$304,$C442)&gt;0,"登録済","未登録→マスタに追加"))</f>
        <v/>
      </c>
    </row>
    <row r="443" customFormat="false" ht="15" hidden="false" customHeight="false" outlineLevel="0" collapsed="false">
      <c r="A443" s="63" t="n">
        <v>441</v>
      </c>
      <c r="B443" s="63" t="str">
        <f aca="false">IF(元データ!$A$441="","",元データ!$A$441)</f>
        <v/>
      </c>
      <c r="C443" s="63" t="str">
        <f aca="false">IF(LEFT(B443,1)="(",IFERROR(VALUE(MID(B443,2,FIND(")",B443)-2)),""),"")</f>
        <v/>
      </c>
      <c r="D443" s="64" t="str">
        <f aca="false">IF($C443="","",N(元データ!$B$441))</f>
        <v/>
      </c>
      <c r="E443" s="64" t="str">
        <f aca="false">IF($C443="","",N(元データ!$C$441))</f>
        <v/>
      </c>
      <c r="F443" s="64" t="str">
        <f aca="false">IF($C443="","",N(元データ!$F$441))</f>
        <v/>
      </c>
      <c r="G443" s="63" t="str">
        <f aca="false">IF($C443="","",IF(COUNTIF(店舗マスタ!$B$5:$B$304,$C443)&gt;0,"登録済","未登録→マスタに追加"))</f>
        <v/>
      </c>
    </row>
    <row r="444" customFormat="false" ht="15" hidden="false" customHeight="false" outlineLevel="0" collapsed="false">
      <c r="A444" s="63" t="n">
        <v>442</v>
      </c>
      <c r="B444" s="63" t="str">
        <f aca="false">IF(元データ!$A$442="","",元データ!$A$442)</f>
        <v/>
      </c>
      <c r="C444" s="63" t="str">
        <f aca="false">IF(LEFT(B444,1)="(",IFERROR(VALUE(MID(B444,2,FIND(")",B444)-2)),""),"")</f>
        <v/>
      </c>
      <c r="D444" s="64" t="str">
        <f aca="false">IF($C444="","",N(元データ!$B$442))</f>
        <v/>
      </c>
      <c r="E444" s="64" t="str">
        <f aca="false">IF($C444="","",N(元データ!$C$442))</f>
        <v/>
      </c>
      <c r="F444" s="64" t="str">
        <f aca="false">IF($C444="","",N(元データ!$F$442))</f>
        <v/>
      </c>
      <c r="G444" s="63" t="str">
        <f aca="false">IF($C444="","",IF(COUNTIF(店舗マスタ!$B$5:$B$304,$C444)&gt;0,"登録済","未登録→マスタに追加"))</f>
        <v/>
      </c>
    </row>
    <row r="445" customFormat="false" ht="15" hidden="false" customHeight="false" outlineLevel="0" collapsed="false">
      <c r="A445" s="63" t="n">
        <v>443</v>
      </c>
      <c r="B445" s="63" t="str">
        <f aca="false">IF(元データ!$A$443="","",元データ!$A$443)</f>
        <v/>
      </c>
      <c r="C445" s="63" t="str">
        <f aca="false">IF(LEFT(B445,1)="(",IFERROR(VALUE(MID(B445,2,FIND(")",B445)-2)),""),"")</f>
        <v/>
      </c>
      <c r="D445" s="64" t="str">
        <f aca="false">IF($C445="","",N(元データ!$B$443))</f>
        <v/>
      </c>
      <c r="E445" s="64" t="str">
        <f aca="false">IF($C445="","",N(元データ!$C$443))</f>
        <v/>
      </c>
      <c r="F445" s="64" t="str">
        <f aca="false">IF($C445="","",N(元データ!$F$443))</f>
        <v/>
      </c>
      <c r="G445" s="63" t="str">
        <f aca="false">IF($C445="","",IF(COUNTIF(店舗マスタ!$B$5:$B$304,$C445)&gt;0,"登録済","未登録→マスタに追加"))</f>
        <v/>
      </c>
    </row>
    <row r="446" customFormat="false" ht="15" hidden="false" customHeight="false" outlineLevel="0" collapsed="false">
      <c r="A446" s="63" t="n">
        <v>444</v>
      </c>
      <c r="B446" s="63" t="str">
        <f aca="false">IF(元データ!$A$444="","",元データ!$A$444)</f>
        <v/>
      </c>
      <c r="C446" s="63" t="str">
        <f aca="false">IF(LEFT(B446,1)="(",IFERROR(VALUE(MID(B446,2,FIND(")",B446)-2)),""),"")</f>
        <v/>
      </c>
      <c r="D446" s="64" t="str">
        <f aca="false">IF($C446="","",N(元データ!$B$444))</f>
        <v/>
      </c>
      <c r="E446" s="64" t="str">
        <f aca="false">IF($C446="","",N(元データ!$C$444))</f>
        <v/>
      </c>
      <c r="F446" s="64" t="str">
        <f aca="false">IF($C446="","",N(元データ!$F$444))</f>
        <v/>
      </c>
      <c r="G446" s="63" t="str">
        <f aca="false">IF($C446="","",IF(COUNTIF(店舗マスタ!$B$5:$B$304,$C446)&gt;0,"登録済","未登録→マスタに追加"))</f>
        <v/>
      </c>
    </row>
    <row r="447" customFormat="false" ht="15" hidden="false" customHeight="false" outlineLevel="0" collapsed="false">
      <c r="A447" s="63" t="n">
        <v>445</v>
      </c>
      <c r="B447" s="63" t="str">
        <f aca="false">IF(元データ!$A$445="","",元データ!$A$445)</f>
        <v/>
      </c>
      <c r="C447" s="63" t="str">
        <f aca="false">IF(LEFT(B447,1)="(",IFERROR(VALUE(MID(B447,2,FIND(")",B447)-2)),""),"")</f>
        <v/>
      </c>
      <c r="D447" s="64" t="str">
        <f aca="false">IF($C447="","",N(元データ!$B$445))</f>
        <v/>
      </c>
      <c r="E447" s="64" t="str">
        <f aca="false">IF($C447="","",N(元データ!$C$445))</f>
        <v/>
      </c>
      <c r="F447" s="64" t="str">
        <f aca="false">IF($C447="","",N(元データ!$F$445))</f>
        <v/>
      </c>
      <c r="G447" s="63" t="str">
        <f aca="false">IF($C447="","",IF(COUNTIF(店舗マスタ!$B$5:$B$304,$C447)&gt;0,"登録済","未登録→マスタに追加"))</f>
        <v/>
      </c>
    </row>
    <row r="448" customFormat="false" ht="15" hidden="false" customHeight="false" outlineLevel="0" collapsed="false">
      <c r="A448" s="63" t="n">
        <v>446</v>
      </c>
      <c r="B448" s="63" t="str">
        <f aca="false">IF(元データ!$A$446="","",元データ!$A$446)</f>
        <v/>
      </c>
      <c r="C448" s="63" t="str">
        <f aca="false">IF(LEFT(B448,1)="(",IFERROR(VALUE(MID(B448,2,FIND(")",B448)-2)),""),"")</f>
        <v/>
      </c>
      <c r="D448" s="64" t="str">
        <f aca="false">IF($C448="","",N(元データ!$B$446))</f>
        <v/>
      </c>
      <c r="E448" s="64" t="str">
        <f aca="false">IF($C448="","",N(元データ!$C$446))</f>
        <v/>
      </c>
      <c r="F448" s="64" t="str">
        <f aca="false">IF($C448="","",N(元データ!$F$446))</f>
        <v/>
      </c>
      <c r="G448" s="63" t="str">
        <f aca="false">IF($C448="","",IF(COUNTIF(店舗マスタ!$B$5:$B$304,$C448)&gt;0,"登録済","未登録→マスタに追加"))</f>
        <v/>
      </c>
    </row>
    <row r="449" customFormat="false" ht="15" hidden="false" customHeight="false" outlineLevel="0" collapsed="false">
      <c r="A449" s="63" t="n">
        <v>447</v>
      </c>
      <c r="B449" s="63" t="str">
        <f aca="false">IF(元データ!$A$447="","",元データ!$A$447)</f>
        <v/>
      </c>
      <c r="C449" s="63" t="str">
        <f aca="false">IF(LEFT(B449,1)="(",IFERROR(VALUE(MID(B449,2,FIND(")",B449)-2)),""),"")</f>
        <v/>
      </c>
      <c r="D449" s="64" t="str">
        <f aca="false">IF($C449="","",N(元データ!$B$447))</f>
        <v/>
      </c>
      <c r="E449" s="64" t="str">
        <f aca="false">IF($C449="","",N(元データ!$C$447))</f>
        <v/>
      </c>
      <c r="F449" s="64" t="str">
        <f aca="false">IF($C449="","",N(元データ!$F$447))</f>
        <v/>
      </c>
      <c r="G449" s="63" t="str">
        <f aca="false">IF($C449="","",IF(COUNTIF(店舗マスタ!$B$5:$B$304,$C449)&gt;0,"登録済","未登録→マスタに追加"))</f>
        <v/>
      </c>
    </row>
    <row r="450" customFormat="false" ht="15" hidden="false" customHeight="false" outlineLevel="0" collapsed="false">
      <c r="A450" s="63" t="n">
        <v>448</v>
      </c>
      <c r="B450" s="63" t="str">
        <f aca="false">IF(元データ!$A$448="","",元データ!$A$448)</f>
        <v/>
      </c>
      <c r="C450" s="63" t="str">
        <f aca="false">IF(LEFT(B450,1)="(",IFERROR(VALUE(MID(B450,2,FIND(")",B450)-2)),""),"")</f>
        <v/>
      </c>
      <c r="D450" s="64" t="str">
        <f aca="false">IF($C450="","",N(元データ!$B$448))</f>
        <v/>
      </c>
      <c r="E450" s="64" t="str">
        <f aca="false">IF($C450="","",N(元データ!$C$448))</f>
        <v/>
      </c>
      <c r="F450" s="64" t="str">
        <f aca="false">IF($C450="","",N(元データ!$F$448))</f>
        <v/>
      </c>
      <c r="G450" s="63" t="str">
        <f aca="false">IF($C450="","",IF(COUNTIF(店舗マスタ!$B$5:$B$304,$C450)&gt;0,"登録済","未登録→マスタに追加"))</f>
        <v/>
      </c>
    </row>
    <row r="451" customFormat="false" ht="15" hidden="false" customHeight="false" outlineLevel="0" collapsed="false">
      <c r="A451" s="63" t="n">
        <v>449</v>
      </c>
      <c r="B451" s="63" t="str">
        <f aca="false">IF(元データ!$A$449="","",元データ!$A$449)</f>
        <v/>
      </c>
      <c r="C451" s="63" t="str">
        <f aca="false">IF(LEFT(B451,1)="(",IFERROR(VALUE(MID(B451,2,FIND(")",B451)-2)),""),"")</f>
        <v/>
      </c>
      <c r="D451" s="64" t="str">
        <f aca="false">IF($C451="","",N(元データ!$B$449))</f>
        <v/>
      </c>
      <c r="E451" s="64" t="str">
        <f aca="false">IF($C451="","",N(元データ!$C$449))</f>
        <v/>
      </c>
      <c r="F451" s="64" t="str">
        <f aca="false">IF($C451="","",N(元データ!$F$449))</f>
        <v/>
      </c>
      <c r="G451" s="63" t="str">
        <f aca="false">IF($C451="","",IF(COUNTIF(店舗マスタ!$B$5:$B$304,$C451)&gt;0,"登録済","未登録→マスタに追加"))</f>
        <v/>
      </c>
    </row>
    <row r="452" customFormat="false" ht="15" hidden="false" customHeight="false" outlineLevel="0" collapsed="false">
      <c r="A452" s="63" t="n">
        <v>450</v>
      </c>
      <c r="B452" s="63" t="str">
        <f aca="false">IF(元データ!$A$450="","",元データ!$A$450)</f>
        <v/>
      </c>
      <c r="C452" s="63" t="str">
        <f aca="false">IF(LEFT(B452,1)="(",IFERROR(VALUE(MID(B452,2,FIND(")",B452)-2)),""),"")</f>
        <v/>
      </c>
      <c r="D452" s="64" t="str">
        <f aca="false">IF($C452="","",N(元データ!$B$450))</f>
        <v/>
      </c>
      <c r="E452" s="64" t="str">
        <f aca="false">IF($C452="","",N(元データ!$C$450))</f>
        <v/>
      </c>
      <c r="F452" s="64" t="str">
        <f aca="false">IF($C452="","",N(元データ!$F$450))</f>
        <v/>
      </c>
      <c r="G452" s="63" t="str">
        <f aca="false">IF($C452="","",IF(COUNTIF(店舗マスタ!$B$5:$B$304,$C452)&gt;0,"登録済","未登録→マスタに追加"))</f>
        <v/>
      </c>
    </row>
    <row r="453" customFormat="false" ht="15" hidden="false" customHeight="false" outlineLevel="0" collapsed="false">
      <c r="A453" s="63" t="n">
        <v>451</v>
      </c>
      <c r="B453" s="63" t="str">
        <f aca="false">IF(元データ!$A$451="","",元データ!$A$451)</f>
        <v/>
      </c>
      <c r="C453" s="63" t="str">
        <f aca="false">IF(LEFT(B453,1)="(",IFERROR(VALUE(MID(B453,2,FIND(")",B453)-2)),""),"")</f>
        <v/>
      </c>
      <c r="D453" s="64" t="str">
        <f aca="false">IF($C453="","",N(元データ!$B$451))</f>
        <v/>
      </c>
      <c r="E453" s="64" t="str">
        <f aca="false">IF($C453="","",N(元データ!$C$451))</f>
        <v/>
      </c>
      <c r="F453" s="64" t="str">
        <f aca="false">IF($C453="","",N(元データ!$F$451))</f>
        <v/>
      </c>
      <c r="G453" s="63" t="str">
        <f aca="false">IF($C453="","",IF(COUNTIF(店舗マスタ!$B$5:$B$304,$C453)&gt;0,"登録済","未登録→マスタに追加"))</f>
        <v/>
      </c>
    </row>
    <row r="454" customFormat="false" ht="15" hidden="false" customHeight="false" outlineLevel="0" collapsed="false">
      <c r="A454" s="63" t="n">
        <v>452</v>
      </c>
      <c r="B454" s="63" t="str">
        <f aca="false">IF(元データ!$A$452="","",元データ!$A$452)</f>
        <v/>
      </c>
      <c r="C454" s="63" t="str">
        <f aca="false">IF(LEFT(B454,1)="(",IFERROR(VALUE(MID(B454,2,FIND(")",B454)-2)),""),"")</f>
        <v/>
      </c>
      <c r="D454" s="64" t="str">
        <f aca="false">IF($C454="","",N(元データ!$B$452))</f>
        <v/>
      </c>
      <c r="E454" s="64" t="str">
        <f aca="false">IF($C454="","",N(元データ!$C$452))</f>
        <v/>
      </c>
      <c r="F454" s="64" t="str">
        <f aca="false">IF($C454="","",N(元データ!$F$452))</f>
        <v/>
      </c>
      <c r="G454" s="63" t="str">
        <f aca="false">IF($C454="","",IF(COUNTIF(店舗マスタ!$B$5:$B$304,$C454)&gt;0,"登録済","未登録→マスタに追加"))</f>
        <v/>
      </c>
    </row>
    <row r="455" customFormat="false" ht="15" hidden="false" customHeight="false" outlineLevel="0" collapsed="false">
      <c r="A455" s="63" t="n">
        <v>453</v>
      </c>
      <c r="B455" s="63" t="str">
        <f aca="false">IF(元データ!$A$453="","",元データ!$A$453)</f>
        <v/>
      </c>
      <c r="C455" s="63" t="str">
        <f aca="false">IF(LEFT(B455,1)="(",IFERROR(VALUE(MID(B455,2,FIND(")",B455)-2)),""),"")</f>
        <v/>
      </c>
      <c r="D455" s="64" t="str">
        <f aca="false">IF($C455="","",N(元データ!$B$453))</f>
        <v/>
      </c>
      <c r="E455" s="64" t="str">
        <f aca="false">IF($C455="","",N(元データ!$C$453))</f>
        <v/>
      </c>
      <c r="F455" s="64" t="str">
        <f aca="false">IF($C455="","",N(元データ!$F$453))</f>
        <v/>
      </c>
      <c r="G455" s="63" t="str">
        <f aca="false">IF($C455="","",IF(COUNTIF(店舗マスタ!$B$5:$B$304,$C455)&gt;0,"登録済","未登録→マスタに追加"))</f>
        <v/>
      </c>
    </row>
    <row r="456" customFormat="false" ht="15" hidden="false" customHeight="false" outlineLevel="0" collapsed="false">
      <c r="A456" s="63" t="n">
        <v>454</v>
      </c>
      <c r="B456" s="63" t="str">
        <f aca="false">IF(元データ!$A$454="","",元データ!$A$454)</f>
        <v/>
      </c>
      <c r="C456" s="63" t="str">
        <f aca="false">IF(LEFT(B456,1)="(",IFERROR(VALUE(MID(B456,2,FIND(")",B456)-2)),""),"")</f>
        <v/>
      </c>
      <c r="D456" s="64" t="str">
        <f aca="false">IF($C456="","",N(元データ!$B$454))</f>
        <v/>
      </c>
      <c r="E456" s="64" t="str">
        <f aca="false">IF($C456="","",N(元データ!$C$454))</f>
        <v/>
      </c>
      <c r="F456" s="64" t="str">
        <f aca="false">IF($C456="","",N(元データ!$F$454))</f>
        <v/>
      </c>
      <c r="G456" s="63" t="str">
        <f aca="false">IF($C456="","",IF(COUNTIF(店舗マスタ!$B$5:$B$304,$C456)&gt;0,"登録済","未登録→マスタに追加"))</f>
        <v/>
      </c>
    </row>
    <row r="457" customFormat="false" ht="15" hidden="false" customHeight="false" outlineLevel="0" collapsed="false">
      <c r="A457" s="63" t="n">
        <v>455</v>
      </c>
      <c r="B457" s="63" t="str">
        <f aca="false">IF(元データ!$A$455="","",元データ!$A$455)</f>
        <v/>
      </c>
      <c r="C457" s="63" t="str">
        <f aca="false">IF(LEFT(B457,1)="(",IFERROR(VALUE(MID(B457,2,FIND(")",B457)-2)),""),"")</f>
        <v/>
      </c>
      <c r="D457" s="64" t="str">
        <f aca="false">IF($C457="","",N(元データ!$B$455))</f>
        <v/>
      </c>
      <c r="E457" s="64" t="str">
        <f aca="false">IF($C457="","",N(元データ!$C$455))</f>
        <v/>
      </c>
      <c r="F457" s="64" t="str">
        <f aca="false">IF($C457="","",N(元データ!$F$455))</f>
        <v/>
      </c>
      <c r="G457" s="63" t="str">
        <f aca="false">IF($C457="","",IF(COUNTIF(店舗マスタ!$B$5:$B$304,$C457)&gt;0,"登録済","未登録→マスタに追加"))</f>
        <v/>
      </c>
    </row>
    <row r="458" customFormat="false" ht="15" hidden="false" customHeight="false" outlineLevel="0" collapsed="false">
      <c r="A458" s="63" t="n">
        <v>456</v>
      </c>
      <c r="B458" s="63" t="str">
        <f aca="false">IF(元データ!$A$456="","",元データ!$A$456)</f>
        <v/>
      </c>
      <c r="C458" s="63" t="str">
        <f aca="false">IF(LEFT(B458,1)="(",IFERROR(VALUE(MID(B458,2,FIND(")",B458)-2)),""),"")</f>
        <v/>
      </c>
      <c r="D458" s="64" t="str">
        <f aca="false">IF($C458="","",N(元データ!$B$456))</f>
        <v/>
      </c>
      <c r="E458" s="64" t="str">
        <f aca="false">IF($C458="","",N(元データ!$C$456))</f>
        <v/>
      </c>
      <c r="F458" s="64" t="str">
        <f aca="false">IF($C458="","",N(元データ!$F$456))</f>
        <v/>
      </c>
      <c r="G458" s="63" t="str">
        <f aca="false">IF($C458="","",IF(COUNTIF(店舗マスタ!$B$5:$B$304,$C458)&gt;0,"登録済","未登録→マスタに追加"))</f>
        <v/>
      </c>
    </row>
    <row r="459" customFormat="false" ht="15" hidden="false" customHeight="false" outlineLevel="0" collapsed="false">
      <c r="A459" s="63" t="n">
        <v>457</v>
      </c>
      <c r="B459" s="63" t="str">
        <f aca="false">IF(元データ!$A$457="","",元データ!$A$457)</f>
        <v/>
      </c>
      <c r="C459" s="63" t="str">
        <f aca="false">IF(LEFT(B459,1)="(",IFERROR(VALUE(MID(B459,2,FIND(")",B459)-2)),""),"")</f>
        <v/>
      </c>
      <c r="D459" s="64" t="str">
        <f aca="false">IF($C459="","",N(元データ!$B$457))</f>
        <v/>
      </c>
      <c r="E459" s="64" t="str">
        <f aca="false">IF($C459="","",N(元データ!$C$457))</f>
        <v/>
      </c>
      <c r="F459" s="64" t="str">
        <f aca="false">IF($C459="","",N(元データ!$F$457))</f>
        <v/>
      </c>
      <c r="G459" s="63" t="str">
        <f aca="false">IF($C459="","",IF(COUNTIF(店舗マスタ!$B$5:$B$304,$C459)&gt;0,"登録済","未登録→マスタに追加"))</f>
        <v/>
      </c>
    </row>
    <row r="460" customFormat="false" ht="15" hidden="false" customHeight="false" outlineLevel="0" collapsed="false">
      <c r="A460" s="63" t="n">
        <v>458</v>
      </c>
      <c r="B460" s="63" t="str">
        <f aca="false">IF(元データ!$A$458="","",元データ!$A$458)</f>
        <v/>
      </c>
      <c r="C460" s="63" t="str">
        <f aca="false">IF(LEFT(B460,1)="(",IFERROR(VALUE(MID(B460,2,FIND(")",B460)-2)),""),"")</f>
        <v/>
      </c>
      <c r="D460" s="64" t="str">
        <f aca="false">IF($C460="","",N(元データ!$B$458))</f>
        <v/>
      </c>
      <c r="E460" s="64" t="str">
        <f aca="false">IF($C460="","",N(元データ!$C$458))</f>
        <v/>
      </c>
      <c r="F460" s="64" t="str">
        <f aca="false">IF($C460="","",N(元データ!$F$458))</f>
        <v/>
      </c>
      <c r="G460" s="63" t="str">
        <f aca="false">IF($C460="","",IF(COUNTIF(店舗マスタ!$B$5:$B$304,$C460)&gt;0,"登録済","未登録→マスタに追加"))</f>
        <v/>
      </c>
    </row>
    <row r="461" customFormat="false" ht="15" hidden="false" customHeight="false" outlineLevel="0" collapsed="false">
      <c r="A461" s="63" t="n">
        <v>459</v>
      </c>
      <c r="B461" s="63" t="str">
        <f aca="false">IF(元データ!$A$459="","",元データ!$A$459)</f>
        <v/>
      </c>
      <c r="C461" s="63" t="str">
        <f aca="false">IF(LEFT(B461,1)="(",IFERROR(VALUE(MID(B461,2,FIND(")",B461)-2)),""),"")</f>
        <v/>
      </c>
      <c r="D461" s="64" t="str">
        <f aca="false">IF($C461="","",N(元データ!$B$459))</f>
        <v/>
      </c>
      <c r="E461" s="64" t="str">
        <f aca="false">IF($C461="","",N(元データ!$C$459))</f>
        <v/>
      </c>
      <c r="F461" s="64" t="str">
        <f aca="false">IF($C461="","",N(元データ!$F$459))</f>
        <v/>
      </c>
      <c r="G461" s="63" t="str">
        <f aca="false">IF($C461="","",IF(COUNTIF(店舗マスタ!$B$5:$B$304,$C461)&gt;0,"登録済","未登録→マスタに追加"))</f>
        <v/>
      </c>
    </row>
    <row r="462" customFormat="false" ht="15" hidden="false" customHeight="false" outlineLevel="0" collapsed="false">
      <c r="A462" s="63" t="n">
        <v>460</v>
      </c>
      <c r="B462" s="63" t="str">
        <f aca="false">IF(元データ!$A$460="","",元データ!$A$460)</f>
        <v/>
      </c>
      <c r="C462" s="63" t="str">
        <f aca="false">IF(LEFT(B462,1)="(",IFERROR(VALUE(MID(B462,2,FIND(")",B462)-2)),""),"")</f>
        <v/>
      </c>
      <c r="D462" s="64" t="str">
        <f aca="false">IF($C462="","",N(元データ!$B$460))</f>
        <v/>
      </c>
      <c r="E462" s="64" t="str">
        <f aca="false">IF($C462="","",N(元データ!$C$460))</f>
        <v/>
      </c>
      <c r="F462" s="64" t="str">
        <f aca="false">IF($C462="","",N(元データ!$F$460))</f>
        <v/>
      </c>
      <c r="G462" s="63" t="str">
        <f aca="false">IF($C462="","",IF(COUNTIF(店舗マスタ!$B$5:$B$304,$C462)&gt;0,"登録済","未登録→マスタに追加"))</f>
        <v/>
      </c>
    </row>
    <row r="463" customFormat="false" ht="15" hidden="false" customHeight="false" outlineLevel="0" collapsed="false">
      <c r="A463" s="63" t="n">
        <v>461</v>
      </c>
      <c r="B463" s="63" t="str">
        <f aca="false">IF(元データ!$A$461="","",元データ!$A$461)</f>
        <v/>
      </c>
      <c r="C463" s="63" t="str">
        <f aca="false">IF(LEFT(B463,1)="(",IFERROR(VALUE(MID(B463,2,FIND(")",B463)-2)),""),"")</f>
        <v/>
      </c>
      <c r="D463" s="64" t="str">
        <f aca="false">IF($C463="","",N(元データ!$B$461))</f>
        <v/>
      </c>
      <c r="E463" s="64" t="str">
        <f aca="false">IF($C463="","",N(元データ!$C$461))</f>
        <v/>
      </c>
      <c r="F463" s="64" t="str">
        <f aca="false">IF($C463="","",N(元データ!$F$461))</f>
        <v/>
      </c>
      <c r="G463" s="63" t="str">
        <f aca="false">IF($C463="","",IF(COUNTIF(店舗マスタ!$B$5:$B$304,$C463)&gt;0,"登録済","未登録→マスタに追加"))</f>
        <v/>
      </c>
    </row>
    <row r="464" customFormat="false" ht="15" hidden="false" customHeight="false" outlineLevel="0" collapsed="false">
      <c r="A464" s="63" t="n">
        <v>462</v>
      </c>
      <c r="B464" s="63" t="str">
        <f aca="false">IF(元データ!$A$462="","",元データ!$A$462)</f>
        <v/>
      </c>
      <c r="C464" s="63" t="str">
        <f aca="false">IF(LEFT(B464,1)="(",IFERROR(VALUE(MID(B464,2,FIND(")",B464)-2)),""),"")</f>
        <v/>
      </c>
      <c r="D464" s="64" t="str">
        <f aca="false">IF($C464="","",N(元データ!$B$462))</f>
        <v/>
      </c>
      <c r="E464" s="64" t="str">
        <f aca="false">IF($C464="","",N(元データ!$C$462))</f>
        <v/>
      </c>
      <c r="F464" s="64" t="str">
        <f aca="false">IF($C464="","",N(元データ!$F$462))</f>
        <v/>
      </c>
      <c r="G464" s="63" t="str">
        <f aca="false">IF($C464="","",IF(COUNTIF(店舗マスタ!$B$5:$B$304,$C464)&gt;0,"登録済","未登録→マスタに追加"))</f>
        <v/>
      </c>
    </row>
    <row r="465" customFormat="false" ht="15" hidden="false" customHeight="false" outlineLevel="0" collapsed="false">
      <c r="A465" s="63" t="n">
        <v>463</v>
      </c>
      <c r="B465" s="63" t="str">
        <f aca="false">IF(元データ!$A$463="","",元データ!$A$463)</f>
        <v/>
      </c>
      <c r="C465" s="63" t="str">
        <f aca="false">IF(LEFT(B465,1)="(",IFERROR(VALUE(MID(B465,2,FIND(")",B465)-2)),""),"")</f>
        <v/>
      </c>
      <c r="D465" s="64" t="str">
        <f aca="false">IF($C465="","",N(元データ!$B$463))</f>
        <v/>
      </c>
      <c r="E465" s="64" t="str">
        <f aca="false">IF($C465="","",N(元データ!$C$463))</f>
        <v/>
      </c>
      <c r="F465" s="64" t="str">
        <f aca="false">IF($C465="","",N(元データ!$F$463))</f>
        <v/>
      </c>
      <c r="G465" s="63" t="str">
        <f aca="false">IF($C465="","",IF(COUNTIF(店舗マスタ!$B$5:$B$304,$C465)&gt;0,"登録済","未登録→マスタに追加"))</f>
        <v/>
      </c>
    </row>
    <row r="466" customFormat="false" ht="15" hidden="false" customHeight="false" outlineLevel="0" collapsed="false">
      <c r="A466" s="63" t="n">
        <v>464</v>
      </c>
      <c r="B466" s="63" t="str">
        <f aca="false">IF(元データ!$A$464="","",元データ!$A$464)</f>
        <v/>
      </c>
      <c r="C466" s="63" t="str">
        <f aca="false">IF(LEFT(B466,1)="(",IFERROR(VALUE(MID(B466,2,FIND(")",B466)-2)),""),"")</f>
        <v/>
      </c>
      <c r="D466" s="64" t="str">
        <f aca="false">IF($C466="","",N(元データ!$B$464))</f>
        <v/>
      </c>
      <c r="E466" s="64" t="str">
        <f aca="false">IF($C466="","",N(元データ!$C$464))</f>
        <v/>
      </c>
      <c r="F466" s="64" t="str">
        <f aca="false">IF($C466="","",N(元データ!$F$464))</f>
        <v/>
      </c>
      <c r="G466" s="63" t="str">
        <f aca="false">IF($C466="","",IF(COUNTIF(店舗マスタ!$B$5:$B$304,$C466)&gt;0,"登録済","未登録→マスタに追加"))</f>
        <v/>
      </c>
    </row>
    <row r="467" customFormat="false" ht="15" hidden="false" customHeight="false" outlineLevel="0" collapsed="false">
      <c r="A467" s="63" t="n">
        <v>465</v>
      </c>
      <c r="B467" s="63" t="str">
        <f aca="false">IF(元データ!$A$465="","",元データ!$A$465)</f>
        <v/>
      </c>
      <c r="C467" s="63" t="str">
        <f aca="false">IF(LEFT(B467,1)="(",IFERROR(VALUE(MID(B467,2,FIND(")",B467)-2)),""),"")</f>
        <v/>
      </c>
      <c r="D467" s="64" t="str">
        <f aca="false">IF($C467="","",N(元データ!$B$465))</f>
        <v/>
      </c>
      <c r="E467" s="64" t="str">
        <f aca="false">IF($C467="","",N(元データ!$C$465))</f>
        <v/>
      </c>
      <c r="F467" s="64" t="str">
        <f aca="false">IF($C467="","",N(元データ!$F$465))</f>
        <v/>
      </c>
      <c r="G467" s="63" t="str">
        <f aca="false">IF($C467="","",IF(COUNTIF(店舗マスタ!$B$5:$B$304,$C467)&gt;0,"登録済","未登録→マスタに追加"))</f>
        <v/>
      </c>
    </row>
    <row r="468" customFormat="false" ht="15" hidden="false" customHeight="false" outlineLevel="0" collapsed="false">
      <c r="A468" s="63" t="n">
        <v>466</v>
      </c>
      <c r="B468" s="63" t="str">
        <f aca="false">IF(元データ!$A$466="","",元データ!$A$466)</f>
        <v/>
      </c>
      <c r="C468" s="63" t="str">
        <f aca="false">IF(LEFT(B468,1)="(",IFERROR(VALUE(MID(B468,2,FIND(")",B468)-2)),""),"")</f>
        <v/>
      </c>
      <c r="D468" s="64" t="str">
        <f aca="false">IF($C468="","",N(元データ!$B$466))</f>
        <v/>
      </c>
      <c r="E468" s="64" t="str">
        <f aca="false">IF($C468="","",N(元データ!$C$466))</f>
        <v/>
      </c>
      <c r="F468" s="64" t="str">
        <f aca="false">IF($C468="","",N(元データ!$F$466))</f>
        <v/>
      </c>
      <c r="G468" s="63" t="str">
        <f aca="false">IF($C468="","",IF(COUNTIF(店舗マスタ!$B$5:$B$304,$C468)&gt;0,"登録済","未登録→マスタに追加"))</f>
        <v/>
      </c>
    </row>
    <row r="469" customFormat="false" ht="15" hidden="false" customHeight="false" outlineLevel="0" collapsed="false">
      <c r="A469" s="63" t="n">
        <v>467</v>
      </c>
      <c r="B469" s="63" t="str">
        <f aca="false">IF(元データ!$A$467="","",元データ!$A$467)</f>
        <v/>
      </c>
      <c r="C469" s="63" t="str">
        <f aca="false">IF(LEFT(B469,1)="(",IFERROR(VALUE(MID(B469,2,FIND(")",B469)-2)),""),"")</f>
        <v/>
      </c>
      <c r="D469" s="64" t="str">
        <f aca="false">IF($C469="","",N(元データ!$B$467))</f>
        <v/>
      </c>
      <c r="E469" s="64" t="str">
        <f aca="false">IF($C469="","",N(元データ!$C$467))</f>
        <v/>
      </c>
      <c r="F469" s="64" t="str">
        <f aca="false">IF($C469="","",N(元データ!$F$467))</f>
        <v/>
      </c>
      <c r="G469" s="63" t="str">
        <f aca="false">IF($C469="","",IF(COUNTIF(店舗マスタ!$B$5:$B$304,$C469)&gt;0,"登録済","未登録→マスタに追加"))</f>
        <v/>
      </c>
    </row>
    <row r="470" customFormat="false" ht="15" hidden="false" customHeight="false" outlineLevel="0" collapsed="false">
      <c r="A470" s="63" t="n">
        <v>468</v>
      </c>
      <c r="B470" s="63" t="str">
        <f aca="false">IF(元データ!$A$468="","",元データ!$A$468)</f>
        <v/>
      </c>
      <c r="C470" s="63" t="str">
        <f aca="false">IF(LEFT(B470,1)="(",IFERROR(VALUE(MID(B470,2,FIND(")",B470)-2)),""),"")</f>
        <v/>
      </c>
      <c r="D470" s="64" t="str">
        <f aca="false">IF($C470="","",N(元データ!$B$468))</f>
        <v/>
      </c>
      <c r="E470" s="64" t="str">
        <f aca="false">IF($C470="","",N(元データ!$C$468))</f>
        <v/>
      </c>
      <c r="F470" s="64" t="str">
        <f aca="false">IF($C470="","",N(元データ!$F$468))</f>
        <v/>
      </c>
      <c r="G470" s="63" t="str">
        <f aca="false">IF($C470="","",IF(COUNTIF(店舗マスタ!$B$5:$B$304,$C470)&gt;0,"登録済","未登録→マスタに追加"))</f>
        <v/>
      </c>
    </row>
    <row r="471" customFormat="false" ht="15" hidden="false" customHeight="false" outlineLevel="0" collapsed="false">
      <c r="A471" s="63" t="n">
        <v>469</v>
      </c>
      <c r="B471" s="63" t="str">
        <f aca="false">IF(元データ!$A$469="","",元データ!$A$469)</f>
        <v/>
      </c>
      <c r="C471" s="63" t="str">
        <f aca="false">IF(LEFT(B471,1)="(",IFERROR(VALUE(MID(B471,2,FIND(")",B471)-2)),""),"")</f>
        <v/>
      </c>
      <c r="D471" s="64" t="str">
        <f aca="false">IF($C471="","",N(元データ!$B$469))</f>
        <v/>
      </c>
      <c r="E471" s="64" t="str">
        <f aca="false">IF($C471="","",N(元データ!$C$469))</f>
        <v/>
      </c>
      <c r="F471" s="64" t="str">
        <f aca="false">IF($C471="","",N(元データ!$F$469))</f>
        <v/>
      </c>
      <c r="G471" s="63" t="str">
        <f aca="false">IF($C471="","",IF(COUNTIF(店舗マスタ!$B$5:$B$304,$C471)&gt;0,"登録済","未登録→マスタに追加"))</f>
        <v/>
      </c>
    </row>
    <row r="472" customFormat="false" ht="15" hidden="false" customHeight="false" outlineLevel="0" collapsed="false">
      <c r="A472" s="63" t="n">
        <v>470</v>
      </c>
      <c r="B472" s="63" t="str">
        <f aca="false">IF(元データ!$A$470="","",元データ!$A$470)</f>
        <v/>
      </c>
      <c r="C472" s="63" t="str">
        <f aca="false">IF(LEFT(B472,1)="(",IFERROR(VALUE(MID(B472,2,FIND(")",B472)-2)),""),"")</f>
        <v/>
      </c>
      <c r="D472" s="64" t="str">
        <f aca="false">IF($C472="","",N(元データ!$B$470))</f>
        <v/>
      </c>
      <c r="E472" s="64" t="str">
        <f aca="false">IF($C472="","",N(元データ!$C$470))</f>
        <v/>
      </c>
      <c r="F472" s="64" t="str">
        <f aca="false">IF($C472="","",N(元データ!$F$470))</f>
        <v/>
      </c>
      <c r="G472" s="63" t="str">
        <f aca="false">IF($C472="","",IF(COUNTIF(店舗マスタ!$B$5:$B$304,$C472)&gt;0,"登録済","未登録→マスタに追加"))</f>
        <v/>
      </c>
    </row>
    <row r="473" customFormat="false" ht="15" hidden="false" customHeight="false" outlineLevel="0" collapsed="false">
      <c r="A473" s="63" t="n">
        <v>471</v>
      </c>
      <c r="B473" s="63" t="str">
        <f aca="false">IF(元データ!$A$471="","",元データ!$A$471)</f>
        <v/>
      </c>
      <c r="C473" s="63" t="str">
        <f aca="false">IF(LEFT(B473,1)="(",IFERROR(VALUE(MID(B473,2,FIND(")",B473)-2)),""),"")</f>
        <v/>
      </c>
      <c r="D473" s="64" t="str">
        <f aca="false">IF($C473="","",N(元データ!$B$471))</f>
        <v/>
      </c>
      <c r="E473" s="64" t="str">
        <f aca="false">IF($C473="","",N(元データ!$C$471))</f>
        <v/>
      </c>
      <c r="F473" s="64" t="str">
        <f aca="false">IF($C473="","",N(元データ!$F$471))</f>
        <v/>
      </c>
      <c r="G473" s="63" t="str">
        <f aca="false">IF($C473="","",IF(COUNTIF(店舗マスタ!$B$5:$B$304,$C473)&gt;0,"登録済","未登録→マスタに追加"))</f>
        <v/>
      </c>
    </row>
    <row r="474" customFormat="false" ht="15" hidden="false" customHeight="false" outlineLevel="0" collapsed="false">
      <c r="A474" s="63" t="n">
        <v>472</v>
      </c>
      <c r="B474" s="63" t="str">
        <f aca="false">IF(元データ!$A$472="","",元データ!$A$472)</f>
        <v/>
      </c>
      <c r="C474" s="63" t="str">
        <f aca="false">IF(LEFT(B474,1)="(",IFERROR(VALUE(MID(B474,2,FIND(")",B474)-2)),""),"")</f>
        <v/>
      </c>
      <c r="D474" s="64" t="str">
        <f aca="false">IF($C474="","",N(元データ!$B$472))</f>
        <v/>
      </c>
      <c r="E474" s="64" t="str">
        <f aca="false">IF($C474="","",N(元データ!$C$472))</f>
        <v/>
      </c>
      <c r="F474" s="64" t="str">
        <f aca="false">IF($C474="","",N(元データ!$F$472))</f>
        <v/>
      </c>
      <c r="G474" s="63" t="str">
        <f aca="false">IF($C474="","",IF(COUNTIF(店舗マスタ!$B$5:$B$304,$C474)&gt;0,"登録済","未登録→マスタに追加"))</f>
        <v/>
      </c>
    </row>
    <row r="475" customFormat="false" ht="15" hidden="false" customHeight="false" outlineLevel="0" collapsed="false">
      <c r="A475" s="63" t="n">
        <v>473</v>
      </c>
      <c r="B475" s="63" t="str">
        <f aca="false">IF(元データ!$A$473="","",元データ!$A$473)</f>
        <v/>
      </c>
      <c r="C475" s="63" t="str">
        <f aca="false">IF(LEFT(B475,1)="(",IFERROR(VALUE(MID(B475,2,FIND(")",B475)-2)),""),"")</f>
        <v/>
      </c>
      <c r="D475" s="64" t="str">
        <f aca="false">IF($C475="","",N(元データ!$B$473))</f>
        <v/>
      </c>
      <c r="E475" s="64" t="str">
        <f aca="false">IF($C475="","",N(元データ!$C$473))</f>
        <v/>
      </c>
      <c r="F475" s="64" t="str">
        <f aca="false">IF($C475="","",N(元データ!$F$473))</f>
        <v/>
      </c>
      <c r="G475" s="63" t="str">
        <f aca="false">IF($C475="","",IF(COUNTIF(店舗マスタ!$B$5:$B$304,$C475)&gt;0,"登録済","未登録→マスタに追加"))</f>
        <v/>
      </c>
    </row>
    <row r="476" customFormat="false" ht="15" hidden="false" customHeight="false" outlineLevel="0" collapsed="false">
      <c r="A476" s="63" t="n">
        <v>474</v>
      </c>
      <c r="B476" s="63" t="str">
        <f aca="false">IF(元データ!$A$474="","",元データ!$A$474)</f>
        <v/>
      </c>
      <c r="C476" s="63" t="str">
        <f aca="false">IF(LEFT(B476,1)="(",IFERROR(VALUE(MID(B476,2,FIND(")",B476)-2)),""),"")</f>
        <v/>
      </c>
      <c r="D476" s="64" t="str">
        <f aca="false">IF($C476="","",N(元データ!$B$474))</f>
        <v/>
      </c>
      <c r="E476" s="64" t="str">
        <f aca="false">IF($C476="","",N(元データ!$C$474))</f>
        <v/>
      </c>
      <c r="F476" s="64" t="str">
        <f aca="false">IF($C476="","",N(元データ!$F$474))</f>
        <v/>
      </c>
      <c r="G476" s="63" t="str">
        <f aca="false">IF($C476="","",IF(COUNTIF(店舗マスタ!$B$5:$B$304,$C476)&gt;0,"登録済","未登録→マスタに追加"))</f>
        <v/>
      </c>
    </row>
    <row r="477" customFormat="false" ht="15" hidden="false" customHeight="false" outlineLevel="0" collapsed="false">
      <c r="A477" s="63" t="n">
        <v>475</v>
      </c>
      <c r="B477" s="63" t="str">
        <f aca="false">IF(元データ!$A$475="","",元データ!$A$475)</f>
        <v/>
      </c>
      <c r="C477" s="63" t="str">
        <f aca="false">IF(LEFT(B477,1)="(",IFERROR(VALUE(MID(B477,2,FIND(")",B477)-2)),""),"")</f>
        <v/>
      </c>
      <c r="D477" s="64" t="str">
        <f aca="false">IF($C477="","",N(元データ!$B$475))</f>
        <v/>
      </c>
      <c r="E477" s="64" t="str">
        <f aca="false">IF($C477="","",N(元データ!$C$475))</f>
        <v/>
      </c>
      <c r="F477" s="64" t="str">
        <f aca="false">IF($C477="","",N(元データ!$F$475))</f>
        <v/>
      </c>
      <c r="G477" s="63" t="str">
        <f aca="false">IF($C477="","",IF(COUNTIF(店舗マスタ!$B$5:$B$304,$C477)&gt;0,"登録済","未登録→マスタに追加"))</f>
        <v/>
      </c>
    </row>
    <row r="478" customFormat="false" ht="15" hidden="false" customHeight="false" outlineLevel="0" collapsed="false">
      <c r="A478" s="63" t="n">
        <v>476</v>
      </c>
      <c r="B478" s="63" t="str">
        <f aca="false">IF(元データ!$A$476="","",元データ!$A$476)</f>
        <v/>
      </c>
      <c r="C478" s="63" t="str">
        <f aca="false">IF(LEFT(B478,1)="(",IFERROR(VALUE(MID(B478,2,FIND(")",B478)-2)),""),"")</f>
        <v/>
      </c>
      <c r="D478" s="64" t="str">
        <f aca="false">IF($C478="","",N(元データ!$B$476))</f>
        <v/>
      </c>
      <c r="E478" s="64" t="str">
        <f aca="false">IF($C478="","",N(元データ!$C$476))</f>
        <v/>
      </c>
      <c r="F478" s="64" t="str">
        <f aca="false">IF($C478="","",N(元データ!$F$476))</f>
        <v/>
      </c>
      <c r="G478" s="63" t="str">
        <f aca="false">IF($C478="","",IF(COUNTIF(店舗マスタ!$B$5:$B$304,$C478)&gt;0,"登録済","未登録→マスタに追加"))</f>
        <v/>
      </c>
    </row>
    <row r="479" customFormat="false" ht="15" hidden="false" customHeight="false" outlineLevel="0" collapsed="false">
      <c r="A479" s="63" t="n">
        <v>477</v>
      </c>
      <c r="B479" s="63" t="str">
        <f aca="false">IF(元データ!$A$477="","",元データ!$A$477)</f>
        <v/>
      </c>
      <c r="C479" s="63" t="str">
        <f aca="false">IF(LEFT(B479,1)="(",IFERROR(VALUE(MID(B479,2,FIND(")",B479)-2)),""),"")</f>
        <v/>
      </c>
      <c r="D479" s="64" t="str">
        <f aca="false">IF($C479="","",N(元データ!$B$477))</f>
        <v/>
      </c>
      <c r="E479" s="64" t="str">
        <f aca="false">IF($C479="","",N(元データ!$C$477))</f>
        <v/>
      </c>
      <c r="F479" s="64" t="str">
        <f aca="false">IF($C479="","",N(元データ!$F$477))</f>
        <v/>
      </c>
      <c r="G479" s="63" t="str">
        <f aca="false">IF($C479="","",IF(COUNTIF(店舗マスタ!$B$5:$B$304,$C479)&gt;0,"登録済","未登録→マスタに追加"))</f>
        <v/>
      </c>
    </row>
    <row r="480" customFormat="false" ht="15" hidden="false" customHeight="false" outlineLevel="0" collapsed="false">
      <c r="A480" s="63" t="n">
        <v>478</v>
      </c>
      <c r="B480" s="63" t="str">
        <f aca="false">IF(元データ!$A$478="","",元データ!$A$478)</f>
        <v/>
      </c>
      <c r="C480" s="63" t="str">
        <f aca="false">IF(LEFT(B480,1)="(",IFERROR(VALUE(MID(B480,2,FIND(")",B480)-2)),""),"")</f>
        <v/>
      </c>
      <c r="D480" s="64" t="str">
        <f aca="false">IF($C480="","",N(元データ!$B$478))</f>
        <v/>
      </c>
      <c r="E480" s="64" t="str">
        <f aca="false">IF($C480="","",N(元データ!$C$478))</f>
        <v/>
      </c>
      <c r="F480" s="64" t="str">
        <f aca="false">IF($C480="","",N(元データ!$F$478))</f>
        <v/>
      </c>
      <c r="G480" s="63" t="str">
        <f aca="false">IF($C480="","",IF(COUNTIF(店舗マスタ!$B$5:$B$304,$C480)&gt;0,"登録済","未登録→マスタに追加"))</f>
        <v/>
      </c>
    </row>
    <row r="481" customFormat="false" ht="15" hidden="false" customHeight="false" outlineLevel="0" collapsed="false">
      <c r="A481" s="63" t="n">
        <v>479</v>
      </c>
      <c r="B481" s="63" t="str">
        <f aca="false">IF(元データ!$A$479="","",元データ!$A$479)</f>
        <v/>
      </c>
      <c r="C481" s="63" t="str">
        <f aca="false">IF(LEFT(B481,1)="(",IFERROR(VALUE(MID(B481,2,FIND(")",B481)-2)),""),"")</f>
        <v/>
      </c>
      <c r="D481" s="64" t="str">
        <f aca="false">IF($C481="","",N(元データ!$B$479))</f>
        <v/>
      </c>
      <c r="E481" s="64" t="str">
        <f aca="false">IF($C481="","",N(元データ!$C$479))</f>
        <v/>
      </c>
      <c r="F481" s="64" t="str">
        <f aca="false">IF($C481="","",N(元データ!$F$479))</f>
        <v/>
      </c>
      <c r="G481" s="63" t="str">
        <f aca="false">IF($C481="","",IF(COUNTIF(店舗マスタ!$B$5:$B$304,$C481)&gt;0,"登録済","未登録→マスタに追加"))</f>
        <v/>
      </c>
    </row>
    <row r="482" customFormat="false" ht="15" hidden="false" customHeight="false" outlineLevel="0" collapsed="false">
      <c r="A482" s="63" t="n">
        <v>480</v>
      </c>
      <c r="B482" s="63" t="str">
        <f aca="false">IF(元データ!$A$480="","",元データ!$A$480)</f>
        <v/>
      </c>
      <c r="C482" s="63" t="str">
        <f aca="false">IF(LEFT(B482,1)="(",IFERROR(VALUE(MID(B482,2,FIND(")",B482)-2)),""),"")</f>
        <v/>
      </c>
      <c r="D482" s="64" t="str">
        <f aca="false">IF($C482="","",N(元データ!$B$480))</f>
        <v/>
      </c>
      <c r="E482" s="64" t="str">
        <f aca="false">IF($C482="","",N(元データ!$C$480))</f>
        <v/>
      </c>
      <c r="F482" s="64" t="str">
        <f aca="false">IF($C482="","",N(元データ!$F$480))</f>
        <v/>
      </c>
      <c r="G482" s="63" t="str">
        <f aca="false">IF($C482="","",IF(COUNTIF(店舗マスタ!$B$5:$B$304,$C482)&gt;0,"登録済","未登録→マスタに追加"))</f>
        <v/>
      </c>
    </row>
    <row r="483" customFormat="false" ht="15" hidden="false" customHeight="false" outlineLevel="0" collapsed="false">
      <c r="A483" s="63" t="n">
        <v>481</v>
      </c>
      <c r="B483" s="63" t="str">
        <f aca="false">IF(元データ!$A$481="","",元データ!$A$481)</f>
        <v/>
      </c>
      <c r="C483" s="63" t="str">
        <f aca="false">IF(LEFT(B483,1)="(",IFERROR(VALUE(MID(B483,2,FIND(")",B483)-2)),""),"")</f>
        <v/>
      </c>
      <c r="D483" s="64" t="str">
        <f aca="false">IF($C483="","",N(元データ!$B$481))</f>
        <v/>
      </c>
      <c r="E483" s="64" t="str">
        <f aca="false">IF($C483="","",N(元データ!$C$481))</f>
        <v/>
      </c>
      <c r="F483" s="64" t="str">
        <f aca="false">IF($C483="","",N(元データ!$F$481))</f>
        <v/>
      </c>
      <c r="G483" s="63" t="str">
        <f aca="false">IF($C483="","",IF(COUNTIF(店舗マスタ!$B$5:$B$304,$C483)&gt;0,"登録済","未登録→マスタに追加"))</f>
        <v/>
      </c>
    </row>
    <row r="484" customFormat="false" ht="15" hidden="false" customHeight="false" outlineLevel="0" collapsed="false">
      <c r="A484" s="63" t="n">
        <v>482</v>
      </c>
      <c r="B484" s="63" t="str">
        <f aca="false">IF(元データ!$A$482="","",元データ!$A$482)</f>
        <v/>
      </c>
      <c r="C484" s="63" t="str">
        <f aca="false">IF(LEFT(B484,1)="(",IFERROR(VALUE(MID(B484,2,FIND(")",B484)-2)),""),"")</f>
        <v/>
      </c>
      <c r="D484" s="64" t="str">
        <f aca="false">IF($C484="","",N(元データ!$B$482))</f>
        <v/>
      </c>
      <c r="E484" s="64" t="str">
        <f aca="false">IF($C484="","",N(元データ!$C$482))</f>
        <v/>
      </c>
      <c r="F484" s="64" t="str">
        <f aca="false">IF($C484="","",N(元データ!$F$482))</f>
        <v/>
      </c>
      <c r="G484" s="63" t="str">
        <f aca="false">IF($C484="","",IF(COUNTIF(店舗マスタ!$B$5:$B$304,$C484)&gt;0,"登録済","未登録→マスタに追加"))</f>
        <v/>
      </c>
    </row>
    <row r="485" customFormat="false" ht="15" hidden="false" customHeight="false" outlineLevel="0" collapsed="false">
      <c r="A485" s="63" t="n">
        <v>483</v>
      </c>
      <c r="B485" s="63" t="str">
        <f aca="false">IF(元データ!$A$483="","",元データ!$A$483)</f>
        <v/>
      </c>
      <c r="C485" s="63" t="str">
        <f aca="false">IF(LEFT(B485,1)="(",IFERROR(VALUE(MID(B485,2,FIND(")",B485)-2)),""),"")</f>
        <v/>
      </c>
      <c r="D485" s="64" t="str">
        <f aca="false">IF($C485="","",N(元データ!$B$483))</f>
        <v/>
      </c>
      <c r="E485" s="64" t="str">
        <f aca="false">IF($C485="","",N(元データ!$C$483))</f>
        <v/>
      </c>
      <c r="F485" s="64" t="str">
        <f aca="false">IF($C485="","",N(元データ!$F$483))</f>
        <v/>
      </c>
      <c r="G485" s="63" t="str">
        <f aca="false">IF($C485="","",IF(COUNTIF(店舗マスタ!$B$5:$B$304,$C485)&gt;0,"登録済","未登録→マスタに追加"))</f>
        <v/>
      </c>
    </row>
    <row r="486" customFormat="false" ht="15" hidden="false" customHeight="false" outlineLevel="0" collapsed="false">
      <c r="A486" s="63" t="n">
        <v>484</v>
      </c>
      <c r="B486" s="63" t="str">
        <f aca="false">IF(元データ!$A$484="","",元データ!$A$484)</f>
        <v/>
      </c>
      <c r="C486" s="63" t="str">
        <f aca="false">IF(LEFT(B486,1)="(",IFERROR(VALUE(MID(B486,2,FIND(")",B486)-2)),""),"")</f>
        <v/>
      </c>
      <c r="D486" s="64" t="str">
        <f aca="false">IF($C486="","",N(元データ!$B$484))</f>
        <v/>
      </c>
      <c r="E486" s="64" t="str">
        <f aca="false">IF($C486="","",N(元データ!$C$484))</f>
        <v/>
      </c>
      <c r="F486" s="64" t="str">
        <f aca="false">IF($C486="","",N(元データ!$F$484))</f>
        <v/>
      </c>
      <c r="G486" s="63" t="str">
        <f aca="false">IF($C486="","",IF(COUNTIF(店舗マスタ!$B$5:$B$304,$C486)&gt;0,"登録済","未登録→マスタに追加"))</f>
        <v/>
      </c>
    </row>
    <row r="487" customFormat="false" ht="15" hidden="false" customHeight="false" outlineLevel="0" collapsed="false">
      <c r="A487" s="63" t="n">
        <v>485</v>
      </c>
      <c r="B487" s="63" t="str">
        <f aca="false">IF(元データ!$A$485="","",元データ!$A$485)</f>
        <v/>
      </c>
      <c r="C487" s="63" t="str">
        <f aca="false">IF(LEFT(B487,1)="(",IFERROR(VALUE(MID(B487,2,FIND(")",B487)-2)),""),"")</f>
        <v/>
      </c>
      <c r="D487" s="64" t="str">
        <f aca="false">IF($C487="","",N(元データ!$B$485))</f>
        <v/>
      </c>
      <c r="E487" s="64" t="str">
        <f aca="false">IF($C487="","",N(元データ!$C$485))</f>
        <v/>
      </c>
      <c r="F487" s="64" t="str">
        <f aca="false">IF($C487="","",N(元データ!$F$485))</f>
        <v/>
      </c>
      <c r="G487" s="63" t="str">
        <f aca="false">IF($C487="","",IF(COUNTIF(店舗マスタ!$B$5:$B$304,$C487)&gt;0,"登録済","未登録→マスタに追加"))</f>
        <v/>
      </c>
    </row>
    <row r="488" customFormat="false" ht="15" hidden="false" customHeight="false" outlineLevel="0" collapsed="false">
      <c r="A488" s="63" t="n">
        <v>486</v>
      </c>
      <c r="B488" s="63" t="str">
        <f aca="false">IF(元データ!$A$486="","",元データ!$A$486)</f>
        <v/>
      </c>
      <c r="C488" s="63" t="str">
        <f aca="false">IF(LEFT(B488,1)="(",IFERROR(VALUE(MID(B488,2,FIND(")",B488)-2)),""),"")</f>
        <v/>
      </c>
      <c r="D488" s="64" t="str">
        <f aca="false">IF($C488="","",N(元データ!$B$486))</f>
        <v/>
      </c>
      <c r="E488" s="64" t="str">
        <f aca="false">IF($C488="","",N(元データ!$C$486))</f>
        <v/>
      </c>
      <c r="F488" s="64" t="str">
        <f aca="false">IF($C488="","",N(元データ!$F$486))</f>
        <v/>
      </c>
      <c r="G488" s="63" t="str">
        <f aca="false">IF($C488="","",IF(COUNTIF(店舗マスタ!$B$5:$B$304,$C488)&gt;0,"登録済","未登録→マスタに追加"))</f>
        <v/>
      </c>
    </row>
    <row r="489" customFormat="false" ht="15" hidden="false" customHeight="false" outlineLevel="0" collapsed="false">
      <c r="A489" s="63" t="n">
        <v>487</v>
      </c>
      <c r="B489" s="63" t="str">
        <f aca="false">IF(元データ!$A$487="","",元データ!$A$487)</f>
        <v/>
      </c>
      <c r="C489" s="63" t="str">
        <f aca="false">IF(LEFT(B489,1)="(",IFERROR(VALUE(MID(B489,2,FIND(")",B489)-2)),""),"")</f>
        <v/>
      </c>
      <c r="D489" s="64" t="str">
        <f aca="false">IF($C489="","",N(元データ!$B$487))</f>
        <v/>
      </c>
      <c r="E489" s="64" t="str">
        <f aca="false">IF($C489="","",N(元データ!$C$487))</f>
        <v/>
      </c>
      <c r="F489" s="64" t="str">
        <f aca="false">IF($C489="","",N(元データ!$F$487))</f>
        <v/>
      </c>
      <c r="G489" s="63" t="str">
        <f aca="false">IF($C489="","",IF(COUNTIF(店舗マスタ!$B$5:$B$304,$C489)&gt;0,"登録済","未登録→マスタに追加"))</f>
        <v/>
      </c>
    </row>
    <row r="490" customFormat="false" ht="15" hidden="false" customHeight="false" outlineLevel="0" collapsed="false">
      <c r="A490" s="63" t="n">
        <v>488</v>
      </c>
      <c r="B490" s="63" t="str">
        <f aca="false">IF(元データ!$A$488="","",元データ!$A$488)</f>
        <v/>
      </c>
      <c r="C490" s="63" t="str">
        <f aca="false">IF(LEFT(B490,1)="(",IFERROR(VALUE(MID(B490,2,FIND(")",B490)-2)),""),"")</f>
        <v/>
      </c>
      <c r="D490" s="64" t="str">
        <f aca="false">IF($C490="","",N(元データ!$B$488))</f>
        <v/>
      </c>
      <c r="E490" s="64" t="str">
        <f aca="false">IF($C490="","",N(元データ!$C$488))</f>
        <v/>
      </c>
      <c r="F490" s="64" t="str">
        <f aca="false">IF($C490="","",N(元データ!$F$488))</f>
        <v/>
      </c>
      <c r="G490" s="63" t="str">
        <f aca="false">IF($C490="","",IF(COUNTIF(店舗マスタ!$B$5:$B$304,$C490)&gt;0,"登録済","未登録→マスタに追加"))</f>
        <v/>
      </c>
    </row>
    <row r="491" customFormat="false" ht="15" hidden="false" customHeight="false" outlineLevel="0" collapsed="false">
      <c r="A491" s="63" t="n">
        <v>489</v>
      </c>
      <c r="B491" s="63" t="str">
        <f aca="false">IF(元データ!$A$489="","",元データ!$A$489)</f>
        <v/>
      </c>
      <c r="C491" s="63" t="str">
        <f aca="false">IF(LEFT(B491,1)="(",IFERROR(VALUE(MID(B491,2,FIND(")",B491)-2)),""),"")</f>
        <v/>
      </c>
      <c r="D491" s="64" t="str">
        <f aca="false">IF($C491="","",N(元データ!$B$489))</f>
        <v/>
      </c>
      <c r="E491" s="64" t="str">
        <f aca="false">IF($C491="","",N(元データ!$C$489))</f>
        <v/>
      </c>
      <c r="F491" s="64" t="str">
        <f aca="false">IF($C491="","",N(元データ!$F$489))</f>
        <v/>
      </c>
      <c r="G491" s="63" t="str">
        <f aca="false">IF($C491="","",IF(COUNTIF(店舗マスタ!$B$5:$B$304,$C491)&gt;0,"登録済","未登録→マスタに追加"))</f>
        <v/>
      </c>
    </row>
    <row r="492" customFormat="false" ht="15" hidden="false" customHeight="false" outlineLevel="0" collapsed="false">
      <c r="A492" s="63" t="n">
        <v>490</v>
      </c>
      <c r="B492" s="63" t="str">
        <f aca="false">IF(元データ!$A$490="","",元データ!$A$490)</f>
        <v/>
      </c>
      <c r="C492" s="63" t="str">
        <f aca="false">IF(LEFT(B492,1)="(",IFERROR(VALUE(MID(B492,2,FIND(")",B492)-2)),""),"")</f>
        <v/>
      </c>
      <c r="D492" s="64" t="str">
        <f aca="false">IF($C492="","",N(元データ!$B$490))</f>
        <v/>
      </c>
      <c r="E492" s="64" t="str">
        <f aca="false">IF($C492="","",N(元データ!$C$490))</f>
        <v/>
      </c>
      <c r="F492" s="64" t="str">
        <f aca="false">IF($C492="","",N(元データ!$F$490))</f>
        <v/>
      </c>
      <c r="G492" s="63" t="str">
        <f aca="false">IF($C492="","",IF(COUNTIF(店舗マスタ!$B$5:$B$304,$C492)&gt;0,"登録済","未登録→マスタに追加"))</f>
        <v/>
      </c>
    </row>
    <row r="493" customFormat="false" ht="15" hidden="false" customHeight="false" outlineLevel="0" collapsed="false">
      <c r="A493" s="63" t="n">
        <v>491</v>
      </c>
      <c r="B493" s="63" t="str">
        <f aca="false">IF(元データ!$A$491="","",元データ!$A$491)</f>
        <v/>
      </c>
      <c r="C493" s="63" t="str">
        <f aca="false">IF(LEFT(B493,1)="(",IFERROR(VALUE(MID(B493,2,FIND(")",B493)-2)),""),"")</f>
        <v/>
      </c>
      <c r="D493" s="64" t="str">
        <f aca="false">IF($C493="","",N(元データ!$B$491))</f>
        <v/>
      </c>
      <c r="E493" s="64" t="str">
        <f aca="false">IF($C493="","",N(元データ!$C$491))</f>
        <v/>
      </c>
      <c r="F493" s="64" t="str">
        <f aca="false">IF($C493="","",N(元データ!$F$491))</f>
        <v/>
      </c>
      <c r="G493" s="63" t="str">
        <f aca="false">IF($C493="","",IF(COUNTIF(店舗マスタ!$B$5:$B$304,$C493)&gt;0,"登録済","未登録→マスタに追加"))</f>
        <v/>
      </c>
    </row>
    <row r="494" customFormat="false" ht="15" hidden="false" customHeight="false" outlineLevel="0" collapsed="false">
      <c r="A494" s="63" t="n">
        <v>492</v>
      </c>
      <c r="B494" s="63" t="str">
        <f aca="false">IF(元データ!$A$492="","",元データ!$A$492)</f>
        <v/>
      </c>
      <c r="C494" s="63" t="str">
        <f aca="false">IF(LEFT(B494,1)="(",IFERROR(VALUE(MID(B494,2,FIND(")",B494)-2)),""),"")</f>
        <v/>
      </c>
      <c r="D494" s="64" t="str">
        <f aca="false">IF($C494="","",N(元データ!$B$492))</f>
        <v/>
      </c>
      <c r="E494" s="64" t="str">
        <f aca="false">IF($C494="","",N(元データ!$C$492))</f>
        <v/>
      </c>
      <c r="F494" s="64" t="str">
        <f aca="false">IF($C494="","",N(元データ!$F$492))</f>
        <v/>
      </c>
      <c r="G494" s="63" t="str">
        <f aca="false">IF($C494="","",IF(COUNTIF(店舗マスタ!$B$5:$B$304,$C494)&gt;0,"登録済","未登録→マスタに追加"))</f>
        <v/>
      </c>
    </row>
    <row r="495" customFormat="false" ht="15" hidden="false" customHeight="false" outlineLevel="0" collapsed="false">
      <c r="A495" s="63" t="n">
        <v>493</v>
      </c>
      <c r="B495" s="63" t="str">
        <f aca="false">IF(元データ!$A$493="","",元データ!$A$493)</f>
        <v/>
      </c>
      <c r="C495" s="63" t="str">
        <f aca="false">IF(LEFT(B495,1)="(",IFERROR(VALUE(MID(B495,2,FIND(")",B495)-2)),""),"")</f>
        <v/>
      </c>
      <c r="D495" s="64" t="str">
        <f aca="false">IF($C495="","",N(元データ!$B$493))</f>
        <v/>
      </c>
      <c r="E495" s="64" t="str">
        <f aca="false">IF($C495="","",N(元データ!$C$493))</f>
        <v/>
      </c>
      <c r="F495" s="64" t="str">
        <f aca="false">IF($C495="","",N(元データ!$F$493))</f>
        <v/>
      </c>
      <c r="G495" s="63" t="str">
        <f aca="false">IF($C495="","",IF(COUNTIF(店舗マスタ!$B$5:$B$304,$C495)&gt;0,"登録済","未登録→マスタに追加"))</f>
        <v/>
      </c>
    </row>
    <row r="496" customFormat="false" ht="15" hidden="false" customHeight="false" outlineLevel="0" collapsed="false">
      <c r="A496" s="63" t="n">
        <v>494</v>
      </c>
      <c r="B496" s="63" t="str">
        <f aca="false">IF(元データ!$A$494="","",元データ!$A$494)</f>
        <v/>
      </c>
      <c r="C496" s="63" t="str">
        <f aca="false">IF(LEFT(B496,1)="(",IFERROR(VALUE(MID(B496,2,FIND(")",B496)-2)),""),"")</f>
        <v/>
      </c>
      <c r="D496" s="64" t="str">
        <f aca="false">IF($C496="","",N(元データ!$B$494))</f>
        <v/>
      </c>
      <c r="E496" s="64" t="str">
        <f aca="false">IF($C496="","",N(元データ!$C$494))</f>
        <v/>
      </c>
      <c r="F496" s="64" t="str">
        <f aca="false">IF($C496="","",N(元データ!$F$494))</f>
        <v/>
      </c>
      <c r="G496" s="63" t="str">
        <f aca="false">IF($C496="","",IF(COUNTIF(店舗マスタ!$B$5:$B$304,$C496)&gt;0,"登録済","未登録→マスタに追加"))</f>
        <v/>
      </c>
    </row>
    <row r="497" customFormat="false" ht="15" hidden="false" customHeight="false" outlineLevel="0" collapsed="false">
      <c r="A497" s="63" t="n">
        <v>495</v>
      </c>
      <c r="B497" s="63" t="str">
        <f aca="false">IF(元データ!$A$495="","",元データ!$A$495)</f>
        <v/>
      </c>
      <c r="C497" s="63" t="str">
        <f aca="false">IF(LEFT(B497,1)="(",IFERROR(VALUE(MID(B497,2,FIND(")",B497)-2)),""),"")</f>
        <v/>
      </c>
      <c r="D497" s="64" t="str">
        <f aca="false">IF($C497="","",N(元データ!$B$495))</f>
        <v/>
      </c>
      <c r="E497" s="64" t="str">
        <f aca="false">IF($C497="","",N(元データ!$C$495))</f>
        <v/>
      </c>
      <c r="F497" s="64" t="str">
        <f aca="false">IF($C497="","",N(元データ!$F$495))</f>
        <v/>
      </c>
      <c r="G497" s="63" t="str">
        <f aca="false">IF($C497="","",IF(COUNTIF(店舗マスタ!$B$5:$B$304,$C497)&gt;0,"登録済","未登録→マスタに追加"))</f>
        <v/>
      </c>
    </row>
    <row r="498" customFormat="false" ht="15" hidden="false" customHeight="false" outlineLevel="0" collapsed="false">
      <c r="A498" s="63" t="n">
        <v>496</v>
      </c>
      <c r="B498" s="63" t="str">
        <f aca="false">IF(元データ!$A$496="","",元データ!$A$496)</f>
        <v/>
      </c>
      <c r="C498" s="63" t="str">
        <f aca="false">IF(LEFT(B498,1)="(",IFERROR(VALUE(MID(B498,2,FIND(")",B498)-2)),""),"")</f>
        <v/>
      </c>
      <c r="D498" s="64" t="str">
        <f aca="false">IF($C498="","",N(元データ!$B$496))</f>
        <v/>
      </c>
      <c r="E498" s="64" t="str">
        <f aca="false">IF($C498="","",N(元データ!$C$496))</f>
        <v/>
      </c>
      <c r="F498" s="64" t="str">
        <f aca="false">IF($C498="","",N(元データ!$F$496))</f>
        <v/>
      </c>
      <c r="G498" s="63" t="str">
        <f aca="false">IF($C498="","",IF(COUNTIF(店舗マスタ!$B$5:$B$304,$C498)&gt;0,"登録済","未登録→マスタに追加"))</f>
        <v/>
      </c>
    </row>
    <row r="499" customFormat="false" ht="15" hidden="false" customHeight="false" outlineLevel="0" collapsed="false">
      <c r="A499" s="63" t="n">
        <v>497</v>
      </c>
      <c r="B499" s="63" t="str">
        <f aca="false">IF(元データ!$A$497="","",元データ!$A$497)</f>
        <v/>
      </c>
      <c r="C499" s="63" t="str">
        <f aca="false">IF(LEFT(B499,1)="(",IFERROR(VALUE(MID(B499,2,FIND(")",B499)-2)),""),"")</f>
        <v/>
      </c>
      <c r="D499" s="64" t="str">
        <f aca="false">IF($C499="","",N(元データ!$B$497))</f>
        <v/>
      </c>
      <c r="E499" s="64" t="str">
        <f aca="false">IF($C499="","",N(元データ!$C$497))</f>
        <v/>
      </c>
      <c r="F499" s="64" t="str">
        <f aca="false">IF($C499="","",N(元データ!$F$497))</f>
        <v/>
      </c>
      <c r="G499" s="63" t="str">
        <f aca="false">IF($C499="","",IF(COUNTIF(店舗マスタ!$B$5:$B$304,$C499)&gt;0,"登録済","未登録→マスタに追加"))</f>
        <v/>
      </c>
    </row>
    <row r="500" customFormat="false" ht="15" hidden="false" customHeight="false" outlineLevel="0" collapsed="false">
      <c r="A500" s="63" t="n">
        <v>498</v>
      </c>
      <c r="B500" s="63" t="str">
        <f aca="false">IF(元データ!$A$498="","",元データ!$A$498)</f>
        <v/>
      </c>
      <c r="C500" s="63" t="str">
        <f aca="false">IF(LEFT(B500,1)="(",IFERROR(VALUE(MID(B500,2,FIND(")",B500)-2)),""),"")</f>
        <v/>
      </c>
      <c r="D500" s="64" t="str">
        <f aca="false">IF($C500="","",N(元データ!$B$498))</f>
        <v/>
      </c>
      <c r="E500" s="64" t="str">
        <f aca="false">IF($C500="","",N(元データ!$C$498))</f>
        <v/>
      </c>
      <c r="F500" s="64" t="str">
        <f aca="false">IF($C500="","",N(元データ!$F$498))</f>
        <v/>
      </c>
      <c r="G500" s="63" t="str">
        <f aca="false">IF($C500="","",IF(COUNTIF(店舗マスタ!$B$5:$B$304,$C500)&gt;0,"登録済","未登録→マスタに追加"))</f>
        <v/>
      </c>
    </row>
    <row r="501" customFormat="false" ht="15" hidden="false" customHeight="false" outlineLevel="0" collapsed="false">
      <c r="A501" s="63" t="n">
        <v>499</v>
      </c>
      <c r="B501" s="63" t="str">
        <f aca="false">IF(元データ!$A$499="","",元データ!$A$499)</f>
        <v/>
      </c>
      <c r="C501" s="63" t="str">
        <f aca="false">IF(LEFT(B501,1)="(",IFERROR(VALUE(MID(B501,2,FIND(")",B501)-2)),""),"")</f>
        <v/>
      </c>
      <c r="D501" s="64" t="str">
        <f aca="false">IF($C501="","",N(元データ!$B$499))</f>
        <v/>
      </c>
      <c r="E501" s="64" t="str">
        <f aca="false">IF($C501="","",N(元データ!$C$499))</f>
        <v/>
      </c>
      <c r="F501" s="64" t="str">
        <f aca="false">IF($C501="","",N(元データ!$F$499))</f>
        <v/>
      </c>
      <c r="G501" s="63" t="str">
        <f aca="false">IF($C501="","",IF(COUNTIF(店舗マスタ!$B$5:$B$304,$C501)&gt;0,"登録済","未登録→マスタに追加"))</f>
        <v/>
      </c>
    </row>
    <row r="502" customFormat="false" ht="15" hidden="false" customHeight="false" outlineLevel="0" collapsed="false">
      <c r="A502" s="63" t="n">
        <v>500</v>
      </c>
      <c r="B502" s="63" t="str">
        <f aca="false">IF(元データ!$A$500="","",元データ!$A$500)</f>
        <v/>
      </c>
      <c r="C502" s="63" t="str">
        <f aca="false">IF(LEFT(B502,1)="(",IFERROR(VALUE(MID(B502,2,FIND(")",B502)-2)),""),"")</f>
        <v/>
      </c>
      <c r="D502" s="64" t="str">
        <f aca="false">IF($C502="","",N(元データ!$B$500))</f>
        <v/>
      </c>
      <c r="E502" s="64" t="str">
        <f aca="false">IF($C502="","",N(元データ!$C$500))</f>
        <v/>
      </c>
      <c r="F502" s="64" t="str">
        <f aca="false">IF($C502="","",N(元データ!$F$500))</f>
        <v/>
      </c>
      <c r="G502" s="63" t="str">
        <f aca="false">IF($C502="","",IF(COUNTIF(店舗マスタ!$B$5:$B$304,$C502)&gt;0,"登録済","未登録→マスタに追加"))</f>
        <v/>
      </c>
    </row>
    <row r="503" customFormat="false" ht="15" hidden="false" customHeight="false" outlineLevel="0" collapsed="false">
      <c r="A503" s="63" t="n">
        <v>501</v>
      </c>
      <c r="B503" s="63" t="str">
        <f aca="false">IF(元データ!$A$501="","",元データ!$A$501)</f>
        <v/>
      </c>
      <c r="C503" s="63" t="str">
        <f aca="false">IF(LEFT(B503,1)="(",IFERROR(VALUE(MID(B503,2,FIND(")",B503)-2)),""),"")</f>
        <v/>
      </c>
      <c r="D503" s="64" t="str">
        <f aca="false">IF($C503="","",N(元データ!$B$501))</f>
        <v/>
      </c>
      <c r="E503" s="64" t="str">
        <f aca="false">IF($C503="","",N(元データ!$C$501))</f>
        <v/>
      </c>
      <c r="F503" s="64" t="str">
        <f aca="false">IF($C503="","",N(元データ!$F$501))</f>
        <v/>
      </c>
      <c r="G503" s="63" t="str">
        <f aca="false">IF($C503="","",IF(COUNTIF(店舗マスタ!$B$5:$B$304,$C503)&gt;0,"登録済","未登録→マスタに追加"))</f>
        <v/>
      </c>
    </row>
    <row r="504" customFormat="false" ht="15" hidden="false" customHeight="false" outlineLevel="0" collapsed="false">
      <c r="A504" s="63" t="n">
        <v>502</v>
      </c>
      <c r="B504" s="63" t="str">
        <f aca="false">IF(元データ!$A$502="","",元データ!$A$502)</f>
        <v/>
      </c>
      <c r="C504" s="63" t="str">
        <f aca="false">IF(LEFT(B504,1)="(",IFERROR(VALUE(MID(B504,2,FIND(")",B504)-2)),""),"")</f>
        <v/>
      </c>
      <c r="D504" s="64" t="str">
        <f aca="false">IF($C504="","",N(元データ!$B$502))</f>
        <v/>
      </c>
      <c r="E504" s="64" t="str">
        <f aca="false">IF($C504="","",N(元データ!$C$502))</f>
        <v/>
      </c>
      <c r="F504" s="64" t="str">
        <f aca="false">IF($C504="","",N(元データ!$F$502))</f>
        <v/>
      </c>
      <c r="G504" s="63" t="str">
        <f aca="false">IF($C504="","",IF(COUNTIF(店舗マスタ!$B$5:$B$304,$C504)&gt;0,"登録済","未登録→マスタに追加"))</f>
        <v/>
      </c>
    </row>
    <row r="505" customFormat="false" ht="15" hidden="false" customHeight="false" outlineLevel="0" collapsed="false">
      <c r="A505" s="63" t="n">
        <v>503</v>
      </c>
      <c r="B505" s="63" t="str">
        <f aca="false">IF(元データ!$A$503="","",元データ!$A$503)</f>
        <v/>
      </c>
      <c r="C505" s="63" t="str">
        <f aca="false">IF(LEFT(B505,1)="(",IFERROR(VALUE(MID(B505,2,FIND(")",B505)-2)),""),"")</f>
        <v/>
      </c>
      <c r="D505" s="64" t="str">
        <f aca="false">IF($C505="","",N(元データ!$B$503))</f>
        <v/>
      </c>
      <c r="E505" s="64" t="str">
        <f aca="false">IF($C505="","",N(元データ!$C$503))</f>
        <v/>
      </c>
      <c r="F505" s="64" t="str">
        <f aca="false">IF($C505="","",N(元データ!$F$503))</f>
        <v/>
      </c>
      <c r="G505" s="63" t="str">
        <f aca="false">IF($C505="","",IF(COUNTIF(店舗マスタ!$B$5:$B$304,$C505)&gt;0,"登録済","未登録→マスタに追加"))</f>
        <v/>
      </c>
    </row>
  </sheetData>
  <conditionalFormatting sqref="A6:G505">
    <cfRule type="expression" priority="2" aboveAverage="0" equalAverage="0" bottom="0" percent="0" rank="0" text="" dxfId="15">
      <formula>LEFT($G6,3)="未登録"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2026-10-06T07:22:54Z</dcterms:created>
  <dc:creator>openpyxl</dc:creator>
  <dc:description/>
  <dc:language>en-US</dc:language>
  <cp:lastModifiedBy/>
  <dcterms:modified xsi:type="dcterms:W3CDTF">2026-10-06T07:22:54Z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