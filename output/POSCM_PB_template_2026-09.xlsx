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ブランド別サマリー" sheetId="1" state="visible" r:id="rId3"/>
    <sheet name="PB内訳" sheetId="2" state="visible" r:id="rId4"/>
    <sheet name="店舗別明細" sheetId="3" state="visible" r:id="rId5"/>
    <sheet name="施設別" sheetId="4" state="visible" r:id="rId6"/>
    <sheet name="元データ_PB合計" sheetId="5" state="visible" r:id="rId7"/>
    <sheet name="元データ_P" sheetId="6" state="visible" r:id="rId8"/>
    <sheet name="元データ_B" sheetId="7" state="visible" r:id="rId9"/>
    <sheet name="店舗マスタ" sheetId="8" state="visible" r:id="rId10"/>
    <sheet name="取込チェック" sheetId="9" state="visible" r:id="rId11"/>
  </sheets>
  <definedNames>
    <definedName function="false" hidden="false" localSheetId="1" name="_xlnm.Print_Titles" vbProcedure="false">PB内訳!$4:$5</definedName>
    <definedName function="false" hidden="true" localSheetId="7" name="_xlnm._FilterDatabase" vbProcedure="false">店舗マスタ!$A$4:$S$304</definedName>
    <definedName function="false" hidden="false" localSheetId="2" name="_xlnm.Print_Titles" vbProcedure="false">店舗別明細!$4:$4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<sst xmlns="http://schemas.openxmlformats.org/spreadsheetml/2006/main" count="451" uniqueCount="193">
  <si>
    <r>
      <rPr>
        <sz val="9"/>
        <color rgb="FF404040"/>
        <rFont val="WenQuanYi Zen Hei"/>
        <family val="2"/>
      </rPr>
      <t xml:space="preserve">ブランド系統別の集計。</t>
    </r>
    <r>
      <rPr>
        <sz val="9"/>
        <color rgb="FF404040"/>
        <rFont val="Meiryo UI"/>
        <family val="0"/>
        <charset val="1"/>
      </rPr>
      <t xml:space="preserve">3</t>
    </r>
    <r>
      <rPr>
        <sz val="9"/>
        <color rgb="FF404040"/>
        <rFont val="WenQuanYi Zen Hei"/>
        <family val="2"/>
      </rPr>
      <t xml:space="preserve">つの元データシートを貼り替えると全シートが自動更新されます。</t>
    </r>
  </si>
  <si>
    <r>
      <rPr>
        <b val="true"/>
        <sz val="11"/>
        <color rgb="FF1F3864"/>
        <rFont val="Meiryo UI"/>
        <family val="0"/>
        <charset val="1"/>
      </rPr>
      <t xml:space="preserve">■ PB</t>
    </r>
    <r>
      <rPr>
        <b val="true"/>
        <sz val="11"/>
        <color rgb="FF1F3864"/>
        <rFont val="WenQuanYi Zen Hei"/>
        <family val="2"/>
      </rPr>
      <t xml:space="preserve">合計（予算・前年対比）</t>
    </r>
  </si>
  <si>
    <t xml:space="preserve">ブランド系統</t>
  </si>
  <si>
    <t xml:space="preserve">店舗数</t>
  </si>
  <si>
    <t xml:space="preserve">売上金額</t>
  </si>
  <si>
    <t xml:space="preserve">売上構成比</t>
  </si>
  <si>
    <t xml:space="preserve">予算金額</t>
  </si>
  <si>
    <t xml:space="preserve">予算達成率</t>
  </si>
  <si>
    <t xml:space="preserve">予算差額</t>
  </si>
  <si>
    <t xml:space="preserve">前年売上金額</t>
  </si>
  <si>
    <t xml:space="preserve">前年対比</t>
  </si>
  <si>
    <t xml:space="preserve">前年差額</t>
  </si>
  <si>
    <t xml:space="preserve">アルチビオ</t>
  </si>
  <si>
    <t xml:space="preserve">スタジオピッコーネ／ピッコーネクラブ</t>
  </si>
  <si>
    <t xml:space="preserve">ピッコーネ</t>
  </si>
  <si>
    <t xml:space="preserve">複合（アルチビオ＋ピッコーネ系）</t>
  </si>
  <si>
    <t xml:space="preserve">合計</t>
  </si>
  <si>
    <r>
      <rPr>
        <b val="true"/>
        <sz val="11"/>
        <color rgb="FF1F3864"/>
        <rFont val="Meiryo UI"/>
        <family val="0"/>
        <charset val="1"/>
      </rPr>
      <t xml:space="preserve">■ PB</t>
    </r>
    <r>
      <rPr>
        <b val="true"/>
        <sz val="11"/>
        <color rgb="FF1F3864"/>
        <rFont val="WenQuanYi Zen Hei"/>
        <family val="2"/>
      </rPr>
      <t xml:space="preserve">内訳（</t>
    </r>
    <r>
      <rPr>
        <b val="true"/>
        <sz val="11"/>
        <color rgb="FF1F3864"/>
        <rFont val="Meiryo UI"/>
        <family val="0"/>
        <charset val="1"/>
      </rPr>
      <t xml:space="preserve">P</t>
    </r>
    <r>
      <rPr>
        <b val="true"/>
        <sz val="11"/>
        <color rgb="FF1F3864"/>
        <rFont val="WenQuanYi Zen Hei"/>
        <family val="2"/>
      </rPr>
      <t xml:space="preserve">：プロパー／</t>
    </r>
    <r>
      <rPr>
        <b val="true"/>
        <sz val="11"/>
        <color rgb="FF1F3864"/>
        <rFont val="Meiryo UI"/>
        <family val="0"/>
        <charset val="1"/>
      </rPr>
      <t xml:space="preserve">B</t>
    </r>
    <r>
      <rPr>
        <b val="true"/>
        <sz val="11"/>
        <color rgb="FF1F3864"/>
        <rFont val="WenQuanYi Zen Hei"/>
        <family val="2"/>
      </rPr>
      <t xml:space="preserve">：バーゲン）</t>
    </r>
  </si>
  <si>
    <r>
      <rPr>
        <b val="true"/>
        <sz val="10"/>
        <color rgb="FFFFFFFF"/>
        <rFont val="Meiryo UI"/>
        <family val="0"/>
        <charset val="1"/>
      </rPr>
      <t xml:space="preserve">PB</t>
    </r>
    <r>
      <rPr>
        <b val="true"/>
        <sz val="10"/>
        <color rgb="FFFFFFFF"/>
        <rFont val="WenQuanYi Zen Hei"/>
        <family val="2"/>
      </rPr>
      <t xml:space="preserve">合計売上</t>
    </r>
  </si>
  <si>
    <r>
      <rPr>
        <b val="true"/>
        <sz val="10"/>
        <color rgb="FFFFFFFF"/>
        <rFont val="Meiryo UI"/>
        <family val="0"/>
        <charset val="1"/>
      </rPr>
      <t xml:space="preserve">P</t>
    </r>
    <r>
      <rPr>
        <b val="true"/>
        <sz val="10"/>
        <color rgb="FFFFFFFF"/>
        <rFont val="WenQuanYi Zen Hei"/>
        <family val="2"/>
      </rPr>
      <t xml:space="preserve">売上</t>
    </r>
  </si>
  <si>
    <r>
      <rPr>
        <b val="true"/>
        <sz val="10"/>
        <color rgb="FFFFFFFF"/>
        <rFont val="Meiryo UI"/>
        <family val="0"/>
        <charset val="1"/>
      </rPr>
      <t xml:space="preserve">B</t>
    </r>
    <r>
      <rPr>
        <b val="true"/>
        <sz val="10"/>
        <color rgb="FFFFFFFF"/>
        <rFont val="WenQuanYi Zen Hei"/>
        <family val="2"/>
      </rPr>
      <t xml:space="preserve">売上</t>
    </r>
  </si>
  <si>
    <r>
      <rPr>
        <b val="true"/>
        <sz val="10"/>
        <color rgb="FFFFFFFF"/>
        <rFont val="Meiryo UI"/>
        <family val="0"/>
        <charset val="1"/>
      </rPr>
      <t xml:space="preserve">B</t>
    </r>
    <r>
      <rPr>
        <b val="true"/>
        <sz val="10"/>
        <color rgb="FFFFFFFF"/>
        <rFont val="WenQuanYi Zen Hei"/>
        <family val="2"/>
      </rPr>
      <t xml:space="preserve">比率</t>
    </r>
  </si>
  <si>
    <r>
      <rPr>
        <b val="true"/>
        <sz val="10"/>
        <color rgb="FFFFFFFF"/>
        <rFont val="Meiryo UI"/>
        <family val="0"/>
        <charset val="1"/>
      </rPr>
      <t xml:space="preserve">PB</t>
    </r>
    <r>
      <rPr>
        <b val="true"/>
        <sz val="10"/>
        <color rgb="FFFFFFFF"/>
        <rFont val="WenQuanYi Zen Hei"/>
        <family val="2"/>
      </rPr>
      <t xml:space="preserve">前年売上</t>
    </r>
  </si>
  <si>
    <r>
      <rPr>
        <b val="true"/>
        <sz val="10"/>
        <color rgb="FFFFFFFF"/>
        <rFont val="Meiryo UI"/>
        <family val="0"/>
        <charset val="1"/>
      </rPr>
      <t xml:space="preserve">P</t>
    </r>
    <r>
      <rPr>
        <b val="true"/>
        <sz val="10"/>
        <color rgb="FFFFFFFF"/>
        <rFont val="WenQuanYi Zen Hei"/>
        <family val="2"/>
      </rPr>
      <t xml:space="preserve">前年売上</t>
    </r>
  </si>
  <si>
    <r>
      <rPr>
        <b val="true"/>
        <sz val="10"/>
        <color rgb="FFFFFFFF"/>
        <rFont val="Meiryo UI"/>
        <family val="0"/>
        <charset val="1"/>
      </rPr>
      <t xml:space="preserve">B</t>
    </r>
    <r>
      <rPr>
        <b val="true"/>
        <sz val="10"/>
        <color rgb="FFFFFFFF"/>
        <rFont val="WenQuanYi Zen Hei"/>
        <family val="2"/>
      </rPr>
      <t xml:space="preserve">前年売上</t>
    </r>
  </si>
  <si>
    <r>
      <rPr>
        <b val="true"/>
        <sz val="10"/>
        <color rgb="FFFFFFFF"/>
        <rFont val="Meiryo UI"/>
        <family val="0"/>
        <charset val="1"/>
      </rPr>
      <t xml:space="preserve">P</t>
    </r>
    <r>
      <rPr>
        <b val="true"/>
        <sz val="10"/>
        <color rgb="FFFFFFFF"/>
        <rFont val="WenQuanYi Zen Hei"/>
        <family val="2"/>
      </rPr>
      <t xml:space="preserve">前年対比</t>
    </r>
  </si>
  <si>
    <r>
      <rPr>
        <b val="true"/>
        <sz val="10"/>
        <color rgb="FFFFFFFF"/>
        <rFont val="Meiryo UI"/>
        <family val="0"/>
        <charset val="1"/>
      </rPr>
      <t xml:space="preserve">B</t>
    </r>
    <r>
      <rPr>
        <b val="true"/>
        <sz val="10"/>
        <color rgb="FFFFFFFF"/>
        <rFont val="WenQuanYi Zen Hei"/>
        <family val="2"/>
      </rPr>
      <t xml:space="preserve">前年対比</t>
    </r>
  </si>
  <si>
    <t xml:space="preserve">■ データ取込チェック</t>
  </si>
  <si>
    <t xml:space="preserve">■ 毎月の更新手順</t>
  </si>
  <si>
    <r>
      <rPr>
        <sz val="10"/>
        <rFont val="Meiryo UI"/>
        <family val="0"/>
        <charset val="1"/>
      </rPr>
      <t xml:space="preserve">PB</t>
    </r>
    <r>
      <rPr>
        <sz val="10"/>
        <rFont val="WenQuanYi Zen Hei"/>
        <family val="2"/>
      </rPr>
      <t xml:space="preserve">合計：元データ合計行 − 本表（</t>
    </r>
    <r>
      <rPr>
        <sz val="10"/>
        <rFont val="Meiryo UI"/>
        <family val="0"/>
        <charset val="1"/>
      </rPr>
      <t xml:space="preserve">0</t>
    </r>
    <r>
      <rPr>
        <sz val="10"/>
        <rFont val="WenQuanYi Zen Hei"/>
        <family val="2"/>
      </rPr>
      <t xml:space="preserve">なら</t>
    </r>
    <r>
      <rPr>
        <sz val="10"/>
        <rFont val="Meiryo UI"/>
        <family val="0"/>
        <charset val="1"/>
      </rPr>
      <t xml:space="preserve">OK</t>
    </r>
    <r>
      <rPr>
        <sz val="10"/>
        <rFont val="WenQuanYi Zen Hei"/>
        <family val="2"/>
      </rPr>
      <t xml:space="preserve">）</t>
    </r>
  </si>
  <si>
    <r>
      <rPr>
        <sz val="10"/>
        <color rgb="FF000000"/>
        <rFont val="Meiryo UI"/>
        <family val="0"/>
        <charset val="1"/>
      </rPr>
      <t xml:space="preserve">① POSCM</t>
    </r>
    <r>
      <rPr>
        <sz val="10"/>
        <color rgb="FF000000"/>
        <rFont val="WenQuanYi Zen Hei"/>
        <family val="2"/>
      </rPr>
      <t xml:space="preserve">の出力ファイル（</t>
    </r>
    <r>
      <rPr>
        <sz val="10"/>
        <color rgb="FF000000"/>
        <rFont val="Meiryo UI"/>
        <family val="0"/>
        <charset val="1"/>
      </rPr>
      <t xml:space="preserve">PB</t>
    </r>
    <r>
      <rPr>
        <sz val="10"/>
        <color rgb="FF000000"/>
        <rFont val="WenQuanYi Zen Hei"/>
        <family val="2"/>
      </rPr>
      <t xml:space="preserve">合計・</t>
    </r>
    <r>
      <rPr>
        <sz val="10"/>
        <color rgb="FF000000"/>
        <rFont val="Meiryo UI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Meiryo UI"/>
        <family val="0"/>
        <charset val="1"/>
      </rPr>
      <t xml:space="preserve">B</t>
    </r>
    <r>
      <rPr>
        <sz val="10"/>
        <color rgb="FF000000"/>
        <rFont val="WenQuanYi Zen Hei"/>
        <family val="2"/>
      </rPr>
      <t xml:space="preserve">の</t>
    </r>
    <r>
      <rPr>
        <sz val="10"/>
        <color rgb="FF000000"/>
        <rFont val="Meiryo UI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シート）を開く</t>
    </r>
  </si>
  <si>
    <r>
      <rPr>
        <sz val="10"/>
        <rFont val="Meiryo UI"/>
        <family val="0"/>
        <charset val="1"/>
      </rPr>
      <t xml:space="preserve">P</t>
    </r>
    <r>
      <rPr>
        <sz val="10"/>
        <rFont val="WenQuanYi Zen Hei"/>
        <family val="2"/>
      </rPr>
      <t xml:space="preserve">：元データ合計行 − 本表（</t>
    </r>
    <r>
      <rPr>
        <sz val="10"/>
        <rFont val="Meiryo UI"/>
        <family val="0"/>
        <charset val="1"/>
      </rPr>
      <t xml:space="preserve">0</t>
    </r>
    <r>
      <rPr>
        <sz val="10"/>
        <rFont val="WenQuanYi Zen Hei"/>
        <family val="2"/>
      </rPr>
      <t xml:space="preserve">なら</t>
    </r>
    <r>
      <rPr>
        <sz val="10"/>
        <rFont val="Meiryo UI"/>
        <family val="0"/>
        <charset val="1"/>
      </rPr>
      <t xml:space="preserve">OK</t>
    </r>
    <r>
      <rPr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</si>
  <si>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② 「</t>
    </r>
    <r>
      <rPr>
        <sz val="10"/>
        <color rgb="FF000000"/>
        <rFont val="Meiryo UI"/>
        <family val="0"/>
        <charset val="1"/>
      </rPr>
      <t xml:space="preserve">PB</t>
    </r>
    <r>
      <rPr>
        <sz val="10"/>
        <color rgb="FF000000"/>
        <rFont val="WenQuanYi Zen Hei"/>
        <family val="2"/>
      </rPr>
      <t xml:space="preserve">合計」シートで全選択コピー（</t>
    </r>
    <r>
      <rPr>
        <sz val="10"/>
        <color rgb="FF000000"/>
        <rFont val="Meiryo UI"/>
        <family val="0"/>
        <charset val="1"/>
      </rPr>
      <t xml:space="preserve">Ctrl+A → Ctrl+C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</si>
  <si>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rFont val="Meiryo UI"/>
        <family val="0"/>
        <charset val="1"/>
      </rPr>
      <t xml:space="preserve">B</t>
    </r>
    <r>
      <rPr>
        <sz val="10"/>
        <rFont val="WenQuanYi Zen Hei"/>
        <family val="2"/>
      </rPr>
      <t xml:space="preserve">：元データ合計行 − 本表（</t>
    </r>
    <r>
      <rPr>
        <sz val="10"/>
        <rFont val="Meiryo UI"/>
        <family val="0"/>
        <charset val="1"/>
      </rPr>
      <t xml:space="preserve">0</t>
    </r>
    <r>
      <rPr>
        <sz val="10"/>
        <rFont val="WenQuanYi Zen Hei"/>
        <family val="2"/>
      </rPr>
      <t xml:space="preserve">なら</t>
    </r>
    <r>
      <rPr>
        <sz val="10"/>
        <rFont val="Meiryo UI"/>
        <family val="0"/>
        <charset val="1"/>
      </rPr>
      <t xml:space="preserve">OK</t>
    </r>
    <r>
      <rPr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</si>
  <si>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③ このファイルの「元データ</t>
    </r>
    <r>
      <rPr>
        <sz val="10"/>
        <color rgb="FF000000"/>
        <rFont val="Meiryo UI"/>
        <family val="0"/>
        <charset val="1"/>
      </rPr>
      <t xml:space="preserve">_PB</t>
    </r>
    <r>
      <rPr>
        <sz val="10"/>
        <color rgb="FF000000"/>
        <rFont val="WenQuanYi Zen Hei"/>
        <family val="2"/>
      </rPr>
      <t xml:space="preserve">合計」を全選択して削除し、</t>
    </r>
    <r>
      <rPr>
        <sz val="10"/>
        <color rgb="FF000000"/>
        <rFont val="Meiryo UI"/>
        <family val="0"/>
        <charset val="1"/>
      </rPr>
      <t xml:space="preserve">A1</t>
    </r>
    <r>
      <rPr>
        <sz val="10"/>
        <color rgb="FF000000"/>
        <rFont val="WenQuanYi Zen Hei"/>
        <family val="2"/>
      </rPr>
      <t xml:space="preserve">に貼り付け</t>
    </r>
  </si>
  <si>
    <r>
      <rPr>
        <sz val="10"/>
        <rFont val="Meiryo UI"/>
        <family val="0"/>
        <charset val="1"/>
      </rPr>
      <t xml:space="preserve">3</t>
    </r>
    <r>
      <rPr>
        <sz val="10"/>
        <rFont val="WenQuanYi Zen Hei"/>
        <family val="2"/>
      </rPr>
      <t xml:space="preserve">シートの対象月が一致</t>
    </r>
  </si>
  <si>
    <r>
      <rPr>
        <sz val="10"/>
        <color rgb="FF000000"/>
        <rFont val="WenQuanYi Zen Hei"/>
        <family val="2"/>
      </rPr>
      <t xml:space="preserve">④ 同様に「</t>
    </r>
    <r>
      <rPr>
        <sz val="10"/>
        <color rgb="FF000000"/>
        <rFont val="Meiryo UI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」→「元データ</t>
    </r>
    <r>
      <rPr>
        <sz val="10"/>
        <color rgb="FF000000"/>
        <rFont val="Meiryo UI"/>
        <family val="0"/>
        <charset val="1"/>
      </rPr>
      <t xml:space="preserve">_P</t>
    </r>
    <r>
      <rPr>
        <sz val="10"/>
        <color rgb="FF000000"/>
        <rFont val="WenQuanYi Zen Hei"/>
        <family val="2"/>
      </rPr>
      <t xml:space="preserve">」、「</t>
    </r>
    <r>
      <rPr>
        <sz val="10"/>
        <color rgb="FF000000"/>
        <rFont val="Meiryo UI"/>
        <family val="0"/>
        <charset val="1"/>
      </rPr>
      <t xml:space="preserve">B</t>
    </r>
    <r>
      <rPr>
        <sz val="10"/>
        <color rgb="FF000000"/>
        <rFont val="WenQuanYi Zen Hei"/>
        <family val="2"/>
      </rPr>
      <t xml:space="preserve">」→「元データ</t>
    </r>
    <r>
      <rPr>
        <sz val="10"/>
        <color rgb="FF000000"/>
        <rFont val="Meiryo UI"/>
        <family val="0"/>
        <charset val="1"/>
      </rPr>
      <t xml:space="preserve">_B</t>
    </r>
    <r>
      <rPr>
        <sz val="10"/>
        <color rgb="FF000000"/>
        <rFont val="WenQuanYi Zen Hei"/>
        <family val="2"/>
      </rPr>
      <t xml:space="preserve">」に貼り付け</t>
    </r>
  </si>
  <si>
    <r>
      <rPr>
        <sz val="10"/>
        <rFont val="WenQuanYi Zen Hei"/>
        <family val="2"/>
      </rPr>
      <t xml:space="preserve">未登録の店舗数（</t>
    </r>
    <r>
      <rPr>
        <sz val="10"/>
        <rFont val="Meiryo UI"/>
        <family val="0"/>
        <charset val="1"/>
      </rPr>
      <t xml:space="preserve">0</t>
    </r>
    <r>
      <rPr>
        <sz val="10"/>
        <rFont val="WenQuanYi Zen Hei"/>
        <family val="2"/>
      </rPr>
      <t xml:space="preserve">なら</t>
    </r>
    <r>
      <rPr>
        <sz val="10"/>
        <rFont val="Meiryo UI"/>
        <family val="0"/>
        <charset val="1"/>
      </rPr>
      <t xml:space="preserve">OK</t>
    </r>
    <r>
      <rPr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</si>
  <si>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⑤ 「総合判定」が</t>
    </r>
    <r>
      <rPr>
        <sz val="10"/>
        <color rgb="FF000000"/>
        <rFont val="Meiryo UI"/>
        <family val="0"/>
        <charset val="1"/>
      </rPr>
      <t xml:space="preserve">OK</t>
    </r>
    <r>
      <rPr>
        <sz val="10"/>
        <color rgb="FF000000"/>
        <rFont val="WenQuanYi Zen Hei"/>
        <family val="2"/>
      </rPr>
      <t xml:space="preserve">なら完了（タイトルの年月も自動更新）</t>
    </r>
  </si>
  <si>
    <t xml:space="preserve">明細シートの予備枠</t>
  </si>
  <si>
    <t xml:space="preserve">⑥ 「未登録」が出たら、取込チェックの赤い行を見て店舗マスタに追加</t>
  </si>
  <si>
    <t xml:space="preserve">総合判定</t>
  </si>
  <si>
    <t xml:space="preserve">※ 元データシートの名前は変えないでください。</t>
  </si>
  <si>
    <t xml:space="preserve">（参考）マスタ登録済で今月データなしの店舗数</t>
  </si>
  <si>
    <r>
      <rPr>
        <sz val="10"/>
        <color rgb="FF000000"/>
        <rFont val="Meiryo UI"/>
        <family val="0"/>
        <charset val="1"/>
      </rPr>
      <t xml:space="preserve">※ PB</t>
    </r>
    <r>
      <rPr>
        <sz val="10"/>
        <color rgb="FF000000"/>
        <rFont val="WenQuanYi Zen Hei"/>
        <family val="2"/>
      </rPr>
      <t xml:space="preserve">合計だけ貼った場合も、</t>
    </r>
    <r>
      <rPr>
        <sz val="10"/>
        <color rgb="FF000000"/>
        <rFont val="Meiryo UI"/>
        <family val="0"/>
        <charset val="1"/>
      </rPr>
      <t xml:space="preserve">PB</t>
    </r>
    <r>
      <rPr>
        <sz val="10"/>
        <color rgb="FF000000"/>
        <rFont val="WenQuanYi Zen Hei"/>
        <family val="2"/>
      </rPr>
      <t xml:space="preserve">内訳以外は更新されます。</t>
    </r>
  </si>
  <si>
    <r>
      <rPr>
        <sz val="10"/>
        <rFont val="WenQuanYi Zen Hei"/>
        <family val="2"/>
      </rPr>
      <t xml:space="preserve">（参考）</t>
    </r>
    <r>
      <rPr>
        <sz val="10"/>
        <rFont val="Meiryo UI"/>
        <family val="0"/>
        <charset val="1"/>
      </rPr>
      <t xml:space="preserve">B</t>
    </r>
    <r>
      <rPr>
        <sz val="10"/>
        <rFont val="WenQuanYi Zen Hei"/>
        <family val="2"/>
      </rPr>
      <t xml:space="preserve">シートにない前年</t>
    </r>
    <r>
      <rPr>
        <sz val="10"/>
        <rFont val="Meiryo UI"/>
        <family val="0"/>
        <charset val="1"/>
      </rPr>
      <t xml:space="preserve">B</t>
    </r>
    <r>
      <rPr>
        <sz val="10"/>
        <rFont val="WenQuanYi Zen Hei"/>
        <family val="2"/>
      </rPr>
      <t xml:space="preserve">売上（</t>
    </r>
    <r>
      <rPr>
        <sz val="10"/>
        <rFont val="Meiryo UI"/>
        <family val="0"/>
        <charset val="1"/>
      </rPr>
      <t xml:space="preserve">PB−P</t>
    </r>
    <r>
      <rPr>
        <sz val="10"/>
        <rFont val="WenQuanYi Zen Hei"/>
        <family val="2"/>
      </rPr>
      <t xml:space="preserve">で補完）</t>
    </r>
  </si>
  <si>
    <r>
      <rPr>
        <sz val="9"/>
        <color rgb="FF404040"/>
        <rFont val="Meiryo UI"/>
        <family val="0"/>
        <charset val="1"/>
      </rPr>
      <t xml:space="preserve">PB</t>
    </r>
    <r>
      <rPr>
        <sz val="9"/>
        <color rgb="FF404040"/>
        <rFont val="WenQuanYi Zen Hei"/>
        <family val="2"/>
      </rPr>
      <t xml:space="preserve">合計 </t>
    </r>
    <r>
      <rPr>
        <sz val="9"/>
        <color rgb="FF404040"/>
        <rFont val="Meiryo UI"/>
        <family val="0"/>
        <charset val="1"/>
      </rPr>
      <t xml:space="preserve">= P</t>
    </r>
    <r>
      <rPr>
        <sz val="9"/>
        <color rgb="FF404040"/>
        <rFont val="WenQuanYi Zen Hei"/>
        <family val="2"/>
      </rPr>
      <t xml:space="preserve">（プロパー）＋ </t>
    </r>
    <r>
      <rPr>
        <sz val="9"/>
        <color rgb="FF404040"/>
        <rFont val="Meiryo UI"/>
        <family val="0"/>
        <charset val="1"/>
      </rPr>
      <t xml:space="preserve">B</t>
    </r>
    <r>
      <rPr>
        <sz val="9"/>
        <color rgb="FF404040"/>
        <rFont val="WenQuanYi Zen Hei"/>
        <family val="2"/>
      </rPr>
      <t xml:space="preserve">（バーゲン）。</t>
    </r>
    <r>
      <rPr>
        <sz val="9"/>
        <color rgb="FF404040"/>
        <rFont val="Meiryo UI"/>
        <family val="0"/>
        <charset val="1"/>
      </rPr>
      <t xml:space="preserve">B = PB</t>
    </r>
    <r>
      <rPr>
        <sz val="9"/>
        <color rgb="FF404040"/>
        <rFont val="WenQuanYi Zen Hei"/>
        <family val="2"/>
      </rPr>
      <t xml:space="preserve">合計 − </t>
    </r>
    <r>
      <rPr>
        <sz val="9"/>
        <color rgb="FF404040"/>
        <rFont val="Meiryo UI"/>
        <family val="0"/>
        <charset val="1"/>
      </rPr>
      <t xml:space="preserve">P </t>
    </r>
    <r>
      <rPr>
        <sz val="9"/>
        <color rgb="FF404040"/>
        <rFont val="WenQuanYi Zen Hei"/>
        <family val="2"/>
      </rPr>
      <t xml:space="preserve">で計算。予算は</t>
    </r>
    <r>
      <rPr>
        <sz val="9"/>
        <color rgb="FF404040"/>
        <rFont val="Meiryo UI"/>
        <family val="0"/>
        <charset val="1"/>
      </rPr>
      <t xml:space="preserve">PB</t>
    </r>
    <r>
      <rPr>
        <sz val="9"/>
        <color rgb="FF404040"/>
        <rFont val="WenQuanYi Zen Hei"/>
        <family val="2"/>
      </rPr>
      <t xml:space="preserve">合計に対する予算のみ（</t>
    </r>
    <r>
      <rPr>
        <sz val="9"/>
        <color rgb="FF404040"/>
        <rFont val="Meiryo UI"/>
        <family val="0"/>
        <charset val="1"/>
      </rPr>
      <t xml:space="preserve">P</t>
    </r>
    <r>
      <rPr>
        <sz val="9"/>
        <color rgb="FF404040"/>
        <rFont val="WenQuanYi Zen Hei"/>
        <family val="2"/>
      </rPr>
      <t xml:space="preserve">・</t>
    </r>
    <r>
      <rPr>
        <sz val="9"/>
        <color rgb="FF404040"/>
        <rFont val="Meiryo UI"/>
        <family val="0"/>
        <charset val="1"/>
      </rPr>
      <t xml:space="preserve">B</t>
    </r>
    <r>
      <rPr>
        <sz val="9"/>
        <color rgb="FF404040"/>
        <rFont val="WenQuanYi Zen Hei"/>
        <family val="2"/>
      </rPr>
      <t xml:space="preserve">別の予算は元データになし）。ブランド系統ごとに店舗コード順。</t>
    </r>
  </si>
  <si>
    <t xml:space="preserve">店舗</t>
  </si>
  <si>
    <t xml:space="preserve">当月売上</t>
  </si>
  <si>
    <r>
      <rPr>
        <b val="true"/>
        <sz val="10"/>
        <color rgb="FFFFFFFF"/>
        <rFont val="WenQuanYi Zen Hei"/>
        <family val="2"/>
      </rPr>
      <t xml:space="preserve">予算（</t>
    </r>
    <r>
      <rPr>
        <b val="true"/>
        <sz val="10"/>
        <color rgb="FFFFFFFF"/>
        <rFont val="Meiryo UI"/>
        <family val="0"/>
        <charset val="1"/>
      </rPr>
      <t xml:space="preserve">PB</t>
    </r>
    <r>
      <rPr>
        <b val="true"/>
        <sz val="10"/>
        <color rgb="FFFFFFFF"/>
        <rFont val="WenQuanYi Zen Hei"/>
        <family val="2"/>
      </rPr>
      <t xml:space="preserve">合計）</t>
    </r>
  </si>
  <si>
    <t xml:space="preserve">前年売上</t>
  </si>
  <si>
    <t xml:space="preserve">店舗コード</t>
  </si>
  <si>
    <t xml:space="preserve">施設・店舗名</t>
  </si>
  <si>
    <r>
      <rPr>
        <b val="true"/>
        <sz val="10"/>
        <color rgb="FFFFFFFF"/>
        <rFont val="Meiryo UI"/>
        <family val="0"/>
        <charset val="1"/>
      </rPr>
      <t xml:space="preserve">PB</t>
    </r>
    <r>
      <rPr>
        <b val="true"/>
        <sz val="10"/>
        <color rgb="FFFFFFFF"/>
        <rFont val="WenQuanYi Zen Hei"/>
        <family val="2"/>
      </rPr>
      <t xml:space="preserve">合計</t>
    </r>
  </si>
  <si>
    <r>
      <rPr>
        <b val="true"/>
        <sz val="10"/>
        <color rgb="FFFFFFFF"/>
        <rFont val="Meiryo UI"/>
        <family val="0"/>
        <charset val="1"/>
      </rPr>
      <t xml:space="preserve">P</t>
    </r>
    <r>
      <rPr>
        <b val="true"/>
        <sz val="10"/>
        <color rgb="FFFFFFFF"/>
        <rFont val="WenQuanYi Zen Hei"/>
        <family val="2"/>
      </rPr>
      <t xml:space="preserve">（プロパー）</t>
    </r>
  </si>
  <si>
    <r>
      <rPr>
        <b val="true"/>
        <sz val="10"/>
        <color rgb="FFFFFFFF"/>
        <rFont val="Meiryo UI"/>
        <family val="0"/>
        <charset val="1"/>
      </rPr>
      <t xml:space="preserve">B</t>
    </r>
    <r>
      <rPr>
        <b val="true"/>
        <sz val="10"/>
        <color rgb="FFFFFFFF"/>
        <rFont val="WenQuanYi Zen Hei"/>
        <family val="2"/>
      </rPr>
      <t xml:space="preserve">（バーゲン）</t>
    </r>
  </si>
  <si>
    <r>
      <rPr>
        <b val="true"/>
        <sz val="10"/>
        <color rgb="FFFFFFFF"/>
        <rFont val="Meiryo UI"/>
        <family val="0"/>
        <charset val="1"/>
      </rPr>
      <t xml:space="preserve">PB</t>
    </r>
    <r>
      <rPr>
        <b val="true"/>
        <sz val="10"/>
        <color rgb="FFFFFFFF"/>
        <rFont val="WenQuanYi Zen Hei"/>
        <family val="2"/>
      </rPr>
      <t xml:space="preserve">達成率</t>
    </r>
  </si>
  <si>
    <r>
      <rPr>
        <sz val="9"/>
        <color rgb="FF404040"/>
        <rFont val="Meiryo UI"/>
        <family val="0"/>
        <charset val="1"/>
      </rPr>
      <t xml:space="preserve">※ P</t>
    </r>
    <r>
      <rPr>
        <sz val="9"/>
        <color rgb="FF404040"/>
        <rFont val="WenQuanYi Zen Hei"/>
        <family val="2"/>
      </rPr>
      <t xml:space="preserve">・</t>
    </r>
    <r>
      <rPr>
        <sz val="9"/>
        <color rgb="FF404040"/>
        <rFont val="Meiryo UI"/>
        <family val="0"/>
        <charset val="1"/>
      </rPr>
      <t xml:space="preserve">B</t>
    </r>
    <r>
      <rPr>
        <sz val="9"/>
        <color rgb="FF404040"/>
        <rFont val="WenQuanYi Zen Hei"/>
        <family val="2"/>
      </rPr>
      <t xml:space="preserve">列が空欄の場合は「元データ</t>
    </r>
    <r>
      <rPr>
        <sz val="9"/>
        <color rgb="FF404040"/>
        <rFont val="Meiryo UI"/>
        <family val="0"/>
        <charset val="1"/>
      </rPr>
      <t xml:space="preserve">_P</t>
    </r>
    <r>
      <rPr>
        <sz val="9"/>
        <color rgb="FF404040"/>
        <rFont val="WenQuanYi Zen Hei"/>
        <family val="2"/>
      </rPr>
      <t xml:space="preserve">」「元データ</t>
    </r>
    <r>
      <rPr>
        <sz val="9"/>
        <color rgb="FF404040"/>
        <rFont val="Meiryo UI"/>
        <family val="0"/>
        <charset val="1"/>
      </rPr>
      <t xml:space="preserve">_B</t>
    </r>
    <r>
      <rPr>
        <sz val="9"/>
        <color rgb="FF404040"/>
        <rFont val="WenQuanYi Zen Hei"/>
        <family val="2"/>
      </rPr>
      <t xml:space="preserve">」が未貼付です。</t>
    </r>
    <r>
      <rPr>
        <sz val="9"/>
        <color rgb="FF404040"/>
        <rFont val="Meiryo UI"/>
        <family val="0"/>
        <charset val="1"/>
      </rPr>
      <t xml:space="preserve">B</t>
    </r>
    <r>
      <rPr>
        <sz val="9"/>
        <color rgb="FF404040"/>
        <rFont val="WenQuanYi Zen Hei"/>
        <family val="2"/>
      </rPr>
      <t xml:space="preserve">比率 </t>
    </r>
    <r>
      <rPr>
        <sz val="9"/>
        <color rgb="FF404040"/>
        <rFont val="Meiryo UI"/>
        <family val="0"/>
        <charset val="1"/>
      </rPr>
      <t xml:space="preserve">= B</t>
    </r>
    <r>
      <rPr>
        <sz val="9"/>
        <color rgb="FF404040"/>
        <rFont val="WenQuanYi Zen Hei"/>
        <family val="2"/>
      </rPr>
      <t xml:space="preserve">売上 </t>
    </r>
    <r>
      <rPr>
        <sz val="9"/>
        <color rgb="FF404040"/>
        <rFont val="Meiryo UI"/>
        <family val="0"/>
        <charset val="1"/>
      </rPr>
      <t xml:space="preserve">÷ PB</t>
    </r>
    <r>
      <rPr>
        <sz val="9"/>
        <color rgb="FF404040"/>
        <rFont val="WenQuanYi Zen Hei"/>
        <family val="2"/>
      </rPr>
      <t xml:space="preserve">合計売上。</t>
    </r>
    <r>
      <rPr>
        <sz val="9"/>
        <color rgb="FF404040"/>
        <rFont val="Meiryo UI"/>
        <family val="0"/>
        <charset val="1"/>
      </rPr>
      <t xml:space="preserve">P</t>
    </r>
    <r>
      <rPr>
        <sz val="9"/>
        <color rgb="FF404040"/>
        <rFont val="WenQuanYi Zen Hei"/>
        <family val="2"/>
      </rPr>
      <t xml:space="preserve">売上がマイナスの店舗は返品等がプロパー売上を上回ったもの（元データの値のまま）。</t>
    </r>
  </si>
  <si>
    <r>
      <rPr>
        <sz val="9"/>
        <color rgb="FF404040"/>
        <rFont val="WenQuanYi Zen Hei"/>
        <family val="2"/>
      </rPr>
      <t xml:space="preserve">売上は</t>
    </r>
    <r>
      <rPr>
        <sz val="9"/>
        <color rgb="FF404040"/>
        <rFont val="Meiryo UI"/>
        <family val="0"/>
        <charset val="1"/>
      </rPr>
      <t xml:space="preserve">PB</t>
    </r>
    <r>
      <rPr>
        <sz val="9"/>
        <color rgb="FF404040"/>
        <rFont val="WenQuanYi Zen Hei"/>
        <family val="2"/>
      </rPr>
      <t xml:space="preserve">合計（プロパー＋バーゲン）。ブランド系統ごとに店舗コード順で自動表示します。</t>
    </r>
  </si>
  <si>
    <t xml:space="preserve">取扱ブランド</t>
  </si>
  <si>
    <r>
      <rPr>
        <sz val="9"/>
        <color rgb="FF404040"/>
        <rFont val="WenQuanYi Zen Hei"/>
        <family val="2"/>
      </rPr>
      <t xml:space="preserve">同じ施設の複数ブランドを</t>
    </r>
    <r>
      <rPr>
        <sz val="9"/>
        <color rgb="FF404040"/>
        <rFont val="Meiryo UI"/>
        <family val="0"/>
        <charset val="1"/>
      </rPr>
      <t xml:space="preserve">1</t>
    </r>
    <r>
      <rPr>
        <sz val="9"/>
        <color rgb="FF404040"/>
        <rFont val="WenQuanYi Zen Hei"/>
        <family val="2"/>
      </rPr>
      <t xml:space="preserve">行にまとめた集計（</t>
    </r>
    <r>
      <rPr>
        <sz val="9"/>
        <color rgb="FF404040"/>
        <rFont val="Meiryo UI"/>
        <family val="0"/>
        <charset val="1"/>
      </rPr>
      <t xml:space="preserve">PB</t>
    </r>
    <r>
      <rPr>
        <sz val="9"/>
        <color rgb="FF404040"/>
        <rFont val="WenQuanYi Zen Hei"/>
        <family val="2"/>
      </rPr>
      <t xml:space="preserve">合計）。施設内で最も小さい店舗コードの順に並びます。</t>
    </r>
  </si>
  <si>
    <t xml:space="preserve">複合
（アルチビオ＋ピッコーネ系）</t>
  </si>
  <si>
    <t xml:space="preserve">売上合計</t>
  </si>
  <si>
    <t xml:space="preserve">予算合計</t>
  </si>
  <si>
    <t xml:space="preserve">前年売上合計</t>
  </si>
  <si>
    <r>
      <rPr>
        <b val="true"/>
        <sz val="10"/>
        <color rgb="FFFFFFFF"/>
        <rFont val="WenQuanYi Zen Hei"/>
        <family val="2"/>
      </rPr>
      <t xml:space="preserve">うち</t>
    </r>
    <r>
      <rPr>
        <b val="true"/>
        <sz val="10"/>
        <color rgb="FFFFFFFF"/>
        <rFont val="Meiryo UI"/>
        <family val="0"/>
        <charset val="1"/>
      </rPr>
      <t xml:space="preserve">P</t>
    </r>
    <r>
      <rPr>
        <b val="true"/>
        <sz val="10"/>
        <color rgb="FFFFFFFF"/>
        <rFont val="WenQuanYi Zen Hei"/>
        <family val="2"/>
      </rPr>
      <t xml:space="preserve">売上</t>
    </r>
  </si>
  <si>
    <r>
      <rPr>
        <b val="true"/>
        <sz val="10"/>
        <color rgb="FFFFFFFF"/>
        <rFont val="WenQuanYi Zen Hei"/>
        <family val="2"/>
      </rPr>
      <t xml:space="preserve">うち</t>
    </r>
    <r>
      <rPr>
        <b val="true"/>
        <sz val="10"/>
        <color rgb="FFFFFFFF"/>
        <rFont val="Meiryo UI"/>
        <family val="0"/>
        <charset val="1"/>
      </rPr>
      <t xml:space="preserve">B</t>
    </r>
    <r>
      <rPr>
        <b val="true"/>
        <sz val="10"/>
        <color rgb="FFFFFFFF"/>
        <rFont val="WenQuanYi Zen Hei"/>
        <family val="2"/>
      </rPr>
      <t xml:space="preserve">売上</t>
    </r>
  </si>
  <si>
    <r>
      <rPr>
        <sz val="9"/>
        <color rgb="FF404040"/>
        <rFont val="WenQuanYi Zen Hei"/>
        <family val="2"/>
      </rPr>
      <t xml:space="preserve">※ 太字の施設は複数ブランドを持つ施設。ブランド列の「</t>
    </r>
    <r>
      <rPr>
        <sz val="9"/>
        <color rgb="FF404040"/>
        <rFont val="Meiryo UI"/>
        <family val="0"/>
        <charset val="1"/>
      </rPr>
      <t xml:space="preserve">-</t>
    </r>
    <r>
      <rPr>
        <sz val="9"/>
        <color rgb="FF404040"/>
        <rFont val="WenQuanYi Zen Hei"/>
        <family val="2"/>
      </rPr>
      <t xml:space="preserve">」は該当なし。</t>
    </r>
  </si>
  <si>
    <r>
      <rPr>
        <b val="true"/>
        <sz val="8.8"/>
        <color theme="1"/>
        <rFont val="WenQuanYi Zen Hei"/>
        <family val="2"/>
      </rPr>
      <t xml:space="preserve">指定月　【前年同月 </t>
    </r>
    <r>
      <rPr>
        <b val="true"/>
        <sz val="8.8"/>
        <color theme="1"/>
        <rFont val="MS PGothic"/>
        <family val="3"/>
        <charset val="128"/>
      </rPr>
      <t xml:space="preserve">2025/09</t>
    </r>
    <r>
      <rPr>
        <b val="true"/>
        <sz val="8.8"/>
        <color theme="1"/>
        <rFont val="WenQuanYi Zen Hei"/>
        <family val="2"/>
      </rPr>
      <t xml:space="preserve">】</t>
    </r>
  </si>
  <si>
    <t xml:space="preserve">詳細</t>
  </si>
  <si>
    <t xml:space="preserve">予算情報及び対比</t>
  </si>
  <si>
    <t xml:space="preserve">前年同月情報及び対比</t>
  </si>
  <si>
    <t xml:space="preserve">達成率</t>
  </si>
  <si>
    <t xml:space="preserve">差額</t>
  </si>
  <si>
    <r>
      <rPr>
        <sz val="8.8"/>
        <color theme="1"/>
        <rFont val="MS PGothic"/>
        <family val="3"/>
        <charset val="128"/>
      </rPr>
      <t xml:space="preserve">(32580900)</t>
    </r>
    <r>
      <rPr>
        <sz val="8.8"/>
        <color theme="1"/>
        <rFont val="WenQuanYi Zen Hei"/>
        <family val="2"/>
      </rPr>
      <t xml:space="preserve">阪急三番街店ピッコーネ</t>
    </r>
  </si>
  <si>
    <r>
      <rPr>
        <sz val="8.8"/>
        <color theme="1"/>
        <rFont val="MS PGothic"/>
        <family val="3"/>
        <charset val="128"/>
      </rPr>
      <t xml:space="preserve">(32573700)</t>
    </r>
    <r>
      <rPr>
        <sz val="8.8"/>
        <color theme="1"/>
        <rFont val="WenQuanYi Zen Hei"/>
        <family val="2"/>
      </rPr>
      <t xml:space="preserve">近鉄百貨店上本町店ｽﾀｼﾞｵﾋﾟｯｺｰﾈ・ﾋﾟｯｺｰﾈｸﾗﾌ</t>
    </r>
  </si>
  <si>
    <r>
      <rPr>
        <sz val="8.8"/>
        <color theme="1"/>
        <rFont val="MS PGothic"/>
        <family val="3"/>
        <charset val="128"/>
      </rPr>
      <t xml:space="preserve">(32676200)</t>
    </r>
    <r>
      <rPr>
        <sz val="8.8"/>
        <color theme="1"/>
        <rFont val="WenQuanYi Zen Hei"/>
        <family val="2"/>
      </rPr>
      <t xml:space="preserve">東武宇都宮百貨店ｽﾀｼﾞｵﾋﾟｯｺｰﾈ・ﾋﾟｯｺｰﾈｸﾗﾌﾞ</t>
    </r>
  </si>
  <si>
    <r>
      <rPr>
        <sz val="8.8"/>
        <color theme="1"/>
        <rFont val="MS PGothic"/>
        <family val="3"/>
        <charset val="128"/>
      </rPr>
      <t xml:space="preserve">(32676300)</t>
    </r>
    <r>
      <rPr>
        <sz val="8.8"/>
        <color theme="1"/>
        <rFont val="WenQuanYi Zen Hei"/>
        <family val="2"/>
      </rPr>
      <t xml:space="preserve">新宿高島屋ｽﾀｼﾞｵﾋﾟｯｺｰﾈ・ﾋﾟｯｺｰﾈｸﾗﾌﾞ</t>
    </r>
  </si>
  <si>
    <r>
      <rPr>
        <sz val="8.8"/>
        <color theme="1"/>
        <rFont val="MS PGothic"/>
        <family val="3"/>
        <charset val="128"/>
      </rPr>
      <t xml:space="preserve">(32580600)</t>
    </r>
    <r>
      <rPr>
        <sz val="8.8"/>
        <color theme="1"/>
        <rFont val="WenQuanYi Zen Hei"/>
        <family val="2"/>
      </rPr>
      <t xml:space="preserve">ラポルテ芦屋店ピッコーネ</t>
    </r>
  </si>
  <si>
    <r>
      <rPr>
        <sz val="8.8"/>
        <color theme="1"/>
        <rFont val="MS PGothic"/>
        <family val="3"/>
        <charset val="128"/>
      </rPr>
      <t xml:space="preserve">(32670600)</t>
    </r>
    <r>
      <rPr>
        <sz val="8.8"/>
        <color theme="1"/>
        <rFont val="WenQuanYi Zen Hei"/>
        <family val="2"/>
      </rPr>
      <t xml:space="preserve">高島屋新宿店アルチビオ</t>
    </r>
  </si>
  <si>
    <r>
      <rPr>
        <sz val="8.8"/>
        <color theme="1"/>
        <rFont val="MS PGothic"/>
        <family val="3"/>
        <charset val="128"/>
      </rPr>
      <t xml:space="preserve">(32673500)</t>
    </r>
    <r>
      <rPr>
        <sz val="8.8"/>
        <color theme="1"/>
        <rFont val="WenQuanYi Zen Hei"/>
        <family val="2"/>
      </rPr>
      <t xml:space="preserve">日本橋三越本店アルチビオ</t>
    </r>
  </si>
  <si>
    <r>
      <rPr>
        <sz val="8.8"/>
        <color theme="1"/>
        <rFont val="MS PGothic"/>
        <family val="3"/>
        <charset val="128"/>
      </rPr>
      <t xml:space="preserve">(32674100)</t>
    </r>
    <r>
      <rPr>
        <sz val="8.8"/>
        <color theme="1"/>
        <rFont val="WenQuanYi Zen Hei"/>
        <family val="2"/>
      </rPr>
      <t xml:space="preserve">東武百貨店船橋店ｽﾀｼﾞｵﾋﾟｯｺｰﾈ・ﾋﾟｯｺｰﾈｸﾗﾌﾞ</t>
    </r>
  </si>
  <si>
    <r>
      <rPr>
        <sz val="8.8"/>
        <color theme="1"/>
        <rFont val="MS PGothic"/>
        <family val="3"/>
        <charset val="128"/>
      </rPr>
      <t xml:space="preserve">(32570700)</t>
    </r>
    <r>
      <rPr>
        <sz val="8.8"/>
        <color theme="1"/>
        <rFont val="WenQuanYi Zen Hei"/>
        <family val="2"/>
      </rPr>
      <t xml:space="preserve">西宮阪急店ピッコーネクラブ・アルチビオ</t>
    </r>
  </si>
  <si>
    <r>
      <rPr>
        <sz val="8.8"/>
        <color theme="1"/>
        <rFont val="MS PGothic"/>
        <family val="3"/>
        <charset val="128"/>
      </rPr>
      <t xml:space="preserve">(32573800)</t>
    </r>
    <r>
      <rPr>
        <sz val="8.8"/>
        <color theme="1"/>
        <rFont val="WenQuanYi Zen Hei"/>
        <family val="2"/>
      </rPr>
      <t xml:space="preserve">近鉄百貨店奈良店ｽﾀｼﾞｵﾋﾟｯｺｰﾈ・ﾋﾟｯｺｰﾈｸﾗﾌﾞ</t>
    </r>
  </si>
  <si>
    <r>
      <rPr>
        <sz val="8.8"/>
        <color theme="1"/>
        <rFont val="MS PGothic"/>
        <family val="3"/>
        <charset val="128"/>
      </rPr>
      <t xml:space="preserve">(32575700)</t>
    </r>
    <r>
      <rPr>
        <sz val="8.8"/>
        <color theme="1"/>
        <rFont val="WenQuanYi Zen Hei"/>
        <family val="2"/>
      </rPr>
      <t xml:space="preserve">名古屋三越栄店スタジオピッコーネ</t>
    </r>
  </si>
  <si>
    <r>
      <rPr>
        <sz val="8.8"/>
        <color theme="1"/>
        <rFont val="MS PGothic"/>
        <family val="3"/>
        <charset val="128"/>
      </rPr>
      <t xml:space="preserve">(32674500)</t>
    </r>
    <r>
      <rPr>
        <sz val="8.8"/>
        <color theme="1"/>
        <rFont val="WenQuanYi Zen Hei"/>
        <family val="2"/>
      </rPr>
      <t xml:space="preserve">仙台三越ｽﾀｼﾞｵﾋﾟｯｺｰﾈ・ﾋﾟｯｺｰﾈｸﾗﾌﾞ</t>
    </r>
  </si>
  <si>
    <r>
      <rPr>
        <sz val="8.8"/>
        <color theme="1"/>
        <rFont val="MS PGothic"/>
        <family val="3"/>
        <charset val="128"/>
      </rPr>
      <t xml:space="preserve">(32675700)</t>
    </r>
    <r>
      <rPr>
        <sz val="8.8"/>
        <color theme="1"/>
        <rFont val="WenQuanYi Zen Hei"/>
        <family val="2"/>
      </rPr>
      <t xml:space="preserve">静岡伊勢丹ｽﾀｼﾞｵﾋﾟｯｺｰﾈ・ﾋﾟｯｺｰﾈｸﾗﾌﾞ</t>
    </r>
  </si>
  <si>
    <r>
      <rPr>
        <sz val="8.8"/>
        <color theme="1"/>
        <rFont val="MS PGothic"/>
        <family val="3"/>
        <charset val="128"/>
      </rPr>
      <t xml:space="preserve">(32570800)</t>
    </r>
    <r>
      <rPr>
        <sz val="8.8"/>
        <color theme="1"/>
        <rFont val="WenQuanYi Zen Hei"/>
        <family val="2"/>
      </rPr>
      <t xml:space="preserve">高島屋京都店アルチビオ・ピッコーネクラブ</t>
    </r>
  </si>
  <si>
    <r>
      <rPr>
        <sz val="8.8"/>
        <color theme="1"/>
        <rFont val="MS PGothic"/>
        <family val="3"/>
        <charset val="128"/>
      </rPr>
      <t xml:space="preserve">(32572600)</t>
    </r>
    <r>
      <rPr>
        <sz val="8.8"/>
        <color theme="1"/>
        <rFont val="WenQuanYi Zen Hei"/>
        <family val="2"/>
      </rPr>
      <t xml:space="preserve">大丸福岡天神店ｽﾀｼﾞｵﾋﾟｯｺｰﾈ・ﾋﾟｯｺｰﾈｸﾗﾌﾞ</t>
    </r>
  </si>
  <si>
    <r>
      <rPr>
        <sz val="8.8"/>
        <color theme="1"/>
        <rFont val="MS PGothic"/>
        <family val="3"/>
        <charset val="128"/>
      </rPr>
      <t xml:space="preserve">(32673300)</t>
    </r>
    <r>
      <rPr>
        <sz val="8.8"/>
        <color theme="1"/>
        <rFont val="WenQuanYi Zen Hei"/>
        <family val="2"/>
      </rPr>
      <t xml:space="preserve">松屋銀座本店ｽﾀｼﾞｵﾋﾟｯｺｰﾈ・ﾋﾟｯｺｰﾈｸﾗﾌﾞ</t>
    </r>
  </si>
  <si>
    <r>
      <rPr>
        <sz val="8.8"/>
        <color theme="1"/>
        <rFont val="MS PGothic"/>
        <family val="3"/>
        <charset val="128"/>
      </rPr>
      <t xml:space="preserve">(32570100)</t>
    </r>
    <r>
      <rPr>
        <sz val="8.8"/>
        <color theme="1"/>
        <rFont val="WenQuanYi Zen Hei"/>
        <family val="2"/>
      </rPr>
      <t xml:space="preserve">高島屋大阪店アルチビオ</t>
    </r>
  </si>
  <si>
    <r>
      <rPr>
        <sz val="8.8"/>
        <color theme="1"/>
        <rFont val="MS PGothic"/>
        <family val="3"/>
        <charset val="128"/>
      </rPr>
      <t xml:space="preserve">(32670900)</t>
    </r>
    <r>
      <rPr>
        <sz val="8.8"/>
        <color theme="1"/>
        <rFont val="WenQuanYi Zen Hei"/>
        <family val="2"/>
      </rPr>
      <t xml:space="preserve">東武百貨店池袋店ｽﾀｼﾞｵﾋﾟｯｺｰﾈ・ﾋﾟｯｺｰﾈｸﾗﾌﾞ</t>
    </r>
  </si>
  <si>
    <r>
      <rPr>
        <sz val="8.8"/>
        <color theme="1"/>
        <rFont val="MS PGothic"/>
        <family val="3"/>
        <charset val="128"/>
      </rPr>
      <t xml:space="preserve">(32573900)</t>
    </r>
    <r>
      <rPr>
        <sz val="8.8"/>
        <color theme="1"/>
        <rFont val="WenQuanYi Zen Hei"/>
        <family val="2"/>
      </rPr>
      <t xml:space="preserve">近鉄百貨店橿原店スタジオピッコーネ</t>
    </r>
  </si>
  <si>
    <r>
      <rPr>
        <sz val="8.8"/>
        <color theme="1"/>
        <rFont val="MS PGothic"/>
        <family val="3"/>
        <charset val="128"/>
      </rPr>
      <t xml:space="preserve">(32671900)</t>
    </r>
    <r>
      <rPr>
        <sz val="8.8"/>
        <color theme="1"/>
        <rFont val="WenQuanYi Zen Hei"/>
        <family val="2"/>
      </rPr>
      <t xml:space="preserve">松坂屋上野店ｽﾀｼﾞｵﾋﾟｯｺｰﾈ・ﾋﾟｯｺｰﾈｸﾗﾌﾞ</t>
    </r>
  </si>
  <si>
    <r>
      <rPr>
        <sz val="8.8"/>
        <color theme="1"/>
        <rFont val="MS PGothic"/>
        <family val="3"/>
        <charset val="128"/>
      </rPr>
      <t xml:space="preserve">(32673900)</t>
    </r>
    <r>
      <rPr>
        <sz val="8.8"/>
        <color theme="1"/>
        <rFont val="WenQuanYi Zen Hei"/>
        <family val="2"/>
      </rPr>
      <t xml:space="preserve">高島屋高崎店アルチビオ</t>
    </r>
  </si>
  <si>
    <r>
      <rPr>
        <sz val="8.8"/>
        <color theme="1"/>
        <rFont val="MS PGothic"/>
        <family val="3"/>
        <charset val="128"/>
      </rPr>
      <t xml:space="preserve">(32571600)</t>
    </r>
    <r>
      <rPr>
        <sz val="8.8"/>
        <color theme="1"/>
        <rFont val="WenQuanYi Zen Hei"/>
        <family val="2"/>
      </rPr>
      <t xml:space="preserve">ジェイアール名古屋タカシマヤ店アルチビオ</t>
    </r>
  </si>
  <si>
    <r>
      <rPr>
        <sz val="8.8"/>
        <color theme="1"/>
        <rFont val="MS PGothic"/>
        <family val="3"/>
        <charset val="128"/>
      </rPr>
      <t xml:space="preserve">(32573200)</t>
    </r>
    <r>
      <rPr>
        <sz val="8.8"/>
        <color theme="1"/>
        <rFont val="WenQuanYi Zen Hei"/>
        <family val="2"/>
      </rPr>
      <t xml:space="preserve">あべのハルカス近鉄本店スタジオピッコーネ</t>
    </r>
  </si>
  <si>
    <r>
      <rPr>
        <sz val="8.8"/>
        <color theme="1"/>
        <rFont val="MS PGothic"/>
        <family val="3"/>
        <charset val="128"/>
      </rPr>
      <t xml:space="preserve">(32673800)</t>
    </r>
    <r>
      <rPr>
        <sz val="8.8"/>
        <color theme="1"/>
        <rFont val="WenQuanYi Zen Hei"/>
        <family val="2"/>
      </rPr>
      <t xml:space="preserve">高島屋横浜店アルチビオ</t>
    </r>
  </si>
  <si>
    <r>
      <rPr>
        <sz val="8.8"/>
        <color theme="1"/>
        <rFont val="MS PGothic"/>
        <family val="3"/>
        <charset val="128"/>
      </rPr>
      <t xml:space="preserve">(32573400)</t>
    </r>
    <r>
      <rPr>
        <sz val="8.8"/>
        <color theme="1"/>
        <rFont val="WenQuanYi Zen Hei"/>
        <family val="2"/>
      </rPr>
      <t xml:space="preserve">近鉄百貨店和歌山店ｽﾀｼﾞｵﾋﾟｯｺｰﾈ・ﾋﾟｯｺｰﾈｸﾗﾌ</t>
    </r>
  </si>
  <si>
    <r>
      <rPr>
        <sz val="8.8"/>
        <color theme="1"/>
        <rFont val="MS PGothic"/>
        <family val="3"/>
        <charset val="128"/>
      </rPr>
      <t xml:space="preserve">(32580400)</t>
    </r>
    <r>
      <rPr>
        <sz val="8.8"/>
        <color theme="1"/>
        <rFont val="WenQuanYi Zen Hei"/>
        <family val="2"/>
      </rPr>
      <t xml:space="preserve">ハービス</t>
    </r>
    <r>
      <rPr>
        <sz val="8.8"/>
        <color theme="1"/>
        <rFont val="MS PGothic"/>
        <family val="3"/>
        <charset val="128"/>
      </rPr>
      <t xml:space="preserve">PLAZA</t>
    </r>
    <r>
      <rPr>
        <sz val="8.8"/>
        <color theme="1"/>
        <rFont val="WenQuanYi Zen Hei"/>
        <family val="2"/>
      </rPr>
      <t xml:space="preserve">店アルチビオ</t>
    </r>
  </si>
  <si>
    <r>
      <rPr>
        <sz val="8.8"/>
        <color theme="1"/>
        <rFont val="MS PGothic"/>
        <family val="3"/>
        <charset val="128"/>
      </rPr>
      <t xml:space="preserve">(32671500)</t>
    </r>
    <r>
      <rPr>
        <sz val="8.8"/>
        <color theme="1"/>
        <rFont val="WenQuanYi Zen Hei"/>
        <family val="2"/>
      </rPr>
      <t xml:space="preserve">札幌三越ピッコーネ・アルチビオ</t>
    </r>
  </si>
  <si>
    <r>
      <rPr>
        <sz val="8.8"/>
        <color theme="1"/>
        <rFont val="MS PGothic"/>
        <family val="3"/>
        <charset val="128"/>
      </rPr>
      <t xml:space="preserve">(32573300)</t>
    </r>
    <r>
      <rPr>
        <sz val="8.8"/>
        <color theme="1"/>
        <rFont val="WenQuanYi Zen Hei"/>
        <family val="2"/>
      </rPr>
      <t xml:space="preserve">あべのハルカス近鉄本店アルチビオ・ピッコ</t>
    </r>
  </si>
  <si>
    <r>
      <rPr>
        <sz val="8.8"/>
        <color theme="1"/>
        <rFont val="MS PGothic"/>
        <family val="3"/>
        <charset val="128"/>
      </rPr>
      <t xml:space="preserve">(32570200)</t>
    </r>
    <r>
      <rPr>
        <sz val="8.8"/>
        <color theme="1"/>
        <rFont val="WenQuanYi Zen Hei"/>
        <family val="2"/>
      </rPr>
      <t xml:space="preserve">高島屋大阪店ｽﾀｼﾞｵﾋﾟｯｺｰﾈ・ﾋﾟｯｺｰﾈｸﾗﾌﾞ</t>
    </r>
  </si>
  <si>
    <r>
      <rPr>
        <sz val="8.8"/>
        <color theme="1"/>
        <rFont val="MS PGothic"/>
        <family val="3"/>
        <charset val="128"/>
      </rPr>
      <t xml:space="preserve">(32574100)</t>
    </r>
    <r>
      <rPr>
        <sz val="8.8"/>
        <color theme="1"/>
        <rFont val="WenQuanYi Zen Hei"/>
        <family val="2"/>
      </rPr>
      <t xml:space="preserve">広島三越店スタジオピッコーネ</t>
    </r>
  </si>
  <si>
    <r>
      <rPr>
        <sz val="8.8"/>
        <color theme="1"/>
        <rFont val="MS PGothic"/>
        <family val="3"/>
        <charset val="128"/>
      </rPr>
      <t xml:space="preserve">(32675300)</t>
    </r>
    <r>
      <rPr>
        <sz val="8.8"/>
        <color theme="1"/>
        <rFont val="WenQuanYi Zen Hei"/>
        <family val="2"/>
      </rPr>
      <t xml:space="preserve">ピッコーネ　東急百貨店吉祥寺店</t>
    </r>
  </si>
  <si>
    <r>
      <rPr>
        <sz val="8.8"/>
        <color theme="1"/>
        <rFont val="MS PGothic"/>
        <family val="3"/>
        <charset val="128"/>
      </rPr>
      <t xml:space="preserve">(32675600)</t>
    </r>
    <r>
      <rPr>
        <sz val="8.8"/>
        <color theme="1"/>
        <rFont val="WenQuanYi Zen Hei"/>
        <family val="2"/>
      </rPr>
      <t xml:space="preserve">ながの東急百貨店ｽﾀｼﾞｵﾋﾟｯｺｰﾈ・ﾋﾟｯｺｰﾈｸﾗﾌﾞ</t>
    </r>
  </si>
  <si>
    <r>
      <rPr>
        <sz val="8.8"/>
        <color theme="1"/>
        <rFont val="MS PGothic"/>
        <family val="3"/>
        <charset val="128"/>
      </rPr>
      <t xml:space="preserve">(32675100)</t>
    </r>
    <r>
      <rPr>
        <sz val="8.8"/>
        <color theme="1"/>
        <rFont val="WenQuanYi Zen Hei"/>
        <family val="2"/>
      </rPr>
      <t xml:space="preserve">ﾋﾟｯｺｰﾈ　東急百貨店たまﾌﾟﾗｰｻﾞ店</t>
    </r>
  </si>
  <si>
    <r>
      <rPr>
        <sz val="8.8"/>
        <color theme="1"/>
        <rFont val="MS PGothic"/>
        <family val="3"/>
        <charset val="128"/>
      </rPr>
      <t xml:space="preserve">(32580700)</t>
    </r>
    <r>
      <rPr>
        <sz val="8.8"/>
        <color theme="1"/>
        <rFont val="WenQuanYi Zen Hei"/>
        <family val="2"/>
      </rPr>
      <t xml:space="preserve">ホテルニューオータニ大阪店ピッコーネ</t>
    </r>
  </si>
  <si>
    <r>
      <rPr>
        <sz val="8.8"/>
        <color theme="1"/>
        <rFont val="MS PGothic"/>
        <family val="3"/>
        <charset val="128"/>
      </rPr>
      <t xml:space="preserve">(32670400)</t>
    </r>
    <r>
      <rPr>
        <sz val="8.8"/>
        <color theme="1"/>
        <rFont val="WenQuanYi Zen Hei"/>
        <family val="2"/>
      </rPr>
      <t xml:space="preserve">高島屋高崎店ｽﾀｼﾞｵﾋﾟｯｺｰﾈ・ﾋﾟｯｺｰﾈｸﾗﾌﾞ</t>
    </r>
  </si>
  <si>
    <r>
      <rPr>
        <sz val="8.8"/>
        <color theme="1"/>
        <rFont val="MS PGothic"/>
        <family val="3"/>
        <charset val="128"/>
      </rPr>
      <t xml:space="preserve">(32572200)</t>
    </r>
    <r>
      <rPr>
        <sz val="8.8"/>
        <color theme="1"/>
        <rFont val="WenQuanYi Zen Hei"/>
        <family val="2"/>
      </rPr>
      <t xml:space="preserve">松坂屋名古屋店アルチビオ・ピッコーネクラ</t>
    </r>
  </si>
  <si>
    <r>
      <rPr>
        <sz val="8.8"/>
        <color theme="1"/>
        <rFont val="MS PGothic"/>
        <family val="3"/>
        <charset val="128"/>
      </rPr>
      <t xml:space="preserve">(32671400)</t>
    </r>
    <r>
      <rPr>
        <sz val="8.8"/>
        <color theme="1"/>
        <rFont val="WenQuanYi Zen Hei"/>
        <family val="2"/>
      </rPr>
      <t xml:space="preserve">日本橋三越本店ｽﾀｼﾞｵﾋﾟｯｺｰﾈ・ﾋﾟｯｺｰﾈｸﾗﾌﾞ</t>
    </r>
  </si>
  <si>
    <r>
      <rPr>
        <sz val="8.8"/>
        <color theme="1"/>
        <rFont val="MS PGothic"/>
        <family val="3"/>
        <charset val="128"/>
      </rPr>
      <t xml:space="preserve">(32674900)</t>
    </r>
    <r>
      <rPr>
        <sz val="8.8"/>
        <color theme="1"/>
        <rFont val="WenQuanYi Zen Hei"/>
        <family val="2"/>
      </rPr>
      <t xml:space="preserve">松屋銀座本店アルチビオ</t>
    </r>
  </si>
  <si>
    <r>
      <rPr>
        <sz val="8.8"/>
        <color theme="1"/>
        <rFont val="MS PGothic"/>
        <family val="3"/>
        <charset val="128"/>
      </rPr>
      <t xml:space="preserve">(32675800)</t>
    </r>
    <r>
      <rPr>
        <sz val="8.8"/>
        <color theme="1"/>
        <rFont val="WenQuanYi Zen Hei"/>
        <family val="2"/>
      </rPr>
      <t xml:space="preserve">伊勢丹立川店ｽﾀｼﾞｵﾋﾟｯｺｰﾈ・ﾋﾟｯｺｰﾈｸﾗﾌﾞ</t>
    </r>
  </si>
  <si>
    <r>
      <rPr>
        <sz val="8.8"/>
        <color theme="1"/>
        <rFont val="MS PGothic"/>
        <family val="3"/>
        <charset val="128"/>
      </rPr>
      <t xml:space="preserve">(32581000)</t>
    </r>
    <r>
      <rPr>
        <sz val="8.8"/>
        <color theme="1"/>
        <rFont val="WenQuanYi Zen Hei"/>
        <family val="2"/>
      </rPr>
      <t xml:space="preserve">堀江店アルチビオ</t>
    </r>
  </si>
  <si>
    <r>
      <rPr>
        <sz val="8.8"/>
        <color theme="1"/>
        <rFont val="MS PGothic"/>
        <family val="3"/>
        <charset val="128"/>
      </rPr>
      <t xml:space="preserve">(32670200)</t>
    </r>
    <r>
      <rPr>
        <sz val="8.8"/>
        <color theme="1"/>
        <rFont val="WenQuanYi Zen Hei"/>
        <family val="2"/>
      </rPr>
      <t xml:space="preserve">髙島屋横浜店ｽﾀｼﾞｵﾋﾟｯｺｰﾈ・ﾋﾟｯｺｰﾈｸﾗﾌﾞ</t>
    </r>
  </si>
  <si>
    <r>
      <rPr>
        <sz val="8.8"/>
        <color theme="1"/>
        <rFont val="MS PGothic"/>
        <family val="3"/>
        <charset val="128"/>
      </rPr>
      <t xml:space="preserve">(32674400)</t>
    </r>
    <r>
      <rPr>
        <sz val="8.8"/>
        <color theme="1"/>
        <rFont val="WenQuanYi Zen Hei"/>
        <family val="2"/>
      </rPr>
      <t xml:space="preserve">伊勢丹浦和店アルチビオ</t>
    </r>
  </si>
  <si>
    <r>
      <rPr>
        <sz val="8.8"/>
        <color theme="1"/>
        <rFont val="MS PGothic"/>
        <family val="3"/>
        <charset val="128"/>
      </rPr>
      <t xml:space="preserve">(32680600)</t>
    </r>
    <r>
      <rPr>
        <sz val="8.8"/>
        <color theme="1"/>
        <rFont val="WenQuanYi Zen Hei"/>
        <family val="2"/>
      </rPr>
      <t xml:space="preserve">那須ｶﾞｰﾃﾞﾝｱｳﾄﾚｯﾄ店アルチビオ</t>
    </r>
  </si>
  <si>
    <r>
      <rPr>
        <sz val="8.8"/>
        <color theme="1"/>
        <rFont val="MS PGothic"/>
        <family val="3"/>
        <charset val="128"/>
      </rPr>
      <t xml:space="preserve">(32676700)</t>
    </r>
    <r>
      <rPr>
        <sz val="8.8"/>
        <color theme="1"/>
        <rFont val="WenQuanYi Zen Hei"/>
        <family val="2"/>
      </rPr>
      <t xml:space="preserve">大宮高島屋ｽﾀｼﾞｵﾋﾟｯｺｰﾈ・ﾋﾟｯｺｰﾈｸﾗﾌﾞ</t>
    </r>
  </si>
  <si>
    <t xml:space="preserve">店舗マスタ</t>
  </si>
  <si>
    <t xml:space="preserve">黄色の列（店舗コード・施設名・取扱ブランド・ブランド系統）だけ入力します。新店は空いている行に追加。灰色の列は自動計算なので編集不要です。</t>
  </si>
  <si>
    <t xml:space="preserve">No</t>
  </si>
  <si>
    <t xml:space="preserve">今月データ</t>
  </si>
  <si>
    <r>
      <rPr>
        <b val="true"/>
        <sz val="10"/>
        <color rgb="FFFFFFFF"/>
        <rFont val="Meiryo UI"/>
        <family val="0"/>
        <charset val="1"/>
      </rPr>
      <t xml:space="preserve">PB</t>
    </r>
    <r>
      <rPr>
        <b val="true"/>
        <sz val="10"/>
        <color rgb="FFFFFFFF"/>
        <rFont val="WenQuanYi Zen Hei"/>
        <family val="2"/>
      </rPr>
      <t xml:space="preserve">売上</t>
    </r>
  </si>
  <si>
    <t xml:space="preserve">予算</t>
  </si>
  <si>
    <t xml:space="preserve">系統内順位</t>
  </si>
  <si>
    <t xml:space="preserve">明細キー</t>
  </si>
  <si>
    <t xml:space="preserve">施設初出</t>
  </si>
  <si>
    <t xml:space="preserve">施設最小コード</t>
  </si>
  <si>
    <t xml:space="preserve">施設順位</t>
  </si>
  <si>
    <r>
      <rPr>
        <b val="true"/>
        <sz val="10"/>
        <color rgb="FFFFFFFF"/>
        <rFont val="Meiryo UI"/>
        <family val="0"/>
        <charset val="1"/>
      </rPr>
      <t xml:space="preserve">B</t>
    </r>
    <r>
      <rPr>
        <b val="true"/>
        <sz val="10"/>
        <color rgb="FFFFFFFF"/>
        <rFont val="WenQuanYi Zen Hei"/>
        <family val="2"/>
      </rPr>
      <t xml:space="preserve">売上</t>
    </r>
    <r>
      <rPr>
        <b val="true"/>
        <sz val="10"/>
        <color rgb="FFFFFFFF"/>
        <rFont val="Meiryo UI"/>
        <family val="0"/>
        <charset val="1"/>
      </rPr>
      <t xml:space="preserve">(PB-P)</t>
    </r>
  </si>
  <si>
    <r>
      <rPr>
        <b val="true"/>
        <sz val="10"/>
        <color rgb="FFFFFFFF"/>
        <rFont val="Meiryo UI"/>
        <family val="0"/>
        <charset val="1"/>
      </rPr>
      <t xml:space="preserve">B</t>
    </r>
    <r>
      <rPr>
        <b val="true"/>
        <sz val="10"/>
        <color rgb="FFFFFFFF"/>
        <rFont val="WenQuanYi Zen Hei"/>
        <family val="2"/>
      </rPr>
      <t xml:space="preserve">前年売上</t>
    </r>
    <r>
      <rPr>
        <b val="true"/>
        <sz val="10"/>
        <color rgb="FFFFFFFF"/>
        <rFont val="Meiryo UI"/>
        <family val="0"/>
        <charset val="1"/>
      </rPr>
      <t xml:space="preserve">(PB-P)</t>
    </r>
  </si>
  <si>
    <t xml:space="preserve">【入力ルール】</t>
  </si>
  <si>
    <t xml:space="preserve">高島屋大阪店</t>
  </si>
  <si>
    <t xml:space="preserve">・店舗コードは数字のみ（括弧なし）で入力。</t>
  </si>
  <si>
    <t xml:space="preserve">ジェイアール名古屋タカシマヤ店</t>
  </si>
  <si>
    <r>
      <rPr>
        <sz val="9"/>
        <color rgb="FF404040"/>
        <rFont val="WenQuanYi Zen Hei"/>
        <family val="2"/>
      </rPr>
      <t xml:space="preserve">・施設名が同じ店舗は「施設別」シートで</t>
    </r>
    <r>
      <rPr>
        <sz val="9"/>
        <color rgb="FF404040"/>
        <rFont val="Meiryo UI"/>
        <family val="0"/>
        <charset val="1"/>
      </rPr>
      <t xml:space="preserve">1</t>
    </r>
    <r>
      <rPr>
        <sz val="9"/>
        <color rgb="FF404040"/>
        <rFont val="WenQuanYi Zen Hei"/>
        <family val="2"/>
      </rPr>
      <t xml:space="preserve">行にまとまります（表記を揃えること）。</t>
    </r>
  </si>
  <si>
    <r>
      <rPr>
        <sz val="10"/>
        <rFont val="WenQuanYi Zen Hei"/>
        <family val="2"/>
      </rPr>
      <t xml:space="preserve">ハービス</t>
    </r>
    <r>
      <rPr>
        <sz val="10"/>
        <rFont val="Meiryo UI"/>
        <family val="0"/>
        <charset val="1"/>
      </rPr>
      <t xml:space="preserve">PLAZA</t>
    </r>
    <r>
      <rPr>
        <sz val="10"/>
        <rFont val="WenQuanYi Zen Hei"/>
        <family val="2"/>
      </rPr>
      <t xml:space="preserve">店</t>
    </r>
  </si>
  <si>
    <r>
      <rPr>
        <sz val="9"/>
        <color rgb="FF404040"/>
        <rFont val="WenQuanYi Zen Hei"/>
        <family val="2"/>
      </rPr>
      <t xml:space="preserve">・ブランド系統はプルダウンから選択（</t>
    </r>
    <r>
      <rPr>
        <sz val="9"/>
        <color rgb="FF404040"/>
        <rFont val="Meiryo UI"/>
        <family val="0"/>
        <charset val="1"/>
      </rPr>
      <t xml:space="preserve">4</t>
    </r>
    <r>
      <rPr>
        <sz val="9"/>
        <color rgb="FF404040"/>
        <rFont val="WenQuanYi Zen Hei"/>
        <family val="2"/>
      </rPr>
      <t xml:space="preserve">種類）。</t>
    </r>
  </si>
  <si>
    <t xml:space="preserve">堀江店</t>
  </si>
  <si>
    <t xml:space="preserve">・閉店した店舗は消さずに残しても問題ありません（データがない月は明細に出ません）。</t>
  </si>
  <si>
    <t xml:space="preserve">高島屋新宿店</t>
  </si>
  <si>
    <r>
      <rPr>
        <sz val="9"/>
        <color rgb="FF404040"/>
        <rFont val="WenQuanYi Zen Hei"/>
        <family val="2"/>
      </rPr>
      <t xml:space="preserve">・</t>
    </r>
    <r>
      <rPr>
        <sz val="9"/>
        <color rgb="FF404040"/>
        <rFont val="Meiryo UI"/>
        <family val="0"/>
        <charset val="1"/>
      </rPr>
      <t xml:space="preserve">B</t>
    </r>
    <r>
      <rPr>
        <sz val="9"/>
        <color rgb="FF404040"/>
        <rFont val="WenQuanYi Zen Hei"/>
        <family val="2"/>
      </rPr>
      <t xml:space="preserve">売上／</t>
    </r>
    <r>
      <rPr>
        <sz val="9"/>
        <color rgb="FF404040"/>
        <rFont val="Meiryo UI"/>
        <family val="0"/>
        <charset val="1"/>
      </rPr>
      <t xml:space="preserve">B</t>
    </r>
    <r>
      <rPr>
        <sz val="9"/>
        <color rgb="FF404040"/>
        <rFont val="WenQuanYi Zen Hei"/>
        <family val="2"/>
      </rPr>
      <t xml:space="preserve">前年売上は「</t>
    </r>
    <r>
      <rPr>
        <sz val="9"/>
        <color rgb="FF404040"/>
        <rFont val="Meiryo UI"/>
        <family val="0"/>
        <charset val="1"/>
      </rPr>
      <t xml:space="preserve">PB</t>
    </r>
    <r>
      <rPr>
        <sz val="9"/>
        <color rgb="FF404040"/>
        <rFont val="WenQuanYi Zen Hei"/>
        <family val="2"/>
      </rPr>
      <t xml:space="preserve">合計 − </t>
    </r>
    <r>
      <rPr>
        <sz val="9"/>
        <color rgb="FF404040"/>
        <rFont val="Meiryo UI"/>
        <family val="0"/>
        <charset val="1"/>
      </rPr>
      <t xml:space="preserve">P</t>
    </r>
    <r>
      <rPr>
        <sz val="9"/>
        <color rgb="FF404040"/>
        <rFont val="WenQuanYi Zen Hei"/>
        <family val="2"/>
      </rPr>
      <t xml:space="preserve">」で計算（</t>
    </r>
    <r>
      <rPr>
        <sz val="9"/>
        <color rgb="FF404040"/>
        <rFont val="Meiryo UI"/>
        <family val="0"/>
        <charset val="1"/>
      </rPr>
      <t xml:space="preserve">B</t>
    </r>
    <r>
      <rPr>
        <sz val="9"/>
        <color rgb="FF404040"/>
        <rFont val="WenQuanYi Zen Hei"/>
        <family val="2"/>
      </rPr>
      <t xml:space="preserve">シートは当月</t>
    </r>
    <r>
      <rPr>
        <sz val="9"/>
        <color rgb="FF404040"/>
        <rFont val="Meiryo UI"/>
        <family val="0"/>
        <charset val="1"/>
      </rPr>
      <t xml:space="preserve">B</t>
    </r>
    <r>
      <rPr>
        <sz val="9"/>
        <color rgb="FF404040"/>
        <rFont val="WenQuanYi Zen Hei"/>
        <family val="2"/>
      </rPr>
      <t xml:space="preserve">売上のない店舗が出力されないため）。</t>
    </r>
  </si>
  <si>
    <t xml:space="preserve">日本橋三越本店</t>
  </si>
  <si>
    <t xml:space="preserve">高島屋横浜店</t>
  </si>
  <si>
    <t xml:space="preserve">高島屋高崎店</t>
  </si>
  <si>
    <t xml:space="preserve">伊勢丹浦和店</t>
  </si>
  <si>
    <t xml:space="preserve">松屋銀座本店</t>
  </si>
  <si>
    <t xml:space="preserve">那須ガーデンアウトレット店</t>
  </si>
  <si>
    <t xml:space="preserve">スタジオピッコーネ・ピッコーネクラブ</t>
  </si>
  <si>
    <t xml:space="preserve">大丸福岡天神店</t>
  </si>
  <si>
    <t xml:space="preserve">あべのハルカス近鉄本店</t>
  </si>
  <si>
    <t xml:space="preserve">スタジオピッコーネ</t>
  </si>
  <si>
    <t xml:space="preserve">近鉄百貨店和歌山店</t>
  </si>
  <si>
    <t xml:space="preserve">近鉄百貨店上本町店</t>
  </si>
  <si>
    <t xml:space="preserve">近鉄百貨店奈良店</t>
  </si>
  <si>
    <t xml:space="preserve">近鉄百貨店橿原店</t>
  </si>
  <si>
    <t xml:space="preserve">広島三越店</t>
  </si>
  <si>
    <t xml:space="preserve">名古屋三越栄店</t>
  </si>
  <si>
    <t xml:space="preserve">東武百貨店池袋店</t>
  </si>
  <si>
    <t xml:space="preserve">松坂屋上野店</t>
  </si>
  <si>
    <t xml:space="preserve">東武百貨店船橋店</t>
  </si>
  <si>
    <t xml:space="preserve">仙台三越</t>
  </si>
  <si>
    <t xml:space="preserve">ながの東急百貨店</t>
  </si>
  <si>
    <t xml:space="preserve">静岡伊勢丹</t>
  </si>
  <si>
    <t xml:space="preserve">伊勢丹立川店</t>
  </si>
  <si>
    <t xml:space="preserve">東武宇都宮百貨店</t>
  </si>
  <si>
    <t xml:space="preserve">高島屋大宮店</t>
  </si>
  <si>
    <t xml:space="preserve">ラポルテ芦屋店</t>
  </si>
  <si>
    <t xml:space="preserve">ホテルニューオータニ大阪店</t>
  </si>
  <si>
    <t xml:space="preserve">阪急三番街店</t>
  </si>
  <si>
    <t xml:space="preserve">東急百貨店たまプラーザ店</t>
  </si>
  <si>
    <t xml:space="preserve">東急百貨店吉祥寺店</t>
  </si>
  <si>
    <t xml:space="preserve">西宮阪急店</t>
  </si>
  <si>
    <t xml:space="preserve">ピッコーネクラブ・アルチビオ</t>
  </si>
  <si>
    <t xml:space="preserve">高島屋京都店</t>
  </si>
  <si>
    <t xml:space="preserve">アルチビオ・ピッコーネクラブ</t>
  </si>
  <si>
    <t xml:space="preserve">松坂屋名古屋店</t>
  </si>
  <si>
    <t xml:space="preserve">アルチビオ・ピッコ</t>
  </si>
  <si>
    <t xml:space="preserve">札幌三越</t>
  </si>
  <si>
    <t xml:space="preserve">ピッコーネ・アルチビオ</t>
  </si>
  <si>
    <t xml:space="preserve">取込チェック（自動計算・編集不要）</t>
  </si>
  <si>
    <r>
      <rPr>
        <sz val="9"/>
        <color rgb="FF404040"/>
        <rFont val="Meiryo UI"/>
        <family val="0"/>
        <charset val="1"/>
      </rPr>
      <t xml:space="preserve">3</t>
    </r>
    <r>
      <rPr>
        <sz val="9"/>
        <color rgb="FF404040"/>
        <rFont val="WenQuanYi Zen Hei"/>
        <family val="2"/>
      </rPr>
      <t xml:space="preserve">つの元データシートの各行から店舗コードを取り出し、店舗マスタに登録済みかを判定します。「未登録」の行が出たら店舗マスタに追加してください。</t>
    </r>
  </si>
  <si>
    <t xml:space="preserve">前年同月</t>
  </si>
  <si>
    <r>
      <rPr>
        <b val="true"/>
        <sz val="10"/>
        <rFont val="WenQuanYi Zen Hei"/>
        <family val="2"/>
      </rPr>
      <t xml:space="preserve">前年</t>
    </r>
    <r>
      <rPr>
        <b val="true"/>
        <sz val="10"/>
        <rFont val="Meiryo UI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年</t>
    </r>
    <r>
      <rPr>
        <b val="true"/>
        <sz val="10"/>
        <rFont val="Meiryo UI"/>
        <family val="0"/>
        <charset val="1"/>
      </rPr>
      <t xml:space="preserve">)</t>
    </r>
  </si>
  <si>
    <t xml:space="preserve">月</t>
  </si>
  <si>
    <t xml:space="preserve">タイトル</t>
  </si>
  <si>
    <r>
      <rPr>
        <b val="true"/>
        <sz val="10"/>
        <rFont val="Meiryo UI"/>
        <family val="0"/>
        <charset val="1"/>
      </rPr>
      <t xml:space="preserve">P/B</t>
    </r>
    <r>
      <rPr>
        <b val="true"/>
        <sz val="10"/>
        <rFont val="WenQuanYi Zen Hei"/>
        <family val="2"/>
      </rPr>
      <t xml:space="preserve">貼付</t>
    </r>
  </si>
  <si>
    <r>
      <rPr>
        <b val="true"/>
        <sz val="10"/>
        <color rgb="FF1F3864"/>
        <rFont val="WenQuanYi Zen Hei"/>
        <family val="2"/>
      </rPr>
      <t xml:space="preserve">■ 元データ</t>
    </r>
    <r>
      <rPr>
        <b val="true"/>
        <sz val="10"/>
        <color rgb="FF1F3864"/>
        <rFont val="Meiryo UI"/>
        <family val="0"/>
        <charset val="1"/>
      </rPr>
      <t xml:space="preserve">_PB</t>
    </r>
    <r>
      <rPr>
        <b val="true"/>
        <sz val="10"/>
        <color rgb="FF1F3864"/>
        <rFont val="WenQuanYi Zen Hei"/>
        <family val="2"/>
      </rPr>
      <t xml:space="preserve">合計</t>
    </r>
  </si>
  <si>
    <r>
      <rPr>
        <b val="true"/>
        <sz val="10"/>
        <color rgb="FF1F3864"/>
        <rFont val="WenQuanYi Zen Hei"/>
        <family val="2"/>
      </rPr>
      <t xml:space="preserve">■ 元データ</t>
    </r>
    <r>
      <rPr>
        <b val="true"/>
        <sz val="10"/>
        <color rgb="FF1F3864"/>
        <rFont val="Meiryo UI"/>
        <family val="0"/>
        <charset val="1"/>
      </rPr>
      <t xml:space="preserve">_P</t>
    </r>
  </si>
  <si>
    <r>
      <rPr>
        <b val="true"/>
        <sz val="10"/>
        <color rgb="FF1F3864"/>
        <rFont val="WenQuanYi Zen Hei"/>
        <family val="2"/>
      </rPr>
      <t xml:space="preserve">■ 元データ</t>
    </r>
    <r>
      <rPr>
        <b val="true"/>
        <sz val="10"/>
        <color rgb="FF1F3864"/>
        <rFont val="Meiryo UI"/>
        <family val="0"/>
        <charset val="1"/>
      </rPr>
      <t xml:space="preserve">_B</t>
    </r>
  </si>
  <si>
    <t xml:space="preserve">元データ行</t>
  </si>
  <si>
    <t xml:space="preserve">店舗名</t>
  </si>
  <si>
    <t xml:space="preserve">登録状況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</si>
</sst>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General"/>
    <numFmt numFmtId="166" formatCode="#,##0;[RED]\-#,##0;\-"/>
    <numFmt numFmtId="167" formatCode="0.0%;[RED]\-0.0%;\-"/>
    <numFmt numFmtId="168" formatCode="@"/>
    <numFmt numFmtId="169" formatCode="0"/>
    <numFmt numFmtId="170" formatCode="#,##0"/>
    <numFmt numFmtId="171" formatCode="#,##0.00"/>
    <numFmt numFmtId="172" formatCode="0.0%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Meiryo UI"/>
      <family val="0"/>
      <charset val="1"/>
    </font>
    <font>
      <sz val="9"/>
      <color rgb="FF404040"/>
      <name val="WenQuanYi Zen Hei"/>
      <family val="2"/>
    </font>
    <font>
      <sz val="9"/>
      <color rgb="FF404040"/>
      <name val="Meiryo UI"/>
      <family val="0"/>
      <charset val="1"/>
    </font>
    <font>
      <b val="true"/>
      <sz val="11"/>
      <color rgb="FF1F3864"/>
      <name val="Meiryo UI"/>
      <family val="0"/>
      <charset val="1"/>
    </font>
    <font>
      <b val="true"/>
      <sz val="11"/>
      <color rgb="FF1F3864"/>
      <name val="WenQuanYi Zen Hei"/>
      <family val="2"/>
    </font>
    <font>
      <b val="true"/>
      <sz val="10"/>
      <color rgb="FFFFFFFF"/>
      <name val="WenQuanYi Zen Hei"/>
      <family val="2"/>
    </font>
    <font>
      <b val="true"/>
      <sz val="11"/>
      <name val="WenQuanYi Zen Hei"/>
      <family val="2"/>
    </font>
    <font>
      <sz val="11"/>
      <name val="Meiryo UI"/>
      <family val="0"/>
      <charset val="1"/>
    </font>
    <font>
      <b val="true"/>
      <sz val="11"/>
      <name val="Meiryo UI"/>
      <family val="0"/>
      <charset val="1"/>
    </font>
    <font>
      <b val="true"/>
      <sz val="10"/>
      <color rgb="FFFFFFFF"/>
      <name val="Meiryo UI"/>
      <family val="0"/>
      <charset val="1"/>
    </font>
    <font>
      <sz val="10"/>
      <name val="Meiryo UI"/>
      <family val="0"/>
      <charset val="1"/>
    </font>
    <font>
      <sz val="10"/>
      <name val="WenQuanYi Zen Hei"/>
      <family val="2"/>
    </font>
    <font>
      <b val="true"/>
      <sz val="10"/>
      <name val="Meiryo UI"/>
      <family val="0"/>
      <charset val="1"/>
    </font>
    <font>
      <sz val="10"/>
      <color rgb="FF000000"/>
      <name val="Meiryo UI"/>
      <family val="0"/>
      <charset val="1"/>
    </font>
    <font>
      <sz val="10"/>
      <color rgb="FF000000"/>
      <name val="WenQuanYi Zen Hei"/>
      <family val="2"/>
    </font>
    <font>
      <b val="true"/>
      <sz val="10"/>
      <name val="WenQuanYi Zen Hei"/>
      <family val="2"/>
    </font>
    <font>
      <b val="true"/>
      <sz val="8.8"/>
      <color theme="1"/>
      <name val="WenQuanYi Zen Hei"/>
      <family val="2"/>
    </font>
    <font>
      <b val="true"/>
      <sz val="8.8"/>
      <color theme="1"/>
      <name val="MS PGothic"/>
      <family val="3"/>
      <charset val="128"/>
    </font>
    <font>
      <sz val="8.8"/>
      <color theme="1"/>
      <name val="MS PGothic"/>
      <family val="3"/>
      <charset val="128"/>
    </font>
    <font>
      <sz val="8.8"/>
      <color theme="1"/>
      <name val="WenQuanYi Zen Hei"/>
      <family val="2"/>
    </font>
    <font>
      <b val="true"/>
      <sz val="14"/>
      <color rgb="FF1F3864"/>
      <name val="WenQuanYi Zen Hei"/>
      <family val="2"/>
    </font>
    <font>
      <b val="true"/>
      <sz val="9"/>
      <color rgb="FF404040"/>
      <name val="WenQuanYi Zen Hei"/>
      <family val="2"/>
    </font>
    <font>
      <sz val="9"/>
      <name val="Meiryo UI"/>
      <family val="0"/>
      <charset val="1"/>
    </font>
    <font>
      <b val="true"/>
      <sz val="10"/>
      <color rgb="FF1F3864"/>
      <name val="WenQuanYi Zen Hei"/>
      <family val="2"/>
    </font>
    <font>
      <b val="true"/>
      <sz val="10"/>
      <color rgb="FF1F3864"/>
      <name val="Meiryo UI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DEBF7"/>
        <bgColor rgb="FFEDE7F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EDEDED"/>
      </patternFill>
    </fill>
    <fill>
      <patternFill patternType="solid">
        <fgColor rgb="FFEDE7F6"/>
        <bgColor rgb="FFEDEDED"/>
      </patternFill>
    </fill>
    <fill>
      <patternFill patternType="solid">
        <fgColor rgb="FFD9D9D9"/>
        <bgColor rgb="FFDDEBF7"/>
      </patternFill>
    </fill>
    <fill>
      <patternFill patternType="solid">
        <fgColor rgb="FF2E75B6"/>
        <bgColor rgb="FF0066CC"/>
      </patternFill>
    </fill>
    <fill>
      <patternFill patternType="solid">
        <fgColor rgb="FFC55A11"/>
        <bgColor rgb="FF993300"/>
      </patternFill>
    </fill>
    <fill>
      <patternFill patternType="solid">
        <fgColor rgb="FFF2F2F2"/>
        <bgColor rgb="FFEDEDED"/>
      </patternFill>
    </fill>
    <fill>
      <patternFill patternType="solid">
        <fgColor rgb="FFCCCCFF"/>
        <bgColor rgb="FFD9D9D9"/>
      </patternFill>
    </fill>
    <fill>
      <patternFill patternType="solid">
        <fgColor rgb="FFFFFFFF"/>
        <bgColor rgb="FFF2F2F2"/>
      </patternFill>
    </fill>
    <fill>
      <patternFill patternType="solid">
        <fgColor rgb="FFCCFFCC"/>
        <bgColor rgb="FFC6EFCE"/>
      </patternFill>
    </fill>
    <fill>
      <patternFill patternType="solid">
        <fgColor rgb="FFFFCCCC"/>
        <bgColor rgb="FFFFC7CE"/>
      </patternFill>
    </fill>
    <fill>
      <patternFill patternType="solid">
        <fgColor rgb="FFBF8F00"/>
        <bgColor rgb="FF808000"/>
      </patternFill>
    </fill>
    <fill>
      <patternFill patternType="solid">
        <fgColor rgb="FF7F7F7F"/>
        <bgColor rgb="FF808080"/>
      </patternFill>
    </fill>
    <fill>
      <patternFill patternType="solid">
        <fgColor rgb="FFEDEDED"/>
        <bgColor rgb="FFF2F2F2"/>
      </patternFill>
    </fill>
    <fill>
      <patternFill patternType="solid">
        <fgColor rgb="FFFFF2CC"/>
        <bgColor rgb="FFFCE4D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1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1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1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2" fillId="1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1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12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1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2" fillId="1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1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13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1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2" fillId="1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1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14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22" fillId="1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1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6" fillId="1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6" fillId="1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6" fillId="1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ont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ill>
        <patternFill>
          <bgColor rgb="FFDDEBF7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EDE7F6"/>
        </patternFill>
      </fill>
    </dxf>
    <dxf>
      <border diagonalUp="false" diagonalDown="false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b val="1"/>
      </font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2EFDA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EDEDED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C6EFCE"/>
      <rgbColor rgb="FFCCFFCC"/>
      <rgbColor rgb="FFFCE4D6"/>
      <rgbColor rgb="FFD9D9D9"/>
      <rgbColor rgb="FFFFC7CE"/>
      <rgbColor rgb="FFEDE7F6"/>
      <rgbColor rgb="FFFFCCCC"/>
      <rgbColor rgb="FF2E75B6"/>
      <rgbColor rgb="FF33CCCC"/>
      <rgbColor rgb="FF99CC00"/>
      <rgbColor rgb="FFFFC000"/>
      <rgbColor rgb="FFBF8F00"/>
      <rgbColor rgb="FFC55A11"/>
      <rgbColor rgb="FF7F7F7F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16"/>
  </cols>
  <sheetData>
    <row r="1" customFormat="false" ht="19.4" hidden="false" customHeight="false" outlineLevel="0" collapsed="false">
      <c r="A1" s="1" t="str">
        <f aca="false">取込チェック!$H$3</f>
        <v>POS売上 予算・前年対比（2026年9月度／前年同月 2025年9月）</v>
      </c>
    </row>
    <row r="2" customFormat="false" ht="15" hidden="false" customHeight="false" outlineLevel="0" collapsed="false">
      <c r="A2" s="2" t="s">
        <v>0</v>
      </c>
    </row>
    <row r="3" customFormat="false" ht="15" hidden="false" customHeight="false" outlineLevel="0" collapsed="false">
      <c r="A3" s="3" t="s">
        <v>1</v>
      </c>
    </row>
    <row r="4" customFormat="false" ht="31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21.75" hidden="false" customHeight="true" outlineLevel="0" collapsed="false">
      <c r="A5" s="5" t="s">
        <v>12</v>
      </c>
      <c r="B5" s="6" t="n">
        <f aca="false">COUNTIFS(店舗マスタ!$E$5:$E$304,$A5,店舗マスタ!$F$5:$F$304,1)</f>
        <v>11</v>
      </c>
      <c r="C5" s="7" t="n">
        <f aca="false">SUMIFS(店舗マスタ!$G$5:$G$304,店舗マスタ!$E$5:$E$304,$A5)</f>
        <v>21514701</v>
      </c>
      <c r="D5" s="8" t="n">
        <f aca="false">IF($C$9=0,"-",C5/$C$9)</f>
        <v>0.195343116986213</v>
      </c>
      <c r="E5" s="7" t="n">
        <f aca="false">SUMIFS(店舗マスタ!$H$5:$H$304,店舗マスタ!$E$5:$E$304,$A5)</f>
        <v>26854000</v>
      </c>
      <c r="F5" s="8" t="n">
        <f aca="false">IF(E5=0,"-",C5/E5)</f>
        <v>0.801173046845908</v>
      </c>
      <c r="G5" s="7" t="n">
        <f aca="false">C5-E5</f>
        <v>-5339299</v>
      </c>
      <c r="H5" s="7" t="n">
        <f aca="false">SUMIFS(店舗マスタ!$I$5:$I$304,店舗マスタ!$E$5:$E$304,$A5)</f>
        <v>24125211</v>
      </c>
      <c r="I5" s="8" t="n">
        <f aca="false">IF(H5=0,"-",C5/H5)</f>
        <v>0.891793277994543</v>
      </c>
      <c r="J5" s="7" t="n">
        <f aca="false">C5-H5</f>
        <v>-2610510</v>
      </c>
    </row>
    <row r="6" customFormat="false" ht="21.75" hidden="false" customHeight="true" outlineLevel="0" collapsed="false">
      <c r="A6" s="9" t="s">
        <v>13</v>
      </c>
      <c r="B6" s="6" t="n">
        <f aca="false">COUNTIFS(店舗マスタ!$E$5:$E$304,$A6,店舗マスタ!$F$5:$F$304,1)</f>
        <v>23</v>
      </c>
      <c r="C6" s="7" t="n">
        <f aca="false">SUMIFS(店舗マスタ!$G$5:$G$304,店舗マスタ!$E$5:$E$304,$A6)</f>
        <v>58463370</v>
      </c>
      <c r="D6" s="8" t="n">
        <f aca="false">IF($C$9=0,"-",C6/$C$9)</f>
        <v>0.530819225668916</v>
      </c>
      <c r="E6" s="7" t="n">
        <f aca="false">SUMIFS(店舗マスタ!$H$5:$H$304,店舗マスタ!$E$5:$E$304,$A6)</f>
        <v>71383000</v>
      </c>
      <c r="F6" s="8" t="n">
        <f aca="false">IF(E6=0,"-",C6/E6)</f>
        <v>0.819009708193828</v>
      </c>
      <c r="G6" s="7" t="n">
        <f aca="false">C6-E6</f>
        <v>-12919630</v>
      </c>
      <c r="H6" s="7" t="n">
        <f aca="false">SUMIFS(店舗マスタ!$I$5:$I$304,店舗マスタ!$E$5:$E$304,$A6)</f>
        <v>59754000</v>
      </c>
      <c r="I6" s="8" t="n">
        <f aca="false">IF(H6=0,"-",C6/H6)</f>
        <v>0.978400943869866</v>
      </c>
      <c r="J6" s="7" t="n">
        <f aca="false">C6-H6</f>
        <v>-1290630</v>
      </c>
    </row>
    <row r="7" customFormat="false" ht="21.75" hidden="false" customHeight="true" outlineLevel="0" collapsed="false">
      <c r="A7" s="10" t="s">
        <v>14</v>
      </c>
      <c r="B7" s="6" t="n">
        <f aca="false">COUNTIFS(店舗マスタ!$E$5:$E$304,$A7,店舗マスタ!$F$5:$F$304,1)</f>
        <v>5</v>
      </c>
      <c r="C7" s="7" t="n">
        <f aca="false">SUMIFS(店舗マスタ!$G$5:$G$304,店舗マスタ!$E$5:$E$304,$A7)</f>
        <v>16191756</v>
      </c>
      <c r="D7" s="8" t="n">
        <f aca="false">IF($C$9=0,"-",C7/$C$9)</f>
        <v>0.147013341552839</v>
      </c>
      <c r="E7" s="7" t="n">
        <f aca="false">SUMIFS(店舗マスタ!$H$5:$H$304,店舗マスタ!$E$5:$E$304,$A7)</f>
        <v>15550000</v>
      </c>
      <c r="F7" s="8" t="n">
        <f aca="false">IF(E7=0,"-",C7/E7)</f>
        <v>1.04127048231511</v>
      </c>
      <c r="G7" s="7" t="n">
        <f aca="false">C7-E7</f>
        <v>641756</v>
      </c>
      <c r="H7" s="7" t="n">
        <f aca="false">SUMIFS(店舗マスタ!$I$5:$I$304,店舗マスタ!$E$5:$E$304,$A7)</f>
        <v>13628859</v>
      </c>
      <c r="I7" s="8" t="n">
        <f aca="false">IF(H7=0,"-",C7/H7)</f>
        <v>1.18804927103582</v>
      </c>
      <c r="J7" s="7" t="n">
        <f aca="false">C7-H7</f>
        <v>2562897</v>
      </c>
    </row>
    <row r="8" customFormat="false" ht="21.75" hidden="false" customHeight="true" outlineLevel="0" collapsed="false">
      <c r="A8" s="11" t="s">
        <v>15</v>
      </c>
      <c r="B8" s="6" t="n">
        <f aca="false">COUNTIFS(店舗マスタ!$E$5:$E$304,$A8,店舗マスタ!$F$5:$F$304,1)</f>
        <v>5</v>
      </c>
      <c r="C8" s="7" t="n">
        <f aca="false">SUMIFS(店舗マスタ!$G$5:$G$304,店舗マスタ!$E$5:$E$304,$A8)</f>
        <v>13968177</v>
      </c>
      <c r="D8" s="8" t="n">
        <f aca="false">IF($C$9=0,"-",C8/$C$9)</f>
        <v>0.126824315792031</v>
      </c>
      <c r="E8" s="7" t="n">
        <f aca="false">SUMIFS(店舗マスタ!$H$5:$H$304,店舗マスタ!$E$5:$E$304,$A8)</f>
        <v>17840000</v>
      </c>
      <c r="F8" s="8" t="n">
        <f aca="false">IF(E8=0,"-",C8/E8)</f>
        <v>0.782969562780269</v>
      </c>
      <c r="G8" s="7" t="n">
        <f aca="false">C8-E8</f>
        <v>-3871823</v>
      </c>
      <c r="H8" s="7" t="n">
        <f aca="false">SUMIFS(店舗マスタ!$I$5:$I$304,店舗マスタ!$E$5:$E$304,$A8)</f>
        <v>14941710</v>
      </c>
      <c r="I8" s="8" t="n">
        <f aca="false">IF(H8=0,"-",C8/H8)</f>
        <v>0.934844606139458</v>
      </c>
      <c r="J8" s="7" t="n">
        <f aca="false">C8-H8</f>
        <v>-973533</v>
      </c>
    </row>
    <row r="9" customFormat="false" ht="21.75" hidden="false" customHeight="true" outlineLevel="0" collapsed="false">
      <c r="A9" s="12" t="s">
        <v>16</v>
      </c>
      <c r="B9" s="13" t="n">
        <f aca="false">SUM(B5:B8)</f>
        <v>44</v>
      </c>
      <c r="C9" s="14" t="n">
        <f aca="false">SUM(C5:C8)</f>
        <v>110138004</v>
      </c>
      <c r="D9" s="15" t="n">
        <f aca="false">IF($C$9=0,"-",C9/$C$9)</f>
        <v>1</v>
      </c>
      <c r="E9" s="14" t="n">
        <f aca="false">SUM(E5:E8)</f>
        <v>131627000</v>
      </c>
      <c r="F9" s="15" t="n">
        <f aca="false">IF(E9=0,"-",C9/E9)</f>
        <v>0.836743251764456</v>
      </c>
      <c r="G9" s="14" t="n">
        <f aca="false">C9-E9</f>
        <v>-21488996</v>
      </c>
      <c r="H9" s="14" t="n">
        <f aca="false">SUM(H5:H8)</f>
        <v>112449780</v>
      </c>
      <c r="I9" s="15" t="n">
        <f aca="false">IF(H9=0,"-",C9/H9)</f>
        <v>0.979441702776119</v>
      </c>
      <c r="J9" s="14" t="n">
        <f aca="false">C9-H9</f>
        <v>-2311776</v>
      </c>
    </row>
    <row r="11" customFormat="false" ht="15" hidden="false" customHeight="false" outlineLevel="0" collapsed="false">
      <c r="A11" s="3" t="s">
        <v>17</v>
      </c>
    </row>
    <row r="12" customFormat="false" ht="31.5" hidden="false" customHeight="true" outlineLevel="0" collapsed="false">
      <c r="A12" s="4" t="s">
        <v>2</v>
      </c>
      <c r="B12" s="16" t="s">
        <v>18</v>
      </c>
      <c r="C12" s="17" t="s">
        <v>19</v>
      </c>
      <c r="D12" s="18" t="s">
        <v>20</v>
      </c>
      <c r="E12" s="18" t="s">
        <v>21</v>
      </c>
      <c r="F12" s="16" t="s">
        <v>22</v>
      </c>
      <c r="G12" s="17" t="s">
        <v>23</v>
      </c>
      <c r="H12" s="18" t="s">
        <v>24</v>
      </c>
      <c r="I12" s="17" t="s">
        <v>25</v>
      </c>
      <c r="J12" s="18" t="s">
        <v>26</v>
      </c>
    </row>
    <row r="13" customFormat="false" ht="21.75" hidden="false" customHeight="true" outlineLevel="0" collapsed="false">
      <c r="A13" s="5" t="str">
        <f aca="false">A5</f>
        <v>アルチビオ</v>
      </c>
      <c r="B13" s="7" t="n">
        <f aca="false">C5</f>
        <v>21514701</v>
      </c>
      <c r="C13" s="7" t="n">
        <f aca="false">IF(取込チェック!$K$3=0,"",SUMIFS(店舗マスタ!$P$5:$P$304,店舗マスタ!$E$5:$E$304,$A13))</f>
        <v>16221041</v>
      </c>
      <c r="D13" s="7" t="n">
        <f aca="false">IF(C13="","",B13-C13)</f>
        <v>5293660</v>
      </c>
      <c r="E13" s="8" t="n">
        <f aca="false">IF(D13="","",IF(B13=0,"-",D13/B13))</f>
        <v>0.246048504229736</v>
      </c>
      <c r="F13" s="7" t="n">
        <f aca="false">H5</f>
        <v>24125211</v>
      </c>
      <c r="G13" s="7" t="n">
        <f aca="false">IF(取込チェック!$K$3=0,"",SUMIFS(店舗マスタ!$Q$5:$Q$304,店舗マスタ!$E$5:$E$304,$A13))</f>
        <v>18543471</v>
      </c>
      <c r="H13" s="7" t="n">
        <f aca="false">IF(G13="","",F13-G13)</f>
        <v>5581740</v>
      </c>
      <c r="I13" s="8" t="n">
        <f aca="false">IF(C13="","",IF(G13=0,"-",C13/G13))</f>
        <v>0.874757535954299</v>
      </c>
      <c r="J13" s="8" t="n">
        <f aca="false">IF(D13="","",IF(H13=0,"-",D13/H13))</f>
        <v>0.948388853654954</v>
      </c>
    </row>
    <row r="14" customFormat="false" ht="21.75" hidden="false" customHeight="true" outlineLevel="0" collapsed="false">
      <c r="A14" s="9" t="str">
        <f aca="false">A6</f>
        <v>スタジオピッコーネ／ピッコーネクラブ</v>
      </c>
      <c r="B14" s="7" t="n">
        <f aca="false">C6</f>
        <v>58463370</v>
      </c>
      <c r="C14" s="7" t="n">
        <f aca="false">IF(取込チェック!$K$3=0,"",SUMIFS(店舗マスタ!$P$5:$P$304,店舗マスタ!$E$5:$E$304,$A14))</f>
        <v>54359840</v>
      </c>
      <c r="D14" s="7" t="n">
        <f aca="false">IF(C14="","",B14-C14)</f>
        <v>4103530</v>
      </c>
      <c r="E14" s="8" t="n">
        <f aca="false">IF(D14="","",IF(B14=0,"-",D14/B14))</f>
        <v>0.0701897615549702</v>
      </c>
      <c r="F14" s="7" t="n">
        <f aca="false">H6</f>
        <v>59754000</v>
      </c>
      <c r="G14" s="7" t="n">
        <f aca="false">IF(取込チェック!$K$3=0,"",SUMIFS(店舗マスタ!$Q$5:$Q$304,店舗マスタ!$E$5:$E$304,$A14))</f>
        <v>56165000</v>
      </c>
      <c r="H14" s="7" t="n">
        <f aca="false">IF(G14="","",F14-G14)</f>
        <v>3589000</v>
      </c>
      <c r="I14" s="8" t="n">
        <f aca="false">IF(C14="","",IF(G14=0,"-",C14/G14))</f>
        <v>0.967859699100864</v>
      </c>
      <c r="J14" s="8" t="n">
        <f aca="false">IF(D14="","",IF(H14=0,"-",D14/H14))</f>
        <v>1.14336305377543</v>
      </c>
    </row>
    <row r="15" customFormat="false" ht="21.75" hidden="false" customHeight="true" outlineLevel="0" collapsed="false">
      <c r="A15" s="10" t="str">
        <f aca="false">A7</f>
        <v>ピッコーネ</v>
      </c>
      <c r="B15" s="7" t="n">
        <f aca="false">C7</f>
        <v>16191756</v>
      </c>
      <c r="C15" s="7" t="n">
        <f aca="false">IF(取込チェック!$K$3=0,"",SUMIFS(店舗マスタ!$P$5:$P$304,店舗マスタ!$E$5:$E$304,$A15))</f>
        <v>7486916</v>
      </c>
      <c r="D15" s="7" t="n">
        <f aca="false">IF(C15="","",B15-C15)</f>
        <v>8704840</v>
      </c>
      <c r="E15" s="8" t="n">
        <f aca="false">IF(D15="","",IF(B15=0,"-",D15/B15))</f>
        <v>0.537609385912189</v>
      </c>
      <c r="F15" s="7" t="n">
        <f aca="false">H7</f>
        <v>13628859</v>
      </c>
      <c r="G15" s="7" t="n">
        <f aca="false">IF(取込チェック!$K$3=0,"",SUMIFS(店舗マスタ!$Q$5:$Q$304,店舗マスタ!$E$5:$E$304,$A15))</f>
        <v>10704513</v>
      </c>
      <c r="H15" s="7" t="n">
        <f aca="false">IF(G15="","",F15-G15)</f>
        <v>2924346</v>
      </c>
      <c r="I15" s="8" t="n">
        <f aca="false">IF(C15="","",IF(G15=0,"-",C15/G15))</f>
        <v>0.699416778698853</v>
      </c>
      <c r="J15" s="8" t="n">
        <f aca="false">IF(D15="","",IF(H15=0,"-",D15/H15))</f>
        <v>2.9766792301595</v>
      </c>
    </row>
    <row r="16" customFormat="false" ht="21.75" hidden="false" customHeight="true" outlineLevel="0" collapsed="false">
      <c r="A16" s="11" t="str">
        <f aca="false">A8</f>
        <v>複合（アルチビオ＋ピッコーネ系）</v>
      </c>
      <c r="B16" s="7" t="n">
        <f aca="false">C8</f>
        <v>13968177</v>
      </c>
      <c r="C16" s="7" t="n">
        <f aca="false">IF(取込チェック!$K$3=0,"",SUMIFS(店舗マスタ!$P$5:$P$304,店舗マスタ!$E$5:$E$304,$A16))</f>
        <v>10146817</v>
      </c>
      <c r="D16" s="7" t="n">
        <f aca="false">IF(C16="","",B16-C16)</f>
        <v>3821360</v>
      </c>
      <c r="E16" s="8" t="n">
        <f aca="false">IF(D16="","",IF(B16=0,"-",D16/B16))</f>
        <v>0.273576143830365</v>
      </c>
      <c r="F16" s="7" t="n">
        <f aca="false">H8</f>
        <v>14941710</v>
      </c>
      <c r="G16" s="7" t="n">
        <f aca="false">IF(取込チェック!$K$3=0,"",SUMIFS(店舗マスタ!$Q$5:$Q$304,店舗マスタ!$E$5:$E$304,$A16))</f>
        <v>12040710</v>
      </c>
      <c r="H16" s="7" t="n">
        <f aca="false">IF(G16="","",F16-G16)</f>
        <v>2901000</v>
      </c>
      <c r="I16" s="8" t="n">
        <f aca="false">IF(C16="","",IF(G16=0,"-",C16/G16))</f>
        <v>0.842709192398123</v>
      </c>
      <c r="J16" s="8" t="n">
        <f aca="false">IF(D16="","",IF(H16=0,"-",D16/H16))</f>
        <v>1.3172561185798</v>
      </c>
    </row>
    <row r="17" customFormat="false" ht="21.75" hidden="false" customHeight="true" outlineLevel="0" collapsed="false">
      <c r="A17" s="12" t="s">
        <v>16</v>
      </c>
      <c r="B17" s="14" t="n">
        <f aca="false">SUM(B13:B16)</f>
        <v>110138004</v>
      </c>
      <c r="C17" s="14" t="n">
        <f aca="false">IF(取込チェック!$K$3=0,"",SUM(C13:C16))</f>
        <v>88214614</v>
      </c>
      <c r="D17" s="14" t="n">
        <f aca="false">IF(C17="","",B17-C17)</f>
        <v>21923390</v>
      </c>
      <c r="E17" s="15" t="n">
        <f aca="false">IF(D17="","",IF(B17=0,"-",D17/B17))</f>
        <v>0.199053816155957</v>
      </c>
      <c r="F17" s="14" t="n">
        <f aca="false">SUM(F13:F16)</f>
        <v>112449780</v>
      </c>
      <c r="G17" s="14" t="n">
        <f aca="false">IF(取込チェック!$K$3=0,"",SUM(G13:G16))</f>
        <v>97453694</v>
      </c>
      <c r="H17" s="14" t="n">
        <f aca="false">IF(G17="","",F17-G17)</f>
        <v>14996086</v>
      </c>
      <c r="I17" s="15" t="n">
        <f aca="false">IF(C17="","",IF(G17=0,"-",C17/G17))</f>
        <v>0.905195179158627</v>
      </c>
      <c r="J17" s="15" t="n">
        <f aca="false">IF(D17="","",IF(H17=0,"-",D17/H17))</f>
        <v>1.46194080242004</v>
      </c>
    </row>
    <row r="19" customFormat="false" ht="15" hidden="false" customHeight="false" outlineLevel="0" collapsed="false">
      <c r="A19" s="19" t="s">
        <v>27</v>
      </c>
      <c r="F19" s="19" t="s">
        <v>28</v>
      </c>
    </row>
    <row r="20" customFormat="false" ht="15" hidden="false" customHeight="false" outlineLevel="0" collapsed="false">
      <c r="A20" s="20" t="s">
        <v>29</v>
      </c>
      <c r="B20" s="21" t="n">
        <f aca="false">IFERROR(IFERROR(INDEX(元データ_PB合計!$B:$B,MATCH("合計",元データ_PB合計!$A:$A,0)),"合計行なし")-C9,"合計行なし")</f>
        <v>0</v>
      </c>
      <c r="C20" s="21"/>
      <c r="D20" s="21"/>
      <c r="F20" s="22" t="s">
        <v>30</v>
      </c>
    </row>
    <row r="21" customFormat="false" ht="15" hidden="false" customHeight="false" outlineLevel="0" collapsed="false">
      <c r="A21" s="20" t="s">
        <v>31</v>
      </c>
      <c r="B21" s="21" t="n">
        <f aca="false">IF(取込チェック!$K$3=0,"未貼付",IFERROR(IFERROR(INDEX(元データ_P!$B:$B,MATCH("合計",元データ_P!$A:$A,0)),"合計行なし")-C17,"合計行なし"))</f>
        <v>0</v>
      </c>
      <c r="C21" s="21"/>
      <c r="D21" s="21"/>
      <c r="F21" s="23" t="s">
        <v>32</v>
      </c>
    </row>
    <row r="22" customFormat="false" ht="15" hidden="false" customHeight="false" outlineLevel="0" collapsed="false">
      <c r="A22" s="20" t="s">
        <v>33</v>
      </c>
      <c r="B22" s="21" t="n">
        <f aca="false">IF(取込チェック!$K$3=0,"未貼付",IFERROR(IFERROR(INDEX(元データ_B!$B:$B,MATCH("合計",元データ_B!$A:$A,0)),"合計行なし")-D17,"合計行なし"))</f>
        <v>0</v>
      </c>
      <c r="C22" s="21"/>
      <c r="D22" s="21"/>
      <c r="F22" s="23" t="s">
        <v>34</v>
      </c>
    </row>
    <row r="23" customFormat="false" ht="15" hidden="false" customHeight="false" outlineLevel="0" collapsed="false">
      <c r="A23" s="20" t="s">
        <v>35</v>
      </c>
      <c r="B23" s="24" t="str">
        <f aca="false">IF(取込チェック!$K$3=0,"未貼付",IF(AND(元データ_PB合計!$B$1=元データ_P!$B$1,元データ_PB合計!$B$1=元データ_B!$B$1),"OK","不一致：貼り付けた月を確認"))</f>
        <v>OK</v>
      </c>
      <c r="C23" s="24"/>
      <c r="D23" s="24"/>
      <c r="F23" s="23" t="s">
        <v>36</v>
      </c>
    </row>
    <row r="24" customFormat="false" ht="15" hidden="false" customHeight="false" outlineLevel="0" collapsed="false">
      <c r="A24" s="25" t="s">
        <v>37</v>
      </c>
      <c r="B24" s="26" t="n">
        <f aca="false">COUNTIF(取込チェック!$G$6:$G$505,"未登録*")+COUNTIF(取込チェック!$N$6:$N$505,"未登録*")+COUNTIF(取込チェック!$U$6:$U$505,"未登録*")</f>
        <v>0</v>
      </c>
      <c r="C24" s="26"/>
      <c r="D24" s="26"/>
      <c r="F24" s="23" t="s">
        <v>38</v>
      </c>
    </row>
    <row r="25" customFormat="false" ht="15" hidden="false" customHeight="false" outlineLevel="0" collapsed="false">
      <c r="A25" s="25" t="s">
        <v>39</v>
      </c>
      <c r="B25" s="24" t="str">
        <f aca="false">IF(OR(B5&gt;14,B6&gt;26,B7&gt;8,B8&gt;8),"不足：明細の枠を追加してください","OK")</f>
        <v>OK</v>
      </c>
      <c r="C25" s="24"/>
      <c r="D25" s="24"/>
      <c r="F25" s="23" t="s">
        <v>40</v>
      </c>
    </row>
    <row r="26" customFormat="false" ht="15" hidden="false" customHeight="false" outlineLevel="0" collapsed="false">
      <c r="A26" s="25" t="s">
        <v>41</v>
      </c>
      <c r="B26" s="24" t="str">
        <f aca="false">IF(AND(N(B20)=0,ISNUMBER(B20),OR(B21="未貼付",B21=0),OR(B22="未貼付",B22=0),OR(B23="OK",B23="未貼付"),B24=0,B25="OK"),IF(取込チェック!$K$3=0,"OK（PB合計のみ。P/B未貼付）","OK：集計は元データと一致しています"),"要確認：上の項目と取込チェックシートを確認")</f>
        <v>OK：集計は元データと一致しています</v>
      </c>
      <c r="C26" s="24"/>
      <c r="D26" s="24"/>
      <c r="F26" s="23" t="s">
        <v>42</v>
      </c>
    </row>
    <row r="27" customFormat="false" ht="15" hidden="false" customHeight="false" outlineLevel="0" collapsed="false">
      <c r="A27" s="25" t="s">
        <v>43</v>
      </c>
      <c r="B27" s="26" t="n">
        <f aca="false">COUNTIFS(店舗マスタ!$B$5:$B$304,"&lt;&gt;",店舗マスタ!$F$5:$F$304,0)</f>
        <v>0</v>
      </c>
      <c r="C27" s="26"/>
      <c r="D27" s="26"/>
      <c r="F27" s="22" t="s">
        <v>44</v>
      </c>
    </row>
    <row r="28" customFormat="false" ht="15" hidden="false" customHeight="false" outlineLevel="0" collapsed="false">
      <c r="A28" s="25" t="s">
        <v>45</v>
      </c>
      <c r="B28" s="21" t="n">
        <f aca="false">IF(取込チェック!$K$3=0,"-",H17-IFERROR(INDEX(元データ_B!$F:$F,MATCH("合計",元データ_B!$A:$A,0)),0))</f>
        <v>668100</v>
      </c>
      <c r="C28" s="21"/>
      <c r="D28" s="21"/>
    </row>
  </sheetData>
  <mergeCells count="9"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</mergeCells>
  <conditionalFormatting sqref="F5:F8">
    <cfRule type="dataBar" priority="2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{2B5BCB48-8738-4DCC-A3F5-B89ABF807E3F}</x14:id>
        </ext>
      </extLst>
    </cfRule>
  </conditionalFormatting>
  <conditionalFormatting sqref="I5:I8">
    <cfRule type="dataBar" priority="3">
      <dataBar showValue="1" minLength="10" maxLength="90">
        <cfvo type="num" val="0"/>
        <cfvo type="num" val="1"/>
        <color rgb="FFA9D18E"/>
      </dataBar>
      <extLst>
        <ext xmlns:x14="http://schemas.microsoft.com/office/spreadsheetml/2009/9/main" uri="{B025F937-C7B1-47D3-B67F-A62EFF666E3E}">
          <x14:id>{6060D8CB-8858-4887-B141-20B0FA40CE8E}</x14:id>
        </ext>
      </extLst>
    </cfRule>
  </conditionalFormatting>
  <conditionalFormatting sqref="E13:E16">
    <cfRule type="dataBar" priority="4">
      <dataBar showValue="1" minLength="10" maxLength="90">
        <cfvo type="num" val="0"/>
        <cfvo type="num" val="1"/>
        <color rgb="FFF4B183"/>
      </dataBar>
      <extLst>
        <ext xmlns:x14="http://schemas.microsoft.com/office/spreadsheetml/2009/9/main" uri="{B025F937-C7B1-47D3-B67F-A62EFF666E3E}">
          <x14:id>{B2368064-9166-4990-9BA2-F73039D397D8}</x14:id>
        </ext>
      </extLst>
    </cfRule>
  </conditionalFormatting>
  <conditionalFormatting sqref="B20:B22">
    <cfRule type="expression" priority="5" aboveAverage="0" equalAverage="0" bottom="0" percent="0" rank="0" text="" dxfId="0">
      <formula>AND(ISNUMBER(B20),B20&lt;&gt;0)</formula>
    </cfRule>
  </conditionalFormatting>
  <conditionalFormatting sqref="B24">
    <cfRule type="expression" priority="6" aboveAverage="0" equalAverage="0" bottom="0" percent="0" rank="0" text="" dxfId="0">
      <formula>B24&lt;&gt;0</formula>
    </cfRule>
  </conditionalFormatting>
  <conditionalFormatting sqref="B23">
    <cfRule type="expression" priority="7" aboveAverage="0" equalAverage="0" bottom="0" percent="0" rank="0" text="" dxfId="0">
      <formula>LEFT(B23,3)="不一致"</formula>
    </cfRule>
  </conditionalFormatting>
  <conditionalFormatting sqref="B25">
    <cfRule type="expression" priority="8" aboveAverage="0" equalAverage="0" bottom="0" percent="0" rank="0" text="" dxfId="0">
      <formula>B25&lt;&gt;"OK"</formula>
    </cfRule>
  </conditionalFormatting>
  <conditionalFormatting sqref="B26">
    <cfRule type="expression" priority="9" aboveAverage="0" equalAverage="0" bottom="0" percent="0" rank="0" text="" dxfId="1">
      <formula>LEFT(B26,2)="OK"</formula>
    </cfRule>
    <cfRule type="expression" priority="10" aboveAverage="0" equalAverage="0" bottom="0" percent="0" rank="0" text="" dxfId="2">
      <formula>LEFT(B26,2)&lt;&gt;"OK"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B5BCB48-8738-4DCC-A3F5-B89ABF807E3F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F5:F8</xm:sqref>
        </x14:conditionalFormatting>
        <x14:conditionalFormatting xmlns:xm="http://schemas.microsoft.com/office/excel/2006/main">
          <x14:cfRule type="dataBar" id="{6060D8CB-8858-4887-B141-20B0FA40CE8E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A9D18E"/>
              <x14:axisColor rgb="FF000000"/>
            </x14:dataBar>
          </x14:cfRule>
          <xm:sqref>I5:I8</xm:sqref>
        </x14:conditionalFormatting>
        <x14:conditionalFormatting xmlns:xm="http://schemas.microsoft.com/office/excel/2006/main">
          <x14:cfRule type="dataBar" id="{B2368064-9166-4990-9BA2-F73039D397D8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F4B183"/>
              <x14:axisColor rgb="FF000000"/>
            </x14:dataBar>
          </x14:cfRule>
          <xm:sqref>E13:E16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26"/>
    <col collapsed="false" customWidth="true" hidden="false" outlineLevel="0" max="6" min="4" style="0" width="14"/>
    <col collapsed="false" customWidth="true" hidden="false" outlineLevel="0" max="7" min="7" style="0" width="9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2" min="10" style="0" width="14"/>
    <col collapsed="false" customWidth="true" hidden="false" outlineLevel="0" max="15" min="13" style="0" width="11"/>
  </cols>
  <sheetData>
    <row r="1" customFormat="false" ht="19.4" hidden="false" customHeight="false" outlineLevel="0" collapsed="false">
      <c r="A1" s="1" t="str">
        <f aca="false">取込チェック!$H$3&amp;"　PB内訳"</f>
        <v>POS売上 予算・前年対比（2026年9月度／前年同月 2025年9月）　PB内訳</v>
      </c>
    </row>
    <row r="2" customFormat="false" ht="15" hidden="false" customHeight="false" outlineLevel="0" collapsed="false">
      <c r="A2" s="27" t="s">
        <v>46</v>
      </c>
    </row>
    <row r="4" customFormat="false" ht="15" hidden="false" customHeight="true" outlineLevel="0" collapsed="false">
      <c r="A4" s="4" t="s">
        <v>47</v>
      </c>
      <c r="B4" s="4"/>
      <c r="C4" s="4"/>
      <c r="D4" s="4" t="s">
        <v>48</v>
      </c>
      <c r="E4" s="4"/>
      <c r="F4" s="4"/>
      <c r="G4" s="4"/>
      <c r="H4" s="4" t="s">
        <v>49</v>
      </c>
      <c r="I4" s="4"/>
      <c r="J4" s="4" t="s">
        <v>50</v>
      </c>
      <c r="K4" s="4"/>
      <c r="L4" s="4"/>
      <c r="M4" s="4" t="s">
        <v>10</v>
      </c>
      <c r="N4" s="4"/>
      <c r="O4" s="4"/>
    </row>
    <row r="5" customFormat="false" ht="31.5" hidden="false" customHeight="true" outlineLevel="0" collapsed="false">
      <c r="A5" s="4" t="s">
        <v>2</v>
      </c>
      <c r="B5" s="4" t="s">
        <v>51</v>
      </c>
      <c r="C5" s="4" t="s">
        <v>52</v>
      </c>
      <c r="D5" s="16" t="s">
        <v>53</v>
      </c>
      <c r="E5" s="17" t="s">
        <v>54</v>
      </c>
      <c r="F5" s="18" t="s">
        <v>55</v>
      </c>
      <c r="G5" s="18" t="s">
        <v>21</v>
      </c>
      <c r="H5" s="4" t="s">
        <v>6</v>
      </c>
      <c r="I5" s="16" t="s">
        <v>56</v>
      </c>
      <c r="J5" s="16" t="s">
        <v>53</v>
      </c>
      <c r="K5" s="17" t="s">
        <v>54</v>
      </c>
      <c r="L5" s="18" t="s">
        <v>55</v>
      </c>
      <c r="M5" s="16" t="s">
        <v>53</v>
      </c>
      <c r="N5" s="17" t="s">
        <v>54</v>
      </c>
      <c r="O5" s="18" t="s">
        <v>55</v>
      </c>
    </row>
    <row r="6" customFormat="false" ht="15" hidden="false" customHeight="false" outlineLevel="0" collapsed="false">
      <c r="A6" s="28" t="str">
        <f aca="false">IF($B6="","","アルチビオ")</f>
        <v>アルチビオ</v>
      </c>
      <c r="B6" s="29" t="n">
        <f aca="false">IFERROR(INDEX(店舗マスタ!$B$5:$B$304,MATCH("アルチビオ|1",店舗マスタ!$L$5:$L$304,0)),"")</f>
        <v>32570100</v>
      </c>
      <c r="C6" s="28" t="str">
        <f aca="false">IF($B6="","",INDEX(店舗マスタ!$C$5:$C$304,MATCH($B6,店舗マスタ!$B$5:$B$304,0)))</f>
        <v>高島屋大阪店</v>
      </c>
      <c r="D6" s="30" t="n">
        <f aca="false">IF($B6="","",INDEX(店舗マスタ!$G$5:$G$304,MATCH($B6,店舗マスタ!$B$5:$B$304,0)))</f>
        <v>2048565</v>
      </c>
      <c r="E6" s="30" t="n">
        <f aca="false">IF($B6="","",INDEX(店舗マスタ!$P$5:$P$304,MATCH($B6,店舗マスタ!$B$5:$B$304,0)))</f>
        <v>1959835</v>
      </c>
      <c r="F6" s="30" t="n">
        <f aca="false">IF($B6="","",INDEX(店舗マスタ!$R$5:$R$304,MATCH($B6,店舗マスタ!$B$5:$B$304,0)))</f>
        <v>88730</v>
      </c>
      <c r="G6" s="31" t="n">
        <f aca="false">IF(OR($B6="",F6=""),"",IF(D6=0,"-",F6/D6))</f>
        <v>0.0433132461015394</v>
      </c>
      <c r="H6" s="30" t="n">
        <f aca="false">IF($B6="","",INDEX(店舗マスタ!$H$5:$H$304,MATCH($B6,店舗マスタ!$B$5:$B$304,0)))</f>
        <v>2150000</v>
      </c>
      <c r="I6" s="31" t="n">
        <f aca="false">IF($B6="","",IF(H6=0,"-",D6/H6))</f>
        <v>0.952820930232558</v>
      </c>
      <c r="J6" s="30" t="n">
        <f aca="false">IF($B6="","",INDEX(店舗マスタ!$I$5:$I$304,MATCH($B6,店舗マスタ!$B$5:$B$304,0)))</f>
        <v>2098500</v>
      </c>
      <c r="K6" s="30" t="n">
        <f aca="false">IF($B6="","",INDEX(店舗マスタ!$Q$5:$Q$304,MATCH($B6,店舗マスタ!$B$5:$B$304,0)))</f>
        <v>1916000</v>
      </c>
      <c r="L6" s="30" t="n">
        <f aca="false">IF($B6="","",INDEX(店舗マスタ!$S$5:$S$304,MATCH($B6,店舗マスタ!$B$5:$B$304,0)))</f>
        <v>182500</v>
      </c>
      <c r="M6" s="32" t="n">
        <f aca="false">IF(OR($B6="",D6=""),"",IF(N(J6)=0,"前年なし",D6/J6))</f>
        <v>0.976204431736955</v>
      </c>
      <c r="N6" s="32" t="n">
        <f aca="false">IF(OR($B6="",E6=""),"",IF(N(K6)=0,"前年なし",E6/K6))</f>
        <v>1.02287839248434</v>
      </c>
      <c r="O6" s="32" t="n">
        <f aca="false">IF(OR($B6="",F6=""),"",IF(N(L6)=0,"前年なし",F6/L6))</f>
        <v>0.486191780821918</v>
      </c>
    </row>
    <row r="7" customFormat="false" ht="15" hidden="false" customHeight="false" outlineLevel="0" collapsed="false">
      <c r="A7" s="28" t="str">
        <f aca="false">IF($B7="","","アルチビオ")</f>
        <v>アルチビオ</v>
      </c>
      <c r="B7" s="29" t="n">
        <f aca="false">IFERROR(INDEX(店舗マスタ!$B$5:$B$304,MATCH("アルチビオ|2",店舗マスタ!$L$5:$L$304,0)),"")</f>
        <v>32571600</v>
      </c>
      <c r="C7" s="28" t="str">
        <f aca="false">IF($B7="","",INDEX(店舗マスタ!$C$5:$C$304,MATCH($B7,店舗マスタ!$B$5:$B$304,0)))</f>
        <v>ジェイアール名古屋タカシマヤ店</v>
      </c>
      <c r="D7" s="30" t="n">
        <f aca="false">IF($B7="","",INDEX(店舗マスタ!$G$5:$G$304,MATCH($B7,店舗マスタ!$B$5:$B$304,0)))</f>
        <v>3250690</v>
      </c>
      <c r="E7" s="30" t="n">
        <f aca="false">IF($B7="","",INDEX(店舗マスタ!$P$5:$P$304,MATCH($B7,店舗マスタ!$B$5:$B$304,0)))</f>
        <v>2783500</v>
      </c>
      <c r="F7" s="30" t="n">
        <f aca="false">IF($B7="","",INDEX(店舗マスタ!$R$5:$R$304,MATCH($B7,店舗マスタ!$B$5:$B$304,0)))</f>
        <v>467190</v>
      </c>
      <c r="G7" s="31" t="n">
        <f aca="false">IF(OR($B7="",F7=""),"",IF(D7=0,"-",F7/D7))</f>
        <v>0.143720256314813</v>
      </c>
      <c r="H7" s="30" t="n">
        <f aca="false">IF($B7="","",INDEX(店舗マスタ!$H$5:$H$304,MATCH($B7,店舗マスタ!$B$5:$B$304,0)))</f>
        <v>3681000</v>
      </c>
      <c r="I7" s="31" t="n">
        <f aca="false">IF($B7="","",IF(H7=0,"-",D7/H7))</f>
        <v>0.883099701168161</v>
      </c>
      <c r="J7" s="30" t="n">
        <f aca="false">IF($B7="","",INDEX(店舗マスタ!$I$5:$I$304,MATCH($B7,店舗マスタ!$B$5:$B$304,0)))</f>
        <v>3216380</v>
      </c>
      <c r="K7" s="30" t="n">
        <f aca="false">IF($B7="","",INDEX(店舗マスタ!$Q$5:$Q$304,MATCH($B7,店舗マスタ!$B$5:$B$304,0)))</f>
        <v>3003000</v>
      </c>
      <c r="L7" s="30" t="n">
        <f aca="false">IF($B7="","",INDEX(店舗マスタ!$S$5:$S$304,MATCH($B7,店舗マスタ!$B$5:$B$304,0)))</f>
        <v>213380</v>
      </c>
      <c r="M7" s="32" t="n">
        <f aca="false">IF(OR($B7="",D7=""),"",IF(N(J7)=0,"前年なし",D7/J7))</f>
        <v>1.01066727190195</v>
      </c>
      <c r="N7" s="32" t="n">
        <f aca="false">IF(OR($B7="",E7=""),"",IF(N(K7)=0,"前年なし",E7/K7))</f>
        <v>0.926906426906427</v>
      </c>
      <c r="O7" s="32" t="n">
        <f aca="false">IF(OR($B7="",F7=""),"",IF(N(L7)=0,"前年なし",F7/L7))</f>
        <v>2.18947417752367</v>
      </c>
    </row>
    <row r="8" customFormat="false" ht="15" hidden="false" customHeight="false" outlineLevel="0" collapsed="false">
      <c r="A8" s="28" t="str">
        <f aca="false">IF($B8="","","アルチビオ")</f>
        <v>アルチビオ</v>
      </c>
      <c r="B8" s="29" t="n">
        <f aca="false">IFERROR(INDEX(店舗マスタ!$B$5:$B$304,MATCH("アルチビオ|3",店舗マスタ!$L$5:$L$304,0)),"")</f>
        <v>32580400</v>
      </c>
      <c r="C8" s="28" t="str">
        <f aca="false">IF($B8="","",INDEX(店舗マスタ!$C$5:$C$304,MATCH($B8,店舗マスタ!$B$5:$B$304,0)))</f>
        <v>ハービスPLAZA店</v>
      </c>
      <c r="D8" s="30" t="n">
        <f aca="false">IF($B8="","",INDEX(店舗マスタ!$G$5:$G$304,MATCH($B8,店舗マスタ!$B$5:$B$304,0)))</f>
        <v>2922845</v>
      </c>
      <c r="E8" s="30" t="n">
        <f aca="false">IF($B8="","",INDEX(店舗マスタ!$P$5:$P$304,MATCH($B8,店舗マスタ!$B$5:$B$304,0)))</f>
        <v>1946845</v>
      </c>
      <c r="F8" s="30" t="n">
        <f aca="false">IF($B8="","",INDEX(店舗マスタ!$R$5:$R$304,MATCH($B8,店舗マスタ!$B$5:$B$304,0)))</f>
        <v>976000</v>
      </c>
      <c r="G8" s="31" t="n">
        <f aca="false">IF(OR($B8="",F8=""),"",IF(D8=0,"-",F8/D8))</f>
        <v>0.333921230855553</v>
      </c>
      <c r="H8" s="30" t="n">
        <f aca="false">IF($B8="","",INDEX(店舗マスタ!$H$5:$H$304,MATCH($B8,店舗マスタ!$B$5:$B$304,0)))</f>
        <v>3613000</v>
      </c>
      <c r="I8" s="31" t="n">
        <f aca="false">IF($B8="","",IF(H8=0,"-",D8/H8))</f>
        <v>0.808980071962358</v>
      </c>
      <c r="J8" s="30" t="n">
        <f aca="false">IF($B8="","",INDEX(店舗マスタ!$I$5:$I$304,MATCH($B8,店舗マスタ!$B$5:$B$304,0)))</f>
        <v>3478940</v>
      </c>
      <c r="K8" s="30" t="n">
        <f aca="false">IF($B8="","",INDEX(店舗マスタ!$Q$5:$Q$304,MATCH($B8,店舗マスタ!$B$5:$B$304,0)))</f>
        <v>1717190</v>
      </c>
      <c r="L8" s="30" t="n">
        <f aca="false">IF($B8="","",INDEX(店舗マスタ!$S$5:$S$304,MATCH($B8,店舗マスタ!$B$5:$B$304,0)))</f>
        <v>1761750</v>
      </c>
      <c r="M8" s="32" t="n">
        <f aca="false">IF(OR($B8="",D8=""),"",IF(N(J8)=0,"前年なし",D8/J8))</f>
        <v>0.840153897451523</v>
      </c>
      <c r="N8" s="32" t="n">
        <f aca="false">IF(OR($B8="",E8=""),"",IF(N(K8)=0,"前年なし",E8/K8))</f>
        <v>1.13373884078058</v>
      </c>
      <c r="O8" s="32" t="n">
        <f aca="false">IF(OR($B8="",F8=""),"",IF(N(L8)=0,"前年なし",F8/L8))</f>
        <v>0.553994607634454</v>
      </c>
    </row>
    <row r="9" customFormat="false" ht="15" hidden="false" customHeight="false" outlineLevel="0" collapsed="false">
      <c r="A9" s="28" t="str">
        <f aca="false">IF($B9="","","アルチビオ")</f>
        <v>アルチビオ</v>
      </c>
      <c r="B9" s="29" t="n">
        <f aca="false">IFERROR(INDEX(店舗マスタ!$B$5:$B$304,MATCH("アルチビオ|4",店舗マスタ!$L$5:$L$304,0)),"")</f>
        <v>32581000</v>
      </c>
      <c r="C9" s="28" t="str">
        <f aca="false">IF($B9="","",INDEX(店舗マスタ!$C$5:$C$304,MATCH($B9,店舗マスタ!$B$5:$B$304,0)))</f>
        <v>堀江店</v>
      </c>
      <c r="D9" s="30" t="n">
        <f aca="false">IF($B9="","",INDEX(店舗マスタ!$G$5:$G$304,MATCH($B9,店舗マスタ!$B$5:$B$304,0)))</f>
        <v>1572240</v>
      </c>
      <c r="E9" s="30" t="n">
        <f aca="false">IF($B9="","",INDEX(店舗マスタ!$P$5:$P$304,MATCH($B9,店舗マスタ!$B$5:$B$304,0)))</f>
        <v>659140</v>
      </c>
      <c r="F9" s="30" t="n">
        <f aca="false">IF($B9="","",INDEX(店舗マスタ!$R$5:$R$304,MATCH($B9,店舗マスタ!$B$5:$B$304,0)))</f>
        <v>913100</v>
      </c>
      <c r="G9" s="31" t="n">
        <f aca="false">IF(OR($B9="",F9=""),"",IF(D9=0,"-",F9/D9))</f>
        <v>0.58076375108126</v>
      </c>
      <c r="H9" s="30" t="n">
        <f aca="false">IF($B9="","",INDEX(店舗マスタ!$H$5:$H$304,MATCH($B9,店舗マスタ!$B$5:$B$304,0)))</f>
        <v>2787000</v>
      </c>
      <c r="I9" s="31" t="n">
        <f aca="false">IF($B9="","",IF(H9=0,"-",D9/H9))</f>
        <v>0.564133476856835</v>
      </c>
      <c r="J9" s="30" t="n">
        <f aca="false">IF($B9="","",INDEX(店舗マスタ!$I$5:$I$304,MATCH($B9,店舗マスタ!$B$5:$B$304,0)))</f>
        <v>2688196</v>
      </c>
      <c r="K9" s="30" t="n">
        <f aca="false">IF($B9="","",INDEX(店舗マスタ!$Q$5:$Q$304,MATCH($B9,店舗マスタ!$B$5:$B$304,0)))</f>
        <v>1676126</v>
      </c>
      <c r="L9" s="30" t="n">
        <f aca="false">IF($B9="","",INDEX(店舗マスタ!$S$5:$S$304,MATCH($B9,店舗マスタ!$B$5:$B$304,0)))</f>
        <v>1012070</v>
      </c>
      <c r="M9" s="32" t="n">
        <f aca="false">IF(OR($B9="",D9=""),"",IF(N(J9)=0,"前年なし",D9/J9))</f>
        <v>0.584868067655781</v>
      </c>
      <c r="N9" s="32" t="n">
        <f aca="false">IF(OR($B9="",E9=""),"",IF(N(K9)=0,"前年なし",E9/K9))</f>
        <v>0.393252058616118</v>
      </c>
      <c r="O9" s="32" t="n">
        <f aca="false">IF(OR($B9="",F9=""),"",IF(N(L9)=0,"前年なし",F9/L9))</f>
        <v>0.902210321420455</v>
      </c>
    </row>
    <row r="10" customFormat="false" ht="15" hidden="false" customHeight="false" outlineLevel="0" collapsed="false">
      <c r="A10" s="28" t="str">
        <f aca="false">IF($B10="","","アルチビオ")</f>
        <v>アルチビオ</v>
      </c>
      <c r="B10" s="29" t="n">
        <f aca="false">IFERROR(INDEX(店舗マスタ!$B$5:$B$304,MATCH("アルチビオ|5",店舗マスタ!$L$5:$L$304,0)),"")</f>
        <v>32670600</v>
      </c>
      <c r="C10" s="28" t="str">
        <f aca="false">IF($B10="","",INDEX(店舗マスタ!$C$5:$C$304,MATCH($B10,店舗マスタ!$B$5:$B$304,0)))</f>
        <v>高島屋新宿店</v>
      </c>
      <c r="D10" s="30" t="n">
        <f aca="false">IF($B10="","",INDEX(店舗マスタ!$G$5:$G$304,MATCH($B10,店舗マスタ!$B$5:$B$304,0)))</f>
        <v>2991974</v>
      </c>
      <c r="E10" s="30" t="n">
        <f aca="false">IF($B10="","",INDEX(店舗マスタ!$P$5:$P$304,MATCH($B10,店舗マスタ!$B$5:$B$304,0)))</f>
        <v>2613574</v>
      </c>
      <c r="F10" s="30" t="n">
        <f aca="false">IF($B10="","",INDEX(店舗マスタ!$R$5:$R$304,MATCH($B10,店舗マスタ!$B$5:$B$304,0)))</f>
        <v>378400</v>
      </c>
      <c r="G10" s="31" t="n">
        <f aca="false">IF(OR($B10="",F10=""),"",IF(D10=0,"-",F10/D10))</f>
        <v>0.126471687253967</v>
      </c>
      <c r="H10" s="30" t="n">
        <f aca="false">IF($B10="","",INDEX(店舗マスタ!$H$5:$H$304,MATCH($B10,店舗マスタ!$B$5:$B$304,0)))</f>
        <v>2571000</v>
      </c>
      <c r="I10" s="31" t="n">
        <f aca="false">IF($B10="","",IF(H10=0,"-",D10/H10))</f>
        <v>1.16373940101128</v>
      </c>
      <c r="J10" s="30" t="n">
        <f aca="false">IF($B10="","",INDEX(店舗マスタ!$I$5:$I$304,MATCH($B10,店舗マスタ!$B$5:$B$304,0)))</f>
        <v>2496485</v>
      </c>
      <c r="K10" s="30" t="n">
        <f aca="false">IF($B10="","",INDEX(店舗マスタ!$Q$5:$Q$304,MATCH($B10,店舗マスタ!$B$5:$B$304,0)))</f>
        <v>2460585</v>
      </c>
      <c r="L10" s="30" t="n">
        <f aca="false">IF($B10="","",INDEX(店舗マスタ!$S$5:$S$304,MATCH($B10,店舗マスタ!$B$5:$B$304,0)))</f>
        <v>35900</v>
      </c>
      <c r="M10" s="32" t="n">
        <f aca="false">IF(OR($B10="",D10=""),"",IF(N(J10)=0,"前年なし",D10/J10))</f>
        <v>1.19847465536544</v>
      </c>
      <c r="N10" s="32" t="n">
        <f aca="false">IF(OR($B10="",E10=""),"",IF(N(K10)=0,"前年なし",E10/K10))</f>
        <v>1.06217586468259</v>
      </c>
      <c r="O10" s="32" t="n">
        <f aca="false">IF(OR($B10="",F10=""),"",IF(N(L10)=0,"前年なし",F10/L10))</f>
        <v>10.5403899721448</v>
      </c>
    </row>
    <row r="11" customFormat="false" ht="15" hidden="false" customHeight="false" outlineLevel="0" collapsed="false">
      <c r="A11" s="28" t="str">
        <f aca="false">IF($B11="","","アルチビオ")</f>
        <v>アルチビオ</v>
      </c>
      <c r="B11" s="29" t="n">
        <f aca="false">IFERROR(INDEX(店舗マスタ!$B$5:$B$304,MATCH("アルチビオ|6",店舗マスタ!$L$5:$L$304,0)),"")</f>
        <v>32673500</v>
      </c>
      <c r="C11" s="28" t="str">
        <f aca="false">IF($B11="","",INDEX(店舗マスタ!$C$5:$C$304,MATCH($B11,店舗マスタ!$B$5:$B$304,0)))</f>
        <v>日本橋三越本店</v>
      </c>
      <c r="D11" s="30" t="n">
        <f aca="false">IF($B11="","",INDEX(店舗マスタ!$G$5:$G$304,MATCH($B11,店舗マスタ!$B$5:$B$304,0)))</f>
        <v>3069240</v>
      </c>
      <c r="E11" s="30" t="n">
        <f aca="false">IF($B11="","",INDEX(店舗マスタ!$P$5:$P$304,MATCH($B11,店舗マスタ!$B$5:$B$304,0)))</f>
        <v>2845200</v>
      </c>
      <c r="F11" s="30" t="n">
        <f aca="false">IF($B11="","",INDEX(店舗マスタ!$R$5:$R$304,MATCH($B11,店舗マスタ!$B$5:$B$304,0)))</f>
        <v>224040</v>
      </c>
      <c r="G11" s="31" t="n">
        <f aca="false">IF(OR($B11="",F11=""),"",IF(D11=0,"-",F11/D11))</f>
        <v>0.0729952691871603</v>
      </c>
      <c r="H11" s="30" t="n">
        <f aca="false">IF($B11="","",INDEX(店舗マスタ!$H$5:$H$304,MATCH($B11,店舗マスタ!$B$5:$B$304,0)))</f>
        <v>2691000</v>
      </c>
      <c r="I11" s="31" t="n">
        <f aca="false">IF($B11="","",IF(H11=0,"-",D11/H11))</f>
        <v>1.14055741360089</v>
      </c>
      <c r="J11" s="30" t="n">
        <f aca="false">IF($B11="","",INDEX(店舗マスタ!$I$5:$I$304,MATCH($B11,店舗マスタ!$B$5:$B$304,0)))</f>
        <v>2647100</v>
      </c>
      <c r="K11" s="30" t="n">
        <f aca="false">IF($B11="","",INDEX(店舗マスタ!$Q$5:$Q$304,MATCH($B11,店舗マスタ!$B$5:$B$304,0)))</f>
        <v>2619200</v>
      </c>
      <c r="L11" s="30" t="n">
        <f aca="false">IF($B11="","",INDEX(店舗マスタ!$S$5:$S$304,MATCH($B11,店舗マスタ!$B$5:$B$304,0)))</f>
        <v>27900</v>
      </c>
      <c r="M11" s="32" t="n">
        <f aca="false">IF(OR($B11="",D11=""),"",IF(N(J11)=0,"前年なし",D11/J11))</f>
        <v>1.15947263042575</v>
      </c>
      <c r="N11" s="32" t="n">
        <f aca="false">IF(OR($B11="",E11=""),"",IF(N(K11)=0,"前年なし",E11/K11))</f>
        <v>1.08628588882101</v>
      </c>
      <c r="O11" s="32" t="n">
        <f aca="false">IF(OR($B11="",F11=""),"",IF(N(L11)=0,"前年なし",F11/L11))</f>
        <v>8.03010752688172</v>
      </c>
    </row>
    <row r="12" customFormat="false" ht="15" hidden="false" customHeight="false" outlineLevel="0" collapsed="false">
      <c r="A12" s="28" t="str">
        <f aca="false">IF($B12="","","アルチビオ")</f>
        <v>アルチビオ</v>
      </c>
      <c r="B12" s="29" t="n">
        <f aca="false">IFERROR(INDEX(店舗マスタ!$B$5:$B$304,MATCH("アルチビオ|7",店舗マスタ!$L$5:$L$304,0)),"")</f>
        <v>32673800</v>
      </c>
      <c r="C12" s="28" t="str">
        <f aca="false">IF($B12="","",INDEX(店舗マスタ!$C$5:$C$304,MATCH($B12,店舗マスタ!$B$5:$B$304,0)))</f>
        <v>高島屋横浜店</v>
      </c>
      <c r="D12" s="30" t="n">
        <f aca="false">IF($B12="","",INDEX(店舗マスタ!$G$5:$G$304,MATCH($B12,店舗マスタ!$B$5:$B$304,0)))</f>
        <v>1579789</v>
      </c>
      <c r="E12" s="30" t="n">
        <f aca="false">IF($B12="","",INDEX(店舗マスタ!$P$5:$P$304,MATCH($B12,店舗マスタ!$B$5:$B$304,0)))</f>
        <v>1123189</v>
      </c>
      <c r="F12" s="30" t="n">
        <f aca="false">IF($B12="","",INDEX(店舗マスタ!$R$5:$R$304,MATCH($B12,店舗マスタ!$B$5:$B$304,0)))</f>
        <v>456600</v>
      </c>
      <c r="G12" s="31" t="n">
        <f aca="false">IF(OR($B12="",F12=""),"",IF(D12=0,"-",F12/D12))</f>
        <v>0.289025939540027</v>
      </c>
      <c r="H12" s="30" t="n">
        <f aca="false">IF($B12="","",INDEX(店舗マスタ!$H$5:$H$304,MATCH($B12,店舗マスタ!$B$5:$B$304,0)))</f>
        <v>1900000</v>
      </c>
      <c r="I12" s="31" t="n">
        <f aca="false">IF($B12="","",IF(H12=0,"-",D12/H12))</f>
        <v>0.831467894736842</v>
      </c>
      <c r="J12" s="30" t="n">
        <f aca="false">IF($B12="","",INDEX(店舗マスタ!$I$5:$I$304,MATCH($B12,店舗マスタ!$B$5:$B$304,0)))</f>
        <v>1483030</v>
      </c>
      <c r="K12" s="30" t="n">
        <f aca="false">IF($B12="","",INDEX(店舗マスタ!$Q$5:$Q$304,MATCH($B12,店舗マスタ!$B$5:$B$304,0)))</f>
        <v>1314530</v>
      </c>
      <c r="L12" s="30" t="n">
        <f aca="false">IF($B12="","",INDEX(店舗マスタ!$S$5:$S$304,MATCH($B12,店舗マスタ!$B$5:$B$304,0)))</f>
        <v>168500</v>
      </c>
      <c r="M12" s="32" t="n">
        <f aca="false">IF(OR($B12="",D12=""),"",IF(N(J12)=0,"前年なし",D12/J12))</f>
        <v>1.06524412857461</v>
      </c>
      <c r="N12" s="32" t="n">
        <f aca="false">IF(OR($B12="",E12=""),"",IF(N(K12)=0,"前年なし",E12/K12))</f>
        <v>0.854441511414726</v>
      </c>
      <c r="O12" s="32" t="n">
        <f aca="false">IF(OR($B12="",F12=""),"",IF(N(L12)=0,"前年なし",F12/L12))</f>
        <v>2.70979228486647</v>
      </c>
    </row>
    <row r="13" customFormat="false" ht="15" hidden="false" customHeight="false" outlineLevel="0" collapsed="false">
      <c r="A13" s="28" t="str">
        <f aca="false">IF($B13="","","アルチビオ")</f>
        <v>アルチビオ</v>
      </c>
      <c r="B13" s="29" t="n">
        <f aca="false">IFERROR(INDEX(店舗マスタ!$B$5:$B$304,MATCH("アルチビオ|8",店舗マスタ!$L$5:$L$304,0)),"")</f>
        <v>32673900</v>
      </c>
      <c r="C13" s="28" t="str">
        <f aca="false">IF($B13="","",INDEX(店舗マスタ!$C$5:$C$304,MATCH($B13,店舗マスタ!$B$5:$B$304,0)))</f>
        <v>高島屋高崎店</v>
      </c>
      <c r="D13" s="30" t="n">
        <f aca="false">IF($B13="","",INDEX(店舗マスタ!$G$5:$G$304,MATCH($B13,店舗マスタ!$B$5:$B$304,0)))</f>
        <v>1117980</v>
      </c>
      <c r="E13" s="30" t="n">
        <f aca="false">IF($B13="","",INDEX(店舗マスタ!$P$5:$P$304,MATCH($B13,店舗マスタ!$B$5:$B$304,0)))</f>
        <v>880280</v>
      </c>
      <c r="F13" s="30" t="n">
        <f aca="false">IF($B13="","",INDEX(店舗マスタ!$R$5:$R$304,MATCH($B13,店舗マスタ!$B$5:$B$304,0)))</f>
        <v>237700</v>
      </c>
      <c r="G13" s="31" t="n">
        <f aca="false">IF(OR($B13="",F13=""),"",IF(D13=0,"-",F13/D13))</f>
        <v>0.212615610297143</v>
      </c>
      <c r="H13" s="30" t="n">
        <f aca="false">IF($B13="","",INDEX(店舗マスタ!$H$5:$H$304,MATCH($B13,店舗マスタ!$B$5:$B$304,0)))</f>
        <v>1249000</v>
      </c>
      <c r="I13" s="31" t="n">
        <f aca="false">IF($B13="","",IF(H13=0,"-",D13/H13))</f>
        <v>0.895100080064051</v>
      </c>
      <c r="J13" s="30" t="n">
        <f aca="false">IF($B13="","",INDEX(店舗マスタ!$I$5:$I$304,MATCH($B13,店舗マスタ!$B$5:$B$304,0)))</f>
        <v>1132140</v>
      </c>
      <c r="K13" s="30" t="n">
        <f aca="false">IF($B13="","",INDEX(店舗マスタ!$Q$5:$Q$304,MATCH($B13,店舗マスタ!$B$5:$B$304,0)))</f>
        <v>994940</v>
      </c>
      <c r="L13" s="30" t="n">
        <f aca="false">IF($B13="","",INDEX(店舗マスタ!$S$5:$S$304,MATCH($B13,店舗マスタ!$B$5:$B$304,0)))</f>
        <v>137200</v>
      </c>
      <c r="M13" s="32" t="n">
        <f aca="false">IF(OR($B13="",D13=""),"",IF(N(J13)=0,"前年なし",D13/J13))</f>
        <v>0.987492712915364</v>
      </c>
      <c r="N13" s="32" t="n">
        <f aca="false">IF(OR($B13="",E13=""),"",IF(N(K13)=0,"前年なし",E13/K13))</f>
        <v>0.884756869760991</v>
      </c>
      <c r="O13" s="32" t="n">
        <f aca="false">IF(OR($B13="",F13=""),"",IF(N(L13)=0,"前年なし",F13/L13))</f>
        <v>1.73250728862974</v>
      </c>
    </row>
    <row r="14" customFormat="false" ht="15" hidden="false" customHeight="false" outlineLevel="0" collapsed="false">
      <c r="A14" s="28" t="str">
        <f aca="false">IF($B14="","","アルチビオ")</f>
        <v>アルチビオ</v>
      </c>
      <c r="B14" s="29" t="n">
        <f aca="false">IFERROR(INDEX(店舗マスタ!$B$5:$B$304,MATCH("アルチビオ|9",店舗マスタ!$L$5:$L$304,0)),"")</f>
        <v>32674400</v>
      </c>
      <c r="C14" s="28" t="str">
        <f aca="false">IF($B14="","",INDEX(店舗マスタ!$C$5:$C$304,MATCH($B14,店舗マスタ!$B$5:$B$304,0)))</f>
        <v>伊勢丹浦和店</v>
      </c>
      <c r="D14" s="30" t="n">
        <f aca="false">IF($B14="","",INDEX(店舗マスタ!$G$5:$G$304,MATCH($B14,店舗マスタ!$B$5:$B$304,0)))</f>
        <v>469470</v>
      </c>
      <c r="E14" s="30" t="n">
        <f aca="false">IF($B14="","",INDEX(店舗マスタ!$P$5:$P$304,MATCH($B14,店舗マスタ!$B$5:$B$304,0)))</f>
        <v>206800</v>
      </c>
      <c r="F14" s="30" t="n">
        <f aca="false">IF($B14="","",INDEX(店舗マスタ!$R$5:$R$304,MATCH($B14,店舗マスタ!$B$5:$B$304,0)))</f>
        <v>262670</v>
      </c>
      <c r="G14" s="31" t="n">
        <f aca="false">IF(OR($B14="",F14=""),"",IF(D14=0,"-",F14/D14))</f>
        <v>0.559503269644493</v>
      </c>
      <c r="H14" s="30" t="n">
        <f aca="false">IF($B14="","",INDEX(店舗マスタ!$H$5:$H$304,MATCH($B14,店舗マスタ!$B$5:$B$304,0)))</f>
        <v>1100000</v>
      </c>
      <c r="I14" s="31" t="n">
        <f aca="false">IF($B14="","",IF(H14=0,"-",D14/H14))</f>
        <v>0.426790909090909</v>
      </c>
      <c r="J14" s="30" t="n">
        <f aca="false">IF($B14="","",INDEX(店舗マスタ!$I$5:$I$304,MATCH($B14,店舗マスタ!$B$5:$B$304,0)))</f>
        <v>1083300</v>
      </c>
      <c r="K14" s="30" t="n">
        <f aca="false">IF($B14="","",INDEX(店舗マスタ!$Q$5:$Q$304,MATCH($B14,店舗マスタ!$B$5:$B$304,0)))</f>
        <v>923300</v>
      </c>
      <c r="L14" s="30" t="n">
        <f aca="false">IF($B14="","",INDEX(店舗マスタ!$S$5:$S$304,MATCH($B14,店舗マスタ!$B$5:$B$304,0)))</f>
        <v>160000</v>
      </c>
      <c r="M14" s="32" t="n">
        <f aca="false">IF(OR($B14="",D14=""),"",IF(N(J14)=0,"前年なし",D14/J14))</f>
        <v>0.433370257546386</v>
      </c>
      <c r="N14" s="32" t="n">
        <f aca="false">IF(OR($B14="",E14=""),"",IF(N(K14)=0,"前年なし",E14/K14))</f>
        <v>0.223979205025452</v>
      </c>
      <c r="O14" s="32" t="n">
        <f aca="false">IF(OR($B14="",F14=""),"",IF(N(L14)=0,"前年なし",F14/L14))</f>
        <v>1.6416875</v>
      </c>
    </row>
    <row r="15" customFormat="false" ht="15" hidden="false" customHeight="false" outlineLevel="0" collapsed="false">
      <c r="A15" s="28" t="str">
        <f aca="false">IF($B15="","","アルチビオ")</f>
        <v>アルチビオ</v>
      </c>
      <c r="B15" s="29" t="n">
        <f aca="false">IFERROR(INDEX(店舗マスタ!$B$5:$B$304,MATCH("アルチビオ|10",店舗マスタ!$L$5:$L$304,0)),"")</f>
        <v>32674900</v>
      </c>
      <c r="C15" s="28" t="str">
        <f aca="false">IF($B15="","",INDEX(店舗マスタ!$C$5:$C$304,MATCH($B15,店舗マスタ!$B$5:$B$304,0)))</f>
        <v>松屋銀座本店</v>
      </c>
      <c r="D15" s="30" t="n">
        <f aca="false">IF($B15="","",INDEX(店舗マスタ!$G$5:$G$304,MATCH($B15,店舗マスタ!$B$5:$B$304,0)))</f>
        <v>1425313</v>
      </c>
      <c r="E15" s="30" t="n">
        <f aca="false">IF($B15="","",INDEX(店舗マスタ!$P$5:$P$304,MATCH($B15,店舗マスタ!$B$5:$B$304,0)))</f>
        <v>1207333</v>
      </c>
      <c r="F15" s="30" t="n">
        <f aca="false">IF($B15="","",INDEX(店舗マスタ!$R$5:$R$304,MATCH($B15,店舗マスタ!$B$5:$B$304,0)))</f>
        <v>217980</v>
      </c>
      <c r="G15" s="31" t="n">
        <f aca="false">IF(OR($B15="",F15=""),"",IF(D15=0,"-",F15/D15))</f>
        <v>0.152934829051584</v>
      </c>
      <c r="H15" s="30" t="n">
        <f aca="false">IF($B15="","",INDEX(店舗マスタ!$H$5:$H$304,MATCH($B15,店舗マスタ!$B$5:$B$304,0)))</f>
        <v>2512000</v>
      </c>
      <c r="I15" s="31" t="n">
        <f aca="false">IF($B15="","",IF(H15=0,"-",D15/H15))</f>
        <v>0.567401671974522</v>
      </c>
      <c r="J15" s="30" t="n">
        <f aca="false">IF($B15="","",INDEX(店舗マスタ!$I$5:$I$304,MATCH($B15,店舗マスタ!$B$5:$B$304,0)))</f>
        <v>1955945</v>
      </c>
      <c r="K15" s="30" t="n">
        <f aca="false">IF($B15="","",INDEX(店舗マスタ!$Q$5:$Q$304,MATCH($B15,店舗マスタ!$B$5:$B$304,0)))</f>
        <v>1911245</v>
      </c>
      <c r="L15" s="30" t="n">
        <f aca="false">IF($B15="","",INDEX(店舗マスタ!$S$5:$S$304,MATCH($B15,店舗マスタ!$B$5:$B$304,0)))</f>
        <v>44700</v>
      </c>
      <c r="M15" s="32" t="n">
        <f aca="false">IF(OR($B15="",D15=""),"",IF(N(J15)=0,"前年なし",D15/J15))</f>
        <v>0.728708118070805</v>
      </c>
      <c r="N15" s="32" t="n">
        <f aca="false">IF(OR($B15="",E15=""),"",IF(N(K15)=0,"前年なし",E15/K15))</f>
        <v>0.631699755918263</v>
      </c>
      <c r="O15" s="32" t="n">
        <f aca="false">IF(OR($B15="",F15=""),"",IF(N(L15)=0,"前年なし",F15/L15))</f>
        <v>4.87651006711409</v>
      </c>
    </row>
    <row r="16" customFormat="false" ht="15" hidden="false" customHeight="false" outlineLevel="0" collapsed="false">
      <c r="A16" s="28" t="str">
        <f aca="false">IF($B16="","","アルチビオ")</f>
        <v>アルチビオ</v>
      </c>
      <c r="B16" s="29" t="n">
        <f aca="false">IFERROR(INDEX(店舗マスタ!$B$5:$B$304,MATCH("アルチビオ|11",店舗マスタ!$L$5:$L$304,0)),"")</f>
        <v>32680600</v>
      </c>
      <c r="C16" s="28" t="str">
        <f aca="false">IF($B16="","",INDEX(店舗マスタ!$C$5:$C$304,MATCH($B16,店舗マスタ!$B$5:$B$304,0)))</f>
        <v>那須ガーデンアウトレット店</v>
      </c>
      <c r="D16" s="30" t="n">
        <f aca="false">IF($B16="","",INDEX(店舗マスタ!$G$5:$G$304,MATCH($B16,店舗マスタ!$B$5:$B$304,0)))</f>
        <v>1066595</v>
      </c>
      <c r="E16" s="30" t="n">
        <f aca="false">IF($B16="","",INDEX(店舗マスタ!$P$5:$P$304,MATCH($B16,店舗マスタ!$B$5:$B$304,0)))</f>
        <v>-4655</v>
      </c>
      <c r="F16" s="30" t="n">
        <f aca="false">IF($B16="","",INDEX(店舗マスタ!$R$5:$R$304,MATCH($B16,店舗マスタ!$B$5:$B$304,0)))</f>
        <v>1071250</v>
      </c>
      <c r="G16" s="31" t="n">
        <f aca="false">IF(OR($B16="",F16=""),"",IF(D16=0,"-",F16/D16))</f>
        <v>1.00436435573015</v>
      </c>
      <c r="H16" s="30" t="n">
        <f aca="false">IF($B16="","",INDEX(店舗マスタ!$H$5:$H$304,MATCH($B16,店舗マスタ!$B$5:$B$304,0)))</f>
        <v>2600000</v>
      </c>
      <c r="I16" s="31" t="n">
        <f aca="false">IF($B16="","",IF(H16=0,"-",D16/H16))</f>
        <v>0.410228846153846</v>
      </c>
      <c r="J16" s="30" t="n">
        <f aca="false">IF($B16="","",INDEX(店舗マスタ!$I$5:$I$304,MATCH($B16,店舗マスタ!$B$5:$B$304,0)))</f>
        <v>1845195</v>
      </c>
      <c r="K16" s="30" t="n">
        <f aca="false">IF($B16="","",INDEX(店舗マスタ!$Q$5:$Q$304,MATCH($B16,店舗マスタ!$B$5:$B$304,0)))</f>
        <v>7355</v>
      </c>
      <c r="L16" s="30" t="n">
        <f aca="false">IF($B16="","",INDEX(店舗マスタ!$S$5:$S$304,MATCH($B16,店舗マスタ!$B$5:$B$304,0)))</f>
        <v>1837840</v>
      </c>
      <c r="M16" s="32" t="n">
        <f aca="false">IF(OR($B16="",D16=""),"",IF(N(J16)=0,"前年なし",D16/J16))</f>
        <v>0.578039177431112</v>
      </c>
      <c r="N16" s="32" t="n">
        <f aca="false">IF(OR($B16="",E16=""),"",IF(N(K16)=0,"前年なし",E16/K16))</f>
        <v>-0.632902787219579</v>
      </c>
      <c r="O16" s="32" t="n">
        <f aca="false">IF(OR($B16="",F16=""),"",IF(N(L16)=0,"前年なし",F16/L16))</f>
        <v>0.582885343664302</v>
      </c>
    </row>
    <row r="17" customFormat="false" ht="15" hidden="false" customHeight="false" outlineLevel="0" collapsed="false">
      <c r="A17" s="28" t="str">
        <f aca="false">IF($B17="","","アルチビオ")</f>
        <v/>
      </c>
      <c r="B17" s="29" t="str">
        <f aca="false">IFERROR(INDEX(店舗マスタ!$B$5:$B$304,MATCH("アルチビオ|12",店舗マスタ!$L$5:$L$304,0)),"")</f>
        <v/>
      </c>
      <c r="C17" s="28" t="str">
        <f aca="false">IF($B17="","",INDEX(店舗マスタ!$C$5:$C$304,MATCH($B17,店舗マスタ!$B$5:$B$304,0)))</f>
        <v/>
      </c>
      <c r="D17" s="30" t="str">
        <f aca="false">IF($B17="","",INDEX(店舗マスタ!$G$5:$G$304,MATCH($B17,店舗マスタ!$B$5:$B$304,0)))</f>
        <v/>
      </c>
      <c r="E17" s="30" t="str">
        <f aca="false">IF($B17="","",INDEX(店舗マスタ!$P$5:$P$304,MATCH($B17,店舗マスタ!$B$5:$B$304,0)))</f>
        <v/>
      </c>
      <c r="F17" s="30" t="str">
        <f aca="false">IF($B17="","",INDEX(店舗マスタ!$R$5:$R$304,MATCH($B17,店舗マスタ!$B$5:$B$304,0)))</f>
        <v/>
      </c>
      <c r="G17" s="31" t="str">
        <f aca="false">IF(OR($B17="",F17=""),"",IF(D17=0,"-",F17/D17))</f>
        <v/>
      </c>
      <c r="H17" s="30" t="str">
        <f aca="false">IF($B17="","",INDEX(店舗マスタ!$H$5:$H$304,MATCH($B17,店舗マスタ!$B$5:$B$304,0)))</f>
        <v/>
      </c>
      <c r="I17" s="31" t="str">
        <f aca="false">IF($B17="","",IF(H17=0,"-",D17/H17))</f>
        <v/>
      </c>
      <c r="J17" s="30" t="str">
        <f aca="false">IF($B17="","",INDEX(店舗マスタ!$I$5:$I$304,MATCH($B17,店舗マスタ!$B$5:$B$304,0)))</f>
        <v/>
      </c>
      <c r="K17" s="30" t="str">
        <f aca="false">IF($B17="","",INDEX(店舗マスタ!$Q$5:$Q$304,MATCH($B17,店舗マスタ!$B$5:$B$304,0)))</f>
        <v/>
      </c>
      <c r="L17" s="30" t="str">
        <f aca="false">IF($B17="","",INDEX(店舗マスタ!$S$5:$S$304,MATCH($B17,店舗マスタ!$B$5:$B$304,0)))</f>
        <v/>
      </c>
      <c r="M17" s="32" t="str">
        <f aca="false">IF(OR($B17="",D17=""),"",IF(N(J17)=0,"前年なし",D17/J17))</f>
        <v/>
      </c>
      <c r="N17" s="32" t="str">
        <f aca="false">IF(OR($B17="",E17=""),"",IF(N(K17)=0,"前年なし",E17/K17))</f>
        <v/>
      </c>
      <c r="O17" s="32" t="str">
        <f aca="false">IF(OR($B17="",F17=""),"",IF(N(L17)=0,"前年なし",F17/L17))</f>
        <v/>
      </c>
    </row>
    <row r="18" customFormat="false" ht="15" hidden="false" customHeight="false" outlineLevel="0" collapsed="false">
      <c r="A18" s="28" t="str">
        <f aca="false">IF($B18="","","アルチビオ")</f>
        <v/>
      </c>
      <c r="B18" s="29" t="str">
        <f aca="false">IFERROR(INDEX(店舗マスタ!$B$5:$B$304,MATCH("アルチビオ|13",店舗マスタ!$L$5:$L$304,0)),"")</f>
        <v/>
      </c>
      <c r="C18" s="28" t="str">
        <f aca="false">IF($B18="","",INDEX(店舗マスタ!$C$5:$C$304,MATCH($B18,店舗マスタ!$B$5:$B$304,0)))</f>
        <v/>
      </c>
      <c r="D18" s="30" t="str">
        <f aca="false">IF($B18="","",INDEX(店舗マスタ!$G$5:$G$304,MATCH($B18,店舗マスタ!$B$5:$B$304,0)))</f>
        <v/>
      </c>
      <c r="E18" s="30" t="str">
        <f aca="false">IF($B18="","",INDEX(店舗マスタ!$P$5:$P$304,MATCH($B18,店舗マスタ!$B$5:$B$304,0)))</f>
        <v/>
      </c>
      <c r="F18" s="30" t="str">
        <f aca="false">IF($B18="","",INDEX(店舗マスタ!$R$5:$R$304,MATCH($B18,店舗マスタ!$B$5:$B$304,0)))</f>
        <v/>
      </c>
      <c r="G18" s="31" t="str">
        <f aca="false">IF(OR($B18="",F18=""),"",IF(D18=0,"-",F18/D18))</f>
        <v/>
      </c>
      <c r="H18" s="30" t="str">
        <f aca="false">IF($B18="","",INDEX(店舗マスタ!$H$5:$H$304,MATCH($B18,店舗マスタ!$B$5:$B$304,0)))</f>
        <v/>
      </c>
      <c r="I18" s="31" t="str">
        <f aca="false">IF($B18="","",IF(H18=0,"-",D18/H18))</f>
        <v/>
      </c>
      <c r="J18" s="30" t="str">
        <f aca="false">IF($B18="","",INDEX(店舗マスタ!$I$5:$I$304,MATCH($B18,店舗マスタ!$B$5:$B$304,0)))</f>
        <v/>
      </c>
      <c r="K18" s="30" t="str">
        <f aca="false">IF($B18="","",INDEX(店舗マスタ!$Q$5:$Q$304,MATCH($B18,店舗マスタ!$B$5:$B$304,0)))</f>
        <v/>
      </c>
      <c r="L18" s="30" t="str">
        <f aca="false">IF($B18="","",INDEX(店舗マスタ!$S$5:$S$304,MATCH($B18,店舗マスタ!$B$5:$B$304,0)))</f>
        <v/>
      </c>
      <c r="M18" s="32" t="str">
        <f aca="false">IF(OR($B18="",D18=""),"",IF(N(J18)=0,"前年なし",D18/J18))</f>
        <v/>
      </c>
      <c r="N18" s="32" t="str">
        <f aca="false">IF(OR($B18="",E18=""),"",IF(N(K18)=0,"前年なし",E18/K18))</f>
        <v/>
      </c>
      <c r="O18" s="32" t="str">
        <f aca="false">IF(OR($B18="",F18=""),"",IF(N(L18)=0,"前年なし",F18/L18))</f>
        <v/>
      </c>
    </row>
    <row r="19" customFormat="false" ht="15" hidden="false" customHeight="false" outlineLevel="0" collapsed="false">
      <c r="A19" s="28" t="str">
        <f aca="false">IF($B19="","","アルチビオ")</f>
        <v/>
      </c>
      <c r="B19" s="29" t="str">
        <f aca="false">IFERROR(INDEX(店舗マスタ!$B$5:$B$304,MATCH("アルチビオ|14",店舗マスタ!$L$5:$L$304,0)),"")</f>
        <v/>
      </c>
      <c r="C19" s="28" t="str">
        <f aca="false">IF($B19="","",INDEX(店舗マスタ!$C$5:$C$304,MATCH($B19,店舗マスタ!$B$5:$B$304,0)))</f>
        <v/>
      </c>
      <c r="D19" s="30" t="str">
        <f aca="false">IF($B19="","",INDEX(店舗マスタ!$G$5:$G$304,MATCH($B19,店舗マスタ!$B$5:$B$304,0)))</f>
        <v/>
      </c>
      <c r="E19" s="30" t="str">
        <f aca="false">IF($B19="","",INDEX(店舗マスタ!$P$5:$P$304,MATCH($B19,店舗マスタ!$B$5:$B$304,0)))</f>
        <v/>
      </c>
      <c r="F19" s="30" t="str">
        <f aca="false">IF($B19="","",INDEX(店舗マスタ!$R$5:$R$304,MATCH($B19,店舗マスタ!$B$5:$B$304,0)))</f>
        <v/>
      </c>
      <c r="G19" s="31" t="str">
        <f aca="false">IF(OR($B19="",F19=""),"",IF(D19=0,"-",F19/D19))</f>
        <v/>
      </c>
      <c r="H19" s="30" t="str">
        <f aca="false">IF($B19="","",INDEX(店舗マスタ!$H$5:$H$304,MATCH($B19,店舗マスタ!$B$5:$B$304,0)))</f>
        <v/>
      </c>
      <c r="I19" s="31" t="str">
        <f aca="false">IF($B19="","",IF(H19=0,"-",D19/H19))</f>
        <v/>
      </c>
      <c r="J19" s="30" t="str">
        <f aca="false">IF($B19="","",INDEX(店舗マスタ!$I$5:$I$304,MATCH($B19,店舗マスタ!$B$5:$B$304,0)))</f>
        <v/>
      </c>
      <c r="K19" s="30" t="str">
        <f aca="false">IF($B19="","",INDEX(店舗マスタ!$Q$5:$Q$304,MATCH($B19,店舗マスタ!$B$5:$B$304,0)))</f>
        <v/>
      </c>
      <c r="L19" s="30" t="str">
        <f aca="false">IF($B19="","",INDEX(店舗マスタ!$S$5:$S$304,MATCH($B19,店舗マスタ!$B$5:$B$304,0)))</f>
        <v/>
      </c>
      <c r="M19" s="32" t="str">
        <f aca="false">IF(OR($B19="",D19=""),"",IF(N(J19)=0,"前年なし",D19/J19))</f>
        <v/>
      </c>
      <c r="N19" s="32" t="str">
        <f aca="false">IF(OR($B19="",E19=""),"",IF(N(K19)=0,"前年なし",E19/K19))</f>
        <v/>
      </c>
      <c r="O19" s="32" t="str">
        <f aca="false">IF(OR($B19="",F19=""),"",IF(N(L19)=0,"前年なし",F19/L19))</f>
        <v/>
      </c>
    </row>
    <row r="20" customFormat="false" ht="15" hidden="false" customHeight="false" outlineLevel="0" collapsed="false">
      <c r="A20" s="33" t="str">
        <f aca="false">"アルチビオ　小計（"&amp;COUNT(D6:D19)&amp;"店舗）"</f>
        <v>アルチビオ　小計（11店舗）</v>
      </c>
      <c r="B20" s="33"/>
      <c r="C20" s="33"/>
      <c r="D20" s="34" t="n">
        <f aca="false">SUBTOTAL(9,D6:D19)</f>
        <v>21514701</v>
      </c>
      <c r="E20" s="34" t="n">
        <f aca="false">SUBTOTAL(9,E6:E19)</f>
        <v>16221041</v>
      </c>
      <c r="F20" s="34" t="n">
        <f aca="false">SUBTOTAL(9,F6:F19)</f>
        <v>5293660</v>
      </c>
      <c r="G20" s="35" t="n">
        <f aca="false">IF(D20=0,"-",F20/D20)</f>
        <v>0.246048504229736</v>
      </c>
      <c r="H20" s="34" t="n">
        <f aca="false">SUBTOTAL(9,H6:H19)</f>
        <v>26854000</v>
      </c>
      <c r="I20" s="35" t="n">
        <f aca="false">IF(H20=0,"-",D20/H20)</f>
        <v>0.801173046845908</v>
      </c>
      <c r="J20" s="34" t="n">
        <f aca="false">SUBTOTAL(9,J6:J19)</f>
        <v>24125211</v>
      </c>
      <c r="K20" s="34" t="n">
        <f aca="false">SUBTOTAL(9,K6:K19)</f>
        <v>18543471</v>
      </c>
      <c r="L20" s="34" t="n">
        <f aca="false">SUBTOTAL(9,L6:L19)</f>
        <v>5581740</v>
      </c>
      <c r="M20" s="35" t="n">
        <f aca="false">IF(J20=0,"-",D20/J20)</f>
        <v>0.891793277994543</v>
      </c>
      <c r="N20" s="35" t="n">
        <f aca="false">IF(K20=0,"-",E20/K20)</f>
        <v>0.874757535954299</v>
      </c>
      <c r="O20" s="35" t="n">
        <f aca="false">IF(L20=0,"-",F20/L20)</f>
        <v>0.948388853654954</v>
      </c>
    </row>
    <row r="21" customFormat="false" ht="15" hidden="false" customHeight="false" outlineLevel="0" collapsed="false">
      <c r="A21" s="28" t="str">
        <f aca="false">IF($B21="","","スタジオピッコーネ／ピッコーネクラブ")</f>
        <v>スタジオピッコーネ／ピッコーネクラブ</v>
      </c>
      <c r="B21" s="29" t="n">
        <f aca="false">IFERROR(INDEX(店舗マスタ!$B$5:$B$304,MATCH("スタジオピッコーネ／ピッコーネクラブ|1",店舗マスタ!$L$5:$L$304,0)),"")</f>
        <v>32570200</v>
      </c>
      <c r="C21" s="28" t="str">
        <f aca="false">IF($B21="","",INDEX(店舗マスタ!$C$5:$C$304,MATCH($B21,店舗マスタ!$B$5:$B$304,0)))</f>
        <v>高島屋大阪店</v>
      </c>
      <c r="D21" s="30" t="n">
        <f aca="false">IF($B21="","",INDEX(店舗マスタ!$G$5:$G$304,MATCH($B21,店舗マスタ!$B$5:$B$304,0)))</f>
        <v>3137700</v>
      </c>
      <c r="E21" s="30" t="n">
        <f aca="false">IF($B21="","",INDEX(店舗マスタ!$P$5:$P$304,MATCH($B21,店舗マスタ!$B$5:$B$304,0)))</f>
        <v>3137700</v>
      </c>
      <c r="F21" s="30" t="n">
        <f aca="false">IF($B21="","",INDEX(店舗マスタ!$R$5:$R$304,MATCH($B21,店舗マスタ!$B$5:$B$304,0)))</f>
        <v>0</v>
      </c>
      <c r="G21" s="31" t="n">
        <f aca="false">IF(OR($B21="",F21=""),"",IF(D21=0,"-",F21/D21))</f>
        <v>0</v>
      </c>
      <c r="H21" s="30" t="n">
        <f aca="false">IF($B21="","",INDEX(店舗マスタ!$H$5:$H$304,MATCH($B21,店舗マスタ!$B$5:$B$304,0)))</f>
        <v>4320000</v>
      </c>
      <c r="I21" s="31" t="n">
        <f aca="false">IF($B21="","",IF(H21=0,"-",D21/H21))</f>
        <v>0.726319444444444</v>
      </c>
      <c r="J21" s="30" t="n">
        <f aca="false">IF($B21="","",INDEX(店舗マスタ!$I$5:$I$304,MATCH($B21,店舗マスタ!$B$5:$B$304,0)))</f>
        <v>4174590</v>
      </c>
      <c r="K21" s="30" t="n">
        <f aca="false">IF($B21="","",INDEX(店舗マスタ!$Q$5:$Q$304,MATCH($B21,店舗マスタ!$B$5:$B$304,0)))</f>
        <v>4174590</v>
      </c>
      <c r="L21" s="30" t="n">
        <f aca="false">IF($B21="","",INDEX(店舗マスタ!$S$5:$S$304,MATCH($B21,店舗マスタ!$B$5:$B$304,0)))</f>
        <v>0</v>
      </c>
      <c r="M21" s="32" t="n">
        <f aca="false">IF(OR($B21="",D21=""),"",IF(N(J21)=0,"前年なし",D21/J21))</f>
        <v>0.751618721838552</v>
      </c>
      <c r="N21" s="32" t="n">
        <f aca="false">IF(OR($B21="",E21=""),"",IF(N(K21)=0,"前年なし",E21/K21))</f>
        <v>0.751618721838552</v>
      </c>
      <c r="O21" s="32" t="str">
        <f aca="false">IF(OR($B21="",F21=""),"",IF(N(L21)=0,"前年なし",F21/L21))</f>
        <v>前年なし</v>
      </c>
    </row>
    <row r="22" customFormat="false" ht="15" hidden="false" customHeight="false" outlineLevel="0" collapsed="false">
      <c r="A22" s="28" t="str">
        <f aca="false">IF($B22="","","スタジオピッコーネ／ピッコーネクラブ")</f>
        <v>スタジオピッコーネ／ピッコーネクラブ</v>
      </c>
      <c r="B22" s="29" t="n">
        <f aca="false">IFERROR(INDEX(店舗マスタ!$B$5:$B$304,MATCH("スタジオピッコーネ／ピッコーネクラブ|2",店舗マスタ!$L$5:$L$304,0)),"")</f>
        <v>32572600</v>
      </c>
      <c r="C22" s="28" t="str">
        <f aca="false">IF($B22="","",INDEX(店舗マスタ!$C$5:$C$304,MATCH($B22,店舗マスタ!$B$5:$B$304,0)))</f>
        <v>大丸福岡天神店</v>
      </c>
      <c r="D22" s="30" t="n">
        <f aca="false">IF($B22="","",INDEX(店舗マスタ!$G$5:$G$304,MATCH($B22,店舗マスタ!$B$5:$B$304,0)))</f>
        <v>2083600</v>
      </c>
      <c r="E22" s="30" t="n">
        <f aca="false">IF($B22="","",INDEX(店舗マスタ!$P$5:$P$304,MATCH($B22,店舗マスタ!$B$5:$B$304,0)))</f>
        <v>1681900</v>
      </c>
      <c r="F22" s="30" t="n">
        <f aca="false">IF($B22="","",INDEX(店舗マスタ!$R$5:$R$304,MATCH($B22,店舗マスタ!$B$5:$B$304,0)))</f>
        <v>401700</v>
      </c>
      <c r="G22" s="31" t="n">
        <f aca="false">IF(OR($B22="",F22=""),"",IF(D22=0,"-",F22/D22))</f>
        <v>0.192791322710693</v>
      </c>
      <c r="H22" s="30" t="n">
        <f aca="false">IF($B22="","",INDEX(店舗マスタ!$H$5:$H$304,MATCH($B22,店舗マスタ!$B$5:$B$304,0)))</f>
        <v>2100000</v>
      </c>
      <c r="I22" s="31" t="n">
        <f aca="false">IF($B22="","",IF(H22=0,"-",D22/H22))</f>
        <v>0.992190476190476</v>
      </c>
      <c r="J22" s="30" t="n">
        <f aca="false">IF($B22="","",INDEX(店舗マスタ!$I$5:$I$304,MATCH($B22,店舗マスタ!$B$5:$B$304,0)))</f>
        <v>1633800</v>
      </c>
      <c r="K22" s="30" t="n">
        <f aca="false">IF($B22="","",INDEX(店舗マスタ!$Q$5:$Q$304,MATCH($B22,店舗マスタ!$B$5:$B$304,0)))</f>
        <v>1430500</v>
      </c>
      <c r="L22" s="30" t="n">
        <f aca="false">IF($B22="","",INDEX(店舗マスタ!$S$5:$S$304,MATCH($B22,店舗マスタ!$B$5:$B$304,0)))</f>
        <v>203300</v>
      </c>
      <c r="M22" s="32" t="n">
        <f aca="false">IF(OR($B22="",D22=""),"",IF(N(J22)=0,"前年なし",D22/J22))</f>
        <v>1.27530909536051</v>
      </c>
      <c r="N22" s="32" t="n">
        <f aca="false">IF(OR($B22="",E22=""),"",IF(N(K22)=0,"前年なし",E22/K22))</f>
        <v>1.17574274729116</v>
      </c>
      <c r="O22" s="32" t="n">
        <f aca="false">IF(OR($B22="",F22=""),"",IF(N(L22)=0,"前年なし",F22/L22))</f>
        <v>1.9758976881456</v>
      </c>
    </row>
    <row r="23" customFormat="false" ht="15" hidden="false" customHeight="false" outlineLevel="0" collapsed="false">
      <c r="A23" s="28" t="str">
        <f aca="false">IF($B23="","","スタジオピッコーネ／ピッコーネクラブ")</f>
        <v>スタジオピッコーネ／ピッコーネクラブ</v>
      </c>
      <c r="B23" s="29" t="n">
        <f aca="false">IFERROR(INDEX(店舗マスタ!$B$5:$B$304,MATCH("スタジオピッコーネ／ピッコーネクラブ|3",店舗マスタ!$L$5:$L$304,0)),"")</f>
        <v>32573200</v>
      </c>
      <c r="C23" s="28" t="str">
        <f aca="false">IF($B23="","",INDEX(店舗マスタ!$C$5:$C$304,MATCH($B23,店舗マスタ!$B$5:$B$304,0)))</f>
        <v>あべのハルカス近鉄本店</v>
      </c>
      <c r="D23" s="30" t="n">
        <f aca="false">IF($B23="","",INDEX(店舗マスタ!$G$5:$G$304,MATCH($B23,店舗マスタ!$B$5:$B$304,0)))</f>
        <v>3507580</v>
      </c>
      <c r="E23" s="30" t="n">
        <f aca="false">IF($B23="","",INDEX(店舗マスタ!$P$5:$P$304,MATCH($B23,店舗マスタ!$B$5:$B$304,0)))</f>
        <v>3507580</v>
      </c>
      <c r="F23" s="30" t="n">
        <f aca="false">IF($B23="","",INDEX(店舗マスタ!$R$5:$R$304,MATCH($B23,店舗マスタ!$B$5:$B$304,0)))</f>
        <v>0</v>
      </c>
      <c r="G23" s="31" t="n">
        <f aca="false">IF(OR($B23="",F23=""),"",IF(D23=0,"-",F23/D23))</f>
        <v>0</v>
      </c>
      <c r="H23" s="30" t="n">
        <f aca="false">IF($B23="","",INDEX(店舗マスタ!$H$5:$H$304,MATCH($B23,店舗マスタ!$B$5:$B$304,0)))</f>
        <v>4120000</v>
      </c>
      <c r="I23" s="31" t="n">
        <f aca="false">IF($B23="","",IF(H23=0,"-",D23/H23))</f>
        <v>0.851354368932039</v>
      </c>
      <c r="J23" s="30" t="n">
        <f aca="false">IF($B23="","",INDEX(店舗マスタ!$I$5:$I$304,MATCH($B23,店舗マスタ!$B$5:$B$304,0)))</f>
        <v>4003095</v>
      </c>
      <c r="K23" s="30" t="n">
        <f aca="false">IF($B23="","",INDEX(店舗マスタ!$Q$5:$Q$304,MATCH($B23,店舗マスタ!$B$5:$B$304,0)))</f>
        <v>4003095</v>
      </c>
      <c r="L23" s="30" t="n">
        <f aca="false">IF($B23="","",INDEX(店舗マスタ!$S$5:$S$304,MATCH($B23,店舗マスタ!$B$5:$B$304,0)))</f>
        <v>0</v>
      </c>
      <c r="M23" s="32" t="n">
        <f aca="false">IF(OR($B23="",D23=""),"",IF(N(J23)=0,"前年なし",D23/J23))</f>
        <v>0.876217027075301</v>
      </c>
      <c r="N23" s="32" t="n">
        <f aca="false">IF(OR($B23="",E23=""),"",IF(N(K23)=0,"前年なし",E23/K23))</f>
        <v>0.876217027075301</v>
      </c>
      <c r="O23" s="32" t="str">
        <f aca="false">IF(OR($B23="",F23=""),"",IF(N(L23)=0,"前年なし",F23/L23))</f>
        <v>前年なし</v>
      </c>
    </row>
    <row r="24" customFormat="false" ht="15" hidden="false" customHeight="false" outlineLevel="0" collapsed="false">
      <c r="A24" s="28" t="str">
        <f aca="false">IF($B24="","","スタジオピッコーネ／ピッコーネクラブ")</f>
        <v>スタジオピッコーネ／ピッコーネクラブ</v>
      </c>
      <c r="B24" s="29" t="n">
        <f aca="false">IFERROR(INDEX(店舗マスタ!$B$5:$B$304,MATCH("スタジオピッコーネ／ピッコーネクラブ|4",店舗マスタ!$L$5:$L$304,0)),"")</f>
        <v>32573400</v>
      </c>
      <c r="C24" s="28" t="str">
        <f aca="false">IF($B24="","",INDEX(店舗マスタ!$C$5:$C$304,MATCH($B24,店舗マスタ!$B$5:$B$304,0)))</f>
        <v>近鉄百貨店和歌山店</v>
      </c>
      <c r="D24" s="30" t="n">
        <f aca="false">IF($B24="","",INDEX(店舗マスタ!$G$5:$G$304,MATCH($B24,店舗マスタ!$B$5:$B$304,0)))</f>
        <v>1872645</v>
      </c>
      <c r="E24" s="30" t="n">
        <f aca="false">IF($B24="","",INDEX(店舗マスタ!$P$5:$P$304,MATCH($B24,店舗マスタ!$B$5:$B$304,0)))</f>
        <v>1742245</v>
      </c>
      <c r="F24" s="30" t="n">
        <f aca="false">IF($B24="","",INDEX(店舗マスタ!$R$5:$R$304,MATCH($B24,店舗マスタ!$B$5:$B$304,0)))</f>
        <v>130400</v>
      </c>
      <c r="G24" s="31" t="n">
        <f aca="false">IF(OR($B24="",F24=""),"",IF(D24=0,"-",F24/D24))</f>
        <v>0.0696341271303424</v>
      </c>
      <c r="H24" s="30" t="n">
        <f aca="false">IF($B24="","",INDEX(店舗マスタ!$H$5:$H$304,MATCH($B24,店舗マスタ!$B$5:$B$304,0)))</f>
        <v>2300000</v>
      </c>
      <c r="I24" s="31" t="n">
        <f aca="false">IF($B24="","",IF(H24=0,"-",D24/H24))</f>
        <v>0.81419347826087</v>
      </c>
      <c r="J24" s="30" t="n">
        <f aca="false">IF($B24="","",INDEX(店舗マスタ!$I$5:$I$304,MATCH($B24,店舗マスタ!$B$5:$B$304,0)))</f>
        <v>2355195</v>
      </c>
      <c r="K24" s="30" t="n">
        <f aca="false">IF($B24="","",INDEX(店舗マスタ!$Q$5:$Q$304,MATCH($B24,店舗マスタ!$B$5:$B$304,0)))</f>
        <v>2097495</v>
      </c>
      <c r="L24" s="30" t="n">
        <f aca="false">IF($B24="","",INDEX(店舗マスタ!$S$5:$S$304,MATCH($B24,店舗マスタ!$B$5:$B$304,0)))</f>
        <v>257700</v>
      </c>
      <c r="M24" s="32" t="n">
        <f aca="false">IF(OR($B24="",D24=""),"",IF(N(J24)=0,"前年なし",D24/J24))</f>
        <v>0.795112506607733</v>
      </c>
      <c r="N24" s="32" t="n">
        <f aca="false">IF(OR($B24="",E24=""),"",IF(N(K24)=0,"前年なし",E24/K24))</f>
        <v>0.830631300670562</v>
      </c>
      <c r="O24" s="32" t="n">
        <f aca="false">IF(OR($B24="",F24=""),"",IF(N(L24)=0,"前年なし",F24/L24))</f>
        <v>0.506014745828483</v>
      </c>
    </row>
    <row r="25" customFormat="false" ht="15" hidden="false" customHeight="false" outlineLevel="0" collapsed="false">
      <c r="A25" s="28" t="str">
        <f aca="false">IF($B25="","","スタジオピッコーネ／ピッコーネクラブ")</f>
        <v>スタジオピッコーネ／ピッコーネクラブ</v>
      </c>
      <c r="B25" s="29" t="n">
        <f aca="false">IFERROR(INDEX(店舗マスタ!$B$5:$B$304,MATCH("スタジオピッコーネ／ピッコーネクラブ|5",店舗マスタ!$L$5:$L$304,0)),"")</f>
        <v>32573700</v>
      </c>
      <c r="C25" s="28" t="str">
        <f aca="false">IF($B25="","",INDEX(店舗マスタ!$C$5:$C$304,MATCH($B25,店舗マスタ!$B$5:$B$304,0)))</f>
        <v>近鉄百貨店上本町店</v>
      </c>
      <c r="D25" s="30" t="n">
        <f aca="false">IF($B25="","",INDEX(店舗マスタ!$G$5:$G$304,MATCH($B25,店舗マスタ!$B$5:$B$304,0)))</f>
        <v>2637800</v>
      </c>
      <c r="E25" s="30" t="n">
        <f aca="false">IF($B25="","",INDEX(店舗マスタ!$P$5:$P$304,MATCH($B25,店舗マスタ!$B$5:$B$304,0)))</f>
        <v>2566400</v>
      </c>
      <c r="F25" s="30" t="n">
        <f aca="false">IF($B25="","",INDEX(店舗マスタ!$R$5:$R$304,MATCH($B25,店舗マスタ!$B$5:$B$304,0)))</f>
        <v>71400</v>
      </c>
      <c r="G25" s="31" t="n">
        <f aca="false">IF(OR($B25="",F25=""),"",IF(D25=0,"-",F25/D25))</f>
        <v>0.0270680112214724</v>
      </c>
      <c r="H25" s="30" t="n">
        <f aca="false">IF($B25="","",INDEX(店舗マスタ!$H$5:$H$304,MATCH($B25,店舗マスタ!$B$5:$B$304,0)))</f>
        <v>1950000</v>
      </c>
      <c r="I25" s="31" t="n">
        <f aca="false">IF($B25="","",IF(H25=0,"-",D25/H25))</f>
        <v>1.35271794871795</v>
      </c>
      <c r="J25" s="30" t="n">
        <f aca="false">IF($B25="","",INDEX(店舗マスタ!$I$5:$I$304,MATCH($B25,店舗マスタ!$B$5:$B$304,0)))</f>
        <v>1931500</v>
      </c>
      <c r="K25" s="30" t="n">
        <f aca="false">IF($B25="","",INDEX(店舗マスタ!$Q$5:$Q$304,MATCH($B25,店舗マスタ!$B$5:$B$304,0)))</f>
        <v>1559100</v>
      </c>
      <c r="L25" s="30" t="n">
        <f aca="false">IF($B25="","",INDEX(店舗マスタ!$S$5:$S$304,MATCH($B25,店舗マスタ!$B$5:$B$304,0)))</f>
        <v>372400</v>
      </c>
      <c r="M25" s="32" t="n">
        <f aca="false">IF(OR($B25="",D25=""),"",IF(N(J25)=0,"前年なし",D25/J25))</f>
        <v>1.36567434636293</v>
      </c>
      <c r="N25" s="32" t="n">
        <f aca="false">IF(OR($B25="",E25=""),"",IF(N(K25)=0,"前年なし",E25/K25))</f>
        <v>1.64607786543519</v>
      </c>
      <c r="O25" s="32" t="n">
        <f aca="false">IF(OR($B25="",F25=""),"",IF(N(L25)=0,"前年なし",F25/L25))</f>
        <v>0.191729323308271</v>
      </c>
    </row>
    <row r="26" customFormat="false" ht="15" hidden="false" customHeight="false" outlineLevel="0" collapsed="false">
      <c r="A26" s="28" t="str">
        <f aca="false">IF($B26="","","スタジオピッコーネ／ピッコーネクラブ")</f>
        <v>スタジオピッコーネ／ピッコーネクラブ</v>
      </c>
      <c r="B26" s="29" t="n">
        <f aca="false">IFERROR(INDEX(店舗マスタ!$B$5:$B$304,MATCH("スタジオピッコーネ／ピッコーネクラブ|6",店舗マスタ!$L$5:$L$304,0)),"")</f>
        <v>32573800</v>
      </c>
      <c r="C26" s="28" t="str">
        <f aca="false">IF($B26="","",INDEX(店舗マスタ!$C$5:$C$304,MATCH($B26,店舗マスタ!$B$5:$B$304,0)))</f>
        <v>近鉄百貨店奈良店</v>
      </c>
      <c r="D26" s="30" t="n">
        <f aca="false">IF($B26="","",INDEX(店舗マスタ!$G$5:$G$304,MATCH($B26,店舗マスタ!$B$5:$B$304,0)))</f>
        <v>3204200</v>
      </c>
      <c r="E26" s="30" t="n">
        <f aca="false">IF($B26="","",INDEX(店舗マスタ!$P$5:$P$304,MATCH($B26,店舗マスタ!$B$5:$B$304,0)))</f>
        <v>2538670</v>
      </c>
      <c r="F26" s="30" t="n">
        <f aca="false">IF($B26="","",INDEX(店舗マスタ!$R$5:$R$304,MATCH($B26,店舗マスタ!$B$5:$B$304,0)))</f>
        <v>665530</v>
      </c>
      <c r="G26" s="31" t="n">
        <f aca="false">IF(OR($B26="",F26=""),"",IF(D26=0,"-",F26/D26))</f>
        <v>0.207705511516135</v>
      </c>
      <c r="H26" s="30" t="n">
        <f aca="false">IF($B26="","",INDEX(店舗マスタ!$H$5:$H$304,MATCH($B26,店舗マスタ!$B$5:$B$304,0)))</f>
        <v>3150000</v>
      </c>
      <c r="I26" s="31" t="n">
        <f aca="false">IF($B26="","",IF(H26=0,"-",D26/H26))</f>
        <v>1.01720634920635</v>
      </c>
      <c r="J26" s="30" t="n">
        <f aca="false">IF($B26="","",INDEX(店舗マスタ!$I$5:$I$304,MATCH($B26,店舗マスタ!$B$5:$B$304,0)))</f>
        <v>3186800</v>
      </c>
      <c r="K26" s="30" t="n">
        <f aca="false">IF($B26="","",INDEX(店舗マスタ!$Q$5:$Q$304,MATCH($B26,店舗マスタ!$B$5:$B$304,0)))</f>
        <v>2928400</v>
      </c>
      <c r="L26" s="30" t="n">
        <f aca="false">IF($B26="","",INDEX(店舗マスタ!$S$5:$S$304,MATCH($B26,店舗マスタ!$B$5:$B$304,0)))</f>
        <v>258400</v>
      </c>
      <c r="M26" s="32" t="n">
        <f aca="false">IF(OR($B26="",D26=""),"",IF(N(J26)=0,"前年なし",D26/J26))</f>
        <v>1.0054600225932</v>
      </c>
      <c r="N26" s="32" t="n">
        <f aca="false">IF(OR($B26="",E26=""),"",IF(N(K26)=0,"前年なし",E26/K26))</f>
        <v>0.866913672995492</v>
      </c>
      <c r="O26" s="32" t="n">
        <f aca="false">IF(OR($B26="",F26=""),"",IF(N(L26)=0,"前年なし",F26/L26))</f>
        <v>2.57558049535604</v>
      </c>
    </row>
    <row r="27" customFormat="false" ht="15" hidden="false" customHeight="false" outlineLevel="0" collapsed="false">
      <c r="A27" s="28" t="str">
        <f aca="false">IF($B27="","","スタジオピッコーネ／ピッコーネクラブ")</f>
        <v>スタジオピッコーネ／ピッコーネクラブ</v>
      </c>
      <c r="B27" s="29" t="n">
        <f aca="false">IFERROR(INDEX(店舗マスタ!$B$5:$B$304,MATCH("スタジオピッコーネ／ピッコーネクラブ|7",店舗マスタ!$L$5:$L$304,0)),"")</f>
        <v>32573900</v>
      </c>
      <c r="C27" s="28" t="str">
        <f aca="false">IF($B27="","",INDEX(店舗マスタ!$C$5:$C$304,MATCH($B27,店舗マスタ!$B$5:$B$304,0)))</f>
        <v>近鉄百貨店橿原店</v>
      </c>
      <c r="D27" s="30" t="n">
        <f aca="false">IF($B27="","",INDEX(店舗マスタ!$G$5:$G$304,MATCH($B27,店舗マスタ!$B$5:$B$304,0)))</f>
        <v>1744500</v>
      </c>
      <c r="E27" s="30" t="n">
        <f aca="false">IF($B27="","",INDEX(店舗マスタ!$P$5:$P$304,MATCH($B27,店舗マスタ!$B$5:$B$304,0)))</f>
        <v>1039100</v>
      </c>
      <c r="F27" s="30" t="n">
        <f aca="false">IF($B27="","",INDEX(店舗マスタ!$R$5:$R$304,MATCH($B27,店舗マスタ!$B$5:$B$304,0)))</f>
        <v>705400</v>
      </c>
      <c r="G27" s="31" t="n">
        <f aca="false">IF(OR($B27="",F27=""),"",IF(D27=0,"-",F27/D27))</f>
        <v>0.404356549154486</v>
      </c>
      <c r="H27" s="30" t="n">
        <f aca="false">IF($B27="","",INDEX(店舗マスタ!$H$5:$H$304,MATCH($B27,店舗マスタ!$B$5:$B$304,0)))</f>
        <v>1880000</v>
      </c>
      <c r="I27" s="31" t="n">
        <f aca="false">IF($B27="","",IF(H27=0,"-",D27/H27))</f>
        <v>0.927925531914894</v>
      </c>
      <c r="J27" s="30" t="n">
        <f aca="false">IF($B27="","",INDEX(店舗マスタ!$I$5:$I$304,MATCH($B27,店舗マスタ!$B$5:$B$304,0)))</f>
        <v>1846800</v>
      </c>
      <c r="K27" s="30" t="n">
        <f aca="false">IF($B27="","",INDEX(店舗マスタ!$Q$5:$Q$304,MATCH($B27,店舗マスタ!$B$5:$B$304,0)))</f>
        <v>1430400</v>
      </c>
      <c r="L27" s="30" t="n">
        <f aca="false">IF($B27="","",INDEX(店舗マスタ!$S$5:$S$304,MATCH($B27,店舗マスタ!$B$5:$B$304,0)))</f>
        <v>416400</v>
      </c>
      <c r="M27" s="32" t="n">
        <f aca="false">IF(OR($B27="",D27=""),"",IF(N(J27)=0,"前年なし",D27/J27))</f>
        <v>0.944606887589344</v>
      </c>
      <c r="N27" s="32" t="n">
        <f aca="false">IF(OR($B27="",E27=""),"",IF(N(K27)=0,"前年なし",E27/K27))</f>
        <v>0.726440156599553</v>
      </c>
      <c r="O27" s="32" t="n">
        <f aca="false">IF(OR($B27="",F27=""),"",IF(N(L27)=0,"前年なし",F27/L27))</f>
        <v>1.6940441882805</v>
      </c>
    </row>
    <row r="28" customFormat="false" ht="15" hidden="false" customHeight="false" outlineLevel="0" collapsed="false">
      <c r="A28" s="28" t="str">
        <f aca="false">IF($B28="","","スタジオピッコーネ／ピッコーネクラブ")</f>
        <v>スタジオピッコーネ／ピッコーネクラブ</v>
      </c>
      <c r="B28" s="29" t="n">
        <f aca="false">IFERROR(INDEX(店舗マスタ!$B$5:$B$304,MATCH("スタジオピッコーネ／ピッコーネクラブ|8",店舗マスタ!$L$5:$L$304,0)),"")</f>
        <v>32574100</v>
      </c>
      <c r="C28" s="28" t="str">
        <f aca="false">IF($B28="","",INDEX(店舗マスタ!$C$5:$C$304,MATCH($B28,店舗マスタ!$B$5:$B$304,0)))</f>
        <v>広島三越店</v>
      </c>
      <c r="D28" s="30" t="n">
        <f aca="false">IF($B28="","",INDEX(店舗マスタ!$G$5:$G$304,MATCH($B28,店舗マスタ!$B$5:$B$304,0)))</f>
        <v>1187800</v>
      </c>
      <c r="E28" s="30" t="n">
        <f aca="false">IF($B28="","",INDEX(店舗マスタ!$P$5:$P$304,MATCH($B28,店舗マスタ!$B$5:$B$304,0)))</f>
        <v>819800</v>
      </c>
      <c r="F28" s="30" t="n">
        <f aca="false">IF($B28="","",INDEX(店舗マスタ!$R$5:$R$304,MATCH($B28,店舗マスタ!$B$5:$B$304,0)))</f>
        <v>368000</v>
      </c>
      <c r="G28" s="31" t="n">
        <f aca="false">IF(OR($B28="",F28=""),"",IF(D28=0,"-",F28/D28))</f>
        <v>0.309816467418757</v>
      </c>
      <c r="H28" s="30" t="n">
        <f aca="false">IF($B28="","",INDEX(店舗マスタ!$H$5:$H$304,MATCH($B28,店舗マスタ!$B$5:$B$304,0)))</f>
        <v>1700000</v>
      </c>
      <c r="I28" s="31" t="n">
        <f aca="false">IF($B28="","",IF(H28=0,"-",D28/H28))</f>
        <v>0.698705882352941</v>
      </c>
      <c r="J28" s="30" t="n">
        <f aca="false">IF($B28="","",INDEX(店舗マスタ!$I$5:$I$304,MATCH($B28,店舗マスタ!$B$5:$B$304,0)))</f>
        <v>1274700</v>
      </c>
      <c r="K28" s="30" t="n">
        <f aca="false">IF($B28="","",INDEX(店舗マスタ!$Q$5:$Q$304,MATCH($B28,店舗マスタ!$B$5:$B$304,0)))</f>
        <v>1158600</v>
      </c>
      <c r="L28" s="30" t="n">
        <f aca="false">IF($B28="","",INDEX(店舗マスタ!$S$5:$S$304,MATCH($B28,店舗マスタ!$B$5:$B$304,0)))</f>
        <v>116100</v>
      </c>
      <c r="M28" s="32" t="n">
        <f aca="false">IF(OR($B28="",D28=""),"",IF(N(J28)=0,"前年なし",D28/J28))</f>
        <v>0.931827096571742</v>
      </c>
      <c r="N28" s="32" t="n">
        <f aca="false">IF(OR($B28="",E28=""),"",IF(N(K28)=0,"前年なし",E28/K28))</f>
        <v>0.707578111513896</v>
      </c>
      <c r="O28" s="32" t="n">
        <f aca="false">IF(OR($B28="",F28=""),"",IF(N(L28)=0,"前年なし",F28/L28))</f>
        <v>3.16968130921619</v>
      </c>
    </row>
    <row r="29" customFormat="false" ht="15" hidden="false" customHeight="false" outlineLevel="0" collapsed="false">
      <c r="A29" s="28" t="str">
        <f aca="false">IF($B29="","","スタジオピッコーネ／ピッコーネクラブ")</f>
        <v>スタジオピッコーネ／ピッコーネクラブ</v>
      </c>
      <c r="B29" s="29" t="n">
        <f aca="false">IFERROR(INDEX(店舗マスタ!$B$5:$B$304,MATCH("スタジオピッコーネ／ピッコーネクラブ|9",店舗マスタ!$L$5:$L$304,0)),"")</f>
        <v>32575700</v>
      </c>
      <c r="C29" s="28" t="str">
        <f aca="false">IF($B29="","",INDEX(店舗マスタ!$C$5:$C$304,MATCH($B29,店舗マスタ!$B$5:$B$304,0)))</f>
        <v>名古屋三越栄店</v>
      </c>
      <c r="D29" s="30" t="n">
        <f aca="false">IF($B29="","",INDEX(店舗マスタ!$G$5:$G$304,MATCH($B29,店舗マスタ!$B$5:$B$304,0)))</f>
        <v>4266900</v>
      </c>
      <c r="E29" s="30" t="n">
        <f aca="false">IF($B29="","",INDEX(店舗マスタ!$P$5:$P$304,MATCH($B29,店舗マスタ!$B$5:$B$304,0)))</f>
        <v>4185000</v>
      </c>
      <c r="F29" s="30" t="n">
        <f aca="false">IF($B29="","",INDEX(店舗マスタ!$R$5:$R$304,MATCH($B29,店舗マスタ!$B$5:$B$304,0)))</f>
        <v>81900</v>
      </c>
      <c r="G29" s="31" t="n">
        <f aca="false">IF(OR($B29="",F29=""),"",IF(D29=0,"-",F29/D29))</f>
        <v>0.0191942628137524</v>
      </c>
      <c r="H29" s="30" t="n">
        <f aca="false">IF($B29="","",INDEX(店舗マスタ!$H$5:$H$304,MATCH($B29,店舗マスタ!$B$5:$B$304,0)))</f>
        <v>4200000</v>
      </c>
      <c r="I29" s="31" t="n">
        <f aca="false">IF($B29="","",IF(H29=0,"-",D29/H29))</f>
        <v>1.01592857142857</v>
      </c>
      <c r="J29" s="30" t="n">
        <f aca="false">IF($B29="","",INDEX(店舗マスタ!$I$5:$I$304,MATCH($B29,店舗マスタ!$B$5:$B$304,0)))</f>
        <v>4153200</v>
      </c>
      <c r="K29" s="30" t="n">
        <f aca="false">IF($B29="","",INDEX(店舗マスタ!$Q$5:$Q$304,MATCH($B29,店舗マスタ!$B$5:$B$304,0)))</f>
        <v>3953300</v>
      </c>
      <c r="L29" s="30" t="n">
        <f aca="false">IF($B29="","",INDEX(店舗マスタ!$S$5:$S$304,MATCH($B29,店舗マスタ!$B$5:$B$304,0)))</f>
        <v>199900</v>
      </c>
      <c r="M29" s="32" t="n">
        <f aca="false">IF(OR($B29="",D29=""),"",IF(N(J29)=0,"前年なし",D29/J29))</f>
        <v>1.0273764807859</v>
      </c>
      <c r="N29" s="32" t="n">
        <f aca="false">IF(OR($B29="",E29=""),"",IF(N(K29)=0,"前年なし",E29/K29))</f>
        <v>1.05860926314724</v>
      </c>
      <c r="O29" s="32" t="n">
        <f aca="false">IF(OR($B29="",F29=""),"",IF(N(L29)=0,"前年なし",F29/L29))</f>
        <v>0.409704852426213</v>
      </c>
    </row>
    <row r="30" customFormat="false" ht="15" hidden="false" customHeight="false" outlineLevel="0" collapsed="false">
      <c r="A30" s="28" t="str">
        <f aca="false">IF($B30="","","スタジオピッコーネ／ピッコーネクラブ")</f>
        <v>スタジオピッコーネ／ピッコーネクラブ</v>
      </c>
      <c r="B30" s="29" t="n">
        <f aca="false">IFERROR(INDEX(店舗マスタ!$B$5:$B$304,MATCH("スタジオピッコーネ／ピッコーネクラブ|10",店舗マスタ!$L$5:$L$304,0)),"")</f>
        <v>32670200</v>
      </c>
      <c r="C30" s="28" t="str">
        <f aca="false">IF($B30="","",INDEX(店舗マスタ!$C$5:$C$304,MATCH($B30,店舗マスタ!$B$5:$B$304,0)))</f>
        <v>高島屋横浜店</v>
      </c>
      <c r="D30" s="30" t="n">
        <f aca="false">IF($B30="","",INDEX(店舗マスタ!$G$5:$G$304,MATCH($B30,店舗マスタ!$B$5:$B$304,0)))</f>
        <v>3134900</v>
      </c>
      <c r="E30" s="30" t="n">
        <f aca="false">IF($B30="","",INDEX(店舗マスタ!$P$5:$P$304,MATCH($B30,店舗マスタ!$B$5:$B$304,0)))</f>
        <v>3118100</v>
      </c>
      <c r="F30" s="30" t="n">
        <f aca="false">IF($B30="","",INDEX(店舗マスタ!$R$5:$R$304,MATCH($B30,店舗マスタ!$B$5:$B$304,0)))</f>
        <v>16800</v>
      </c>
      <c r="G30" s="31" t="n">
        <f aca="false">IF(OR($B30="",F30=""),"",IF(D30=0,"-",F30/D30))</f>
        <v>0.0053590226163514</v>
      </c>
      <c r="H30" s="30" t="n">
        <f aca="false">IF($B30="","",INDEX(店舗マスタ!$H$5:$H$304,MATCH($B30,店舗マスタ!$B$5:$B$304,0)))</f>
        <v>6100000</v>
      </c>
      <c r="I30" s="31" t="n">
        <f aca="false">IF($B30="","",IF(H30=0,"-",D30/H30))</f>
        <v>0.513918032786885</v>
      </c>
      <c r="J30" s="30" t="n">
        <f aca="false">IF($B30="","",INDEX(店舗マスタ!$I$5:$I$304,MATCH($B30,店舗マスタ!$B$5:$B$304,0)))</f>
        <v>3604510</v>
      </c>
      <c r="K30" s="30" t="n">
        <f aca="false">IF($B30="","",INDEX(店舗マスタ!$Q$5:$Q$304,MATCH($B30,店舗マスタ!$B$5:$B$304,0)))</f>
        <v>3560410</v>
      </c>
      <c r="L30" s="30" t="n">
        <f aca="false">IF($B30="","",INDEX(店舗マスタ!$S$5:$S$304,MATCH($B30,店舗マスタ!$B$5:$B$304,0)))</f>
        <v>44100</v>
      </c>
      <c r="M30" s="32" t="n">
        <f aca="false">IF(OR($B30="",D30=""),"",IF(N(J30)=0,"前年なし",D30/J30))</f>
        <v>0.869715994684437</v>
      </c>
      <c r="N30" s="32" t="n">
        <f aca="false">IF(OR($B30="",E30=""),"",IF(N(K30)=0,"前年なし",E30/K30))</f>
        <v>0.875769925373763</v>
      </c>
      <c r="O30" s="32" t="n">
        <f aca="false">IF(OR($B30="",F30=""),"",IF(N(L30)=0,"前年なし",F30/L30))</f>
        <v>0.380952380952381</v>
      </c>
    </row>
    <row r="31" customFormat="false" ht="15" hidden="false" customHeight="false" outlineLevel="0" collapsed="false">
      <c r="A31" s="28" t="str">
        <f aca="false">IF($B31="","","スタジオピッコーネ／ピッコーネクラブ")</f>
        <v>スタジオピッコーネ／ピッコーネクラブ</v>
      </c>
      <c r="B31" s="29" t="n">
        <f aca="false">IFERROR(INDEX(店舗マスタ!$B$5:$B$304,MATCH("スタジオピッコーネ／ピッコーネクラブ|11",店舗マスタ!$L$5:$L$304,0)),"")</f>
        <v>32670400</v>
      </c>
      <c r="C31" s="28" t="str">
        <f aca="false">IF($B31="","",INDEX(店舗マスタ!$C$5:$C$304,MATCH($B31,店舗マスタ!$B$5:$B$304,0)))</f>
        <v>高島屋高崎店</v>
      </c>
      <c r="D31" s="30" t="n">
        <f aca="false">IF($B31="","",INDEX(店舗マスタ!$G$5:$G$304,MATCH($B31,店舗マスタ!$B$5:$B$304,0)))</f>
        <v>2640520</v>
      </c>
      <c r="E31" s="30" t="n">
        <f aca="false">IF($B31="","",INDEX(店舗マスタ!$P$5:$P$304,MATCH($B31,店舗マスタ!$B$5:$B$304,0)))</f>
        <v>2495520</v>
      </c>
      <c r="F31" s="30" t="n">
        <f aca="false">IF($B31="","",INDEX(店舗マスタ!$R$5:$R$304,MATCH($B31,店舗マスタ!$B$5:$B$304,0)))</f>
        <v>145000</v>
      </c>
      <c r="G31" s="31" t="n">
        <f aca="false">IF(OR($B31="",F31=""),"",IF(D31=0,"-",F31/D31))</f>
        <v>0.0549134261433354</v>
      </c>
      <c r="H31" s="30" t="n">
        <f aca="false">IF($B31="","",INDEX(店舗マスタ!$H$5:$H$304,MATCH($B31,店舗マスタ!$B$5:$B$304,0)))</f>
        <v>4410000</v>
      </c>
      <c r="I31" s="31" t="n">
        <f aca="false">IF($B31="","",IF(H31=0,"-",D31/H31))</f>
        <v>0.598757369614512</v>
      </c>
      <c r="J31" s="30" t="n">
        <f aca="false">IF($B31="","",INDEX(店舗マスタ!$I$5:$I$304,MATCH($B31,店舗マスタ!$B$5:$B$304,0)))</f>
        <v>2984120</v>
      </c>
      <c r="K31" s="30" t="n">
        <f aca="false">IF($B31="","",INDEX(店舗マスタ!$Q$5:$Q$304,MATCH($B31,店舗マスタ!$B$5:$B$304,0)))</f>
        <v>2858120</v>
      </c>
      <c r="L31" s="30" t="n">
        <f aca="false">IF($B31="","",INDEX(店舗マスタ!$S$5:$S$304,MATCH($B31,店舗マスタ!$B$5:$B$304,0)))</f>
        <v>126000</v>
      </c>
      <c r="M31" s="32" t="n">
        <f aca="false">IF(OR($B31="",D31=""),"",IF(N(J31)=0,"前年なし",D31/J31))</f>
        <v>0.884857177325309</v>
      </c>
      <c r="N31" s="32" t="n">
        <f aca="false">IF(OR($B31="",E31=""),"",IF(N(K31)=0,"前年なし",E31/K31))</f>
        <v>0.873133388381174</v>
      </c>
      <c r="O31" s="32" t="n">
        <f aca="false">IF(OR($B31="",F31=""),"",IF(N(L31)=0,"前年なし",F31/L31))</f>
        <v>1.15079365079365</v>
      </c>
    </row>
    <row r="32" customFormat="false" ht="15" hidden="false" customHeight="false" outlineLevel="0" collapsed="false">
      <c r="A32" s="28" t="str">
        <f aca="false">IF($B32="","","スタジオピッコーネ／ピッコーネクラブ")</f>
        <v>スタジオピッコーネ／ピッコーネクラブ</v>
      </c>
      <c r="B32" s="29" t="n">
        <f aca="false">IFERROR(INDEX(店舗マスタ!$B$5:$B$304,MATCH("スタジオピッコーネ／ピッコーネクラブ|12",店舗マスタ!$L$5:$L$304,0)),"")</f>
        <v>32670900</v>
      </c>
      <c r="C32" s="28" t="str">
        <f aca="false">IF($B32="","",INDEX(店舗マスタ!$C$5:$C$304,MATCH($B32,店舗マスタ!$B$5:$B$304,0)))</f>
        <v>東武百貨店池袋店</v>
      </c>
      <c r="D32" s="30" t="n">
        <f aca="false">IF($B32="","",INDEX(店舗マスタ!$G$5:$G$304,MATCH($B32,店舗マスタ!$B$5:$B$304,0)))</f>
        <v>5052300</v>
      </c>
      <c r="E32" s="30" t="n">
        <f aca="false">IF($B32="","",INDEX(店舗マスタ!$P$5:$P$304,MATCH($B32,店舗マスタ!$B$5:$B$304,0)))</f>
        <v>5052300</v>
      </c>
      <c r="F32" s="30" t="n">
        <f aca="false">IF($B32="","",INDEX(店舗マスタ!$R$5:$R$304,MATCH($B32,店舗マスタ!$B$5:$B$304,0)))</f>
        <v>0</v>
      </c>
      <c r="G32" s="31" t="n">
        <f aca="false">IF(OR($B32="",F32=""),"",IF(D32=0,"-",F32/D32))</f>
        <v>0</v>
      </c>
      <c r="H32" s="30" t="n">
        <f aca="false">IF($B32="","",INDEX(店舗マスタ!$H$5:$H$304,MATCH($B32,店舗マスタ!$B$5:$B$304,0)))</f>
        <v>5370000</v>
      </c>
      <c r="I32" s="31" t="n">
        <f aca="false">IF($B32="","",IF(H32=0,"-",D32/H32))</f>
        <v>0.940837988826816</v>
      </c>
      <c r="J32" s="30" t="n">
        <f aca="false">IF($B32="","",INDEX(店舗マスタ!$I$5:$I$304,MATCH($B32,店舗マスタ!$B$5:$B$304,0)))</f>
        <v>5057100</v>
      </c>
      <c r="K32" s="30" t="n">
        <f aca="false">IF($B32="","",INDEX(店舗マスタ!$Q$5:$Q$304,MATCH($B32,店舗マスタ!$B$5:$B$304,0)))</f>
        <v>4861700</v>
      </c>
      <c r="L32" s="30" t="n">
        <f aca="false">IF($B32="","",INDEX(店舗マスタ!$S$5:$S$304,MATCH($B32,店舗マスタ!$B$5:$B$304,0)))</f>
        <v>195400</v>
      </c>
      <c r="M32" s="32" t="n">
        <f aca="false">IF(OR($B32="",D32=""),"",IF(N(J32)=0,"前年なし",D32/J32))</f>
        <v>0.999050839413893</v>
      </c>
      <c r="N32" s="32" t="n">
        <f aca="false">IF(OR($B32="",E32=""),"",IF(N(K32)=0,"前年なし",E32/K32))</f>
        <v>1.0392043935249</v>
      </c>
      <c r="O32" s="32" t="n">
        <f aca="false">IF(OR($B32="",F32=""),"",IF(N(L32)=0,"前年なし",F32/L32))</f>
        <v>0</v>
      </c>
    </row>
    <row r="33" customFormat="false" ht="15" hidden="false" customHeight="false" outlineLevel="0" collapsed="false">
      <c r="A33" s="28" t="str">
        <f aca="false">IF($B33="","","スタジオピッコーネ／ピッコーネクラブ")</f>
        <v>スタジオピッコーネ／ピッコーネクラブ</v>
      </c>
      <c r="B33" s="29" t="n">
        <f aca="false">IFERROR(INDEX(店舗マスタ!$B$5:$B$304,MATCH("スタジオピッコーネ／ピッコーネクラブ|13",店舗マスタ!$L$5:$L$304,0)),"")</f>
        <v>32671400</v>
      </c>
      <c r="C33" s="28" t="str">
        <f aca="false">IF($B33="","",INDEX(店舗マスタ!$C$5:$C$304,MATCH($B33,店舗マスタ!$B$5:$B$304,0)))</f>
        <v>日本橋三越本店</v>
      </c>
      <c r="D33" s="30" t="n">
        <f aca="false">IF($B33="","",INDEX(店舗マスタ!$G$5:$G$304,MATCH($B33,店舗マスタ!$B$5:$B$304,0)))</f>
        <v>4633300</v>
      </c>
      <c r="E33" s="30" t="n">
        <f aca="false">IF($B33="","",INDEX(店舗マスタ!$P$5:$P$304,MATCH($B33,店舗マスタ!$B$5:$B$304,0)))</f>
        <v>4361200</v>
      </c>
      <c r="F33" s="30" t="n">
        <f aca="false">IF($B33="","",INDEX(店舗マスタ!$R$5:$R$304,MATCH($B33,店舗マスタ!$B$5:$B$304,0)))</f>
        <v>272100</v>
      </c>
      <c r="G33" s="31" t="n">
        <f aca="false">IF(OR($B33="",F33=""),"",IF(D33=0,"-",F33/D33))</f>
        <v>0.0587270412017353</v>
      </c>
      <c r="H33" s="30" t="n">
        <f aca="false">IF($B33="","",INDEX(店舗マスタ!$H$5:$H$304,MATCH($B33,店舗マスタ!$B$5:$B$304,0)))</f>
        <v>7990000</v>
      </c>
      <c r="I33" s="31" t="n">
        <f aca="false">IF($B33="","",IF(H33=0,"-",D33/H33))</f>
        <v>0.579887359198999</v>
      </c>
      <c r="J33" s="30" t="n">
        <f aca="false">IF($B33="","",INDEX(店舗マスタ!$I$5:$I$304,MATCH($B33,店舗マスタ!$B$5:$B$304,0)))</f>
        <v>5799600</v>
      </c>
      <c r="K33" s="30" t="n">
        <f aca="false">IF($B33="","",INDEX(店舗マスタ!$Q$5:$Q$304,MATCH($B33,店舗マスタ!$B$5:$B$304,0)))</f>
        <v>5799600</v>
      </c>
      <c r="L33" s="30" t="n">
        <f aca="false">IF($B33="","",INDEX(店舗マスタ!$S$5:$S$304,MATCH($B33,店舗マスタ!$B$5:$B$304,0)))</f>
        <v>0</v>
      </c>
      <c r="M33" s="32" t="n">
        <f aca="false">IF(OR($B33="",D33=""),"",IF(N(J33)=0,"前年なし",D33/J33))</f>
        <v>0.798899924132699</v>
      </c>
      <c r="N33" s="32" t="n">
        <f aca="false">IF(OR($B33="",E33=""),"",IF(N(K33)=0,"前年なし",E33/K33))</f>
        <v>0.751982895372095</v>
      </c>
      <c r="O33" s="32" t="str">
        <f aca="false">IF(OR($B33="",F33=""),"",IF(N(L33)=0,"前年なし",F33/L33))</f>
        <v>前年なし</v>
      </c>
    </row>
    <row r="34" customFormat="false" ht="15" hidden="false" customHeight="false" outlineLevel="0" collapsed="false">
      <c r="A34" s="28" t="str">
        <f aca="false">IF($B34="","","スタジオピッコーネ／ピッコーネクラブ")</f>
        <v>スタジオピッコーネ／ピッコーネクラブ</v>
      </c>
      <c r="B34" s="29" t="n">
        <f aca="false">IFERROR(INDEX(店舗マスタ!$B$5:$B$304,MATCH("スタジオピッコーネ／ピッコーネクラブ|14",店舗マスタ!$L$5:$L$304,0)),"")</f>
        <v>32671900</v>
      </c>
      <c r="C34" s="28" t="str">
        <f aca="false">IF($B34="","",INDEX(店舗マスタ!$C$5:$C$304,MATCH($B34,店舗マスタ!$B$5:$B$304,0)))</f>
        <v>松坂屋上野店</v>
      </c>
      <c r="D34" s="30" t="n">
        <f aca="false">IF($B34="","",INDEX(店舗マスタ!$G$5:$G$304,MATCH($B34,店舗マスタ!$B$5:$B$304,0)))</f>
        <v>1841920</v>
      </c>
      <c r="E34" s="30" t="n">
        <f aca="false">IF($B34="","",INDEX(店舗マスタ!$P$5:$P$304,MATCH($B34,店舗マスタ!$B$5:$B$304,0)))</f>
        <v>1797020</v>
      </c>
      <c r="F34" s="30" t="n">
        <f aca="false">IF($B34="","",INDEX(店舗マスタ!$R$5:$R$304,MATCH($B34,店舗マスタ!$B$5:$B$304,0)))</f>
        <v>44900</v>
      </c>
      <c r="G34" s="31" t="n">
        <f aca="false">IF(OR($B34="",F34=""),"",IF(D34=0,"-",F34/D34))</f>
        <v>0.0243767373175817</v>
      </c>
      <c r="H34" s="30" t="n">
        <f aca="false">IF($B34="","",INDEX(店舗マスタ!$H$5:$H$304,MATCH($B34,店舗マスタ!$B$5:$B$304,0)))</f>
        <v>2050000</v>
      </c>
      <c r="I34" s="31" t="n">
        <f aca="false">IF($B34="","",IF(H34=0,"-",D34/H34))</f>
        <v>0.89849756097561</v>
      </c>
      <c r="J34" s="30" t="n">
        <f aca="false">IF($B34="","",INDEX(店舗マスタ!$I$5:$I$304,MATCH($B34,店舗マスタ!$B$5:$B$304,0)))</f>
        <v>1940260</v>
      </c>
      <c r="K34" s="30" t="n">
        <f aca="false">IF($B34="","",INDEX(店舗マスタ!$Q$5:$Q$304,MATCH($B34,店舗マスタ!$B$5:$B$304,0)))</f>
        <v>1826860</v>
      </c>
      <c r="L34" s="30" t="n">
        <f aca="false">IF($B34="","",INDEX(店舗マスタ!$S$5:$S$304,MATCH($B34,店舗マスタ!$B$5:$B$304,0)))</f>
        <v>113400</v>
      </c>
      <c r="M34" s="32" t="n">
        <f aca="false">IF(OR($B34="",D34=""),"",IF(N(J34)=0,"前年なし",D34/J34))</f>
        <v>0.949316071042025</v>
      </c>
      <c r="N34" s="32" t="n">
        <f aca="false">IF(OR($B34="",E34=""),"",IF(N(K34)=0,"前年なし",E34/K34))</f>
        <v>0.983665962361648</v>
      </c>
      <c r="O34" s="32" t="n">
        <f aca="false">IF(OR($B34="",F34=""),"",IF(N(L34)=0,"前年なし",F34/L34))</f>
        <v>0.395943562610229</v>
      </c>
    </row>
    <row r="35" customFormat="false" ht="15" hidden="false" customHeight="false" outlineLevel="0" collapsed="false">
      <c r="A35" s="28" t="str">
        <f aca="false">IF($B35="","","スタジオピッコーネ／ピッコーネクラブ")</f>
        <v>スタジオピッコーネ／ピッコーネクラブ</v>
      </c>
      <c r="B35" s="29" t="n">
        <f aca="false">IFERROR(INDEX(店舗マスタ!$B$5:$B$304,MATCH("スタジオピッコーネ／ピッコーネクラブ|15",店舗マスタ!$L$5:$L$304,0)),"")</f>
        <v>32673300</v>
      </c>
      <c r="C35" s="28" t="str">
        <f aca="false">IF($B35="","",INDEX(店舗マスタ!$C$5:$C$304,MATCH($B35,店舗マスタ!$B$5:$B$304,0)))</f>
        <v>松屋銀座本店</v>
      </c>
      <c r="D35" s="30" t="n">
        <f aca="false">IF($B35="","",INDEX(店舗マスタ!$G$5:$G$304,MATCH($B35,店舗マスタ!$B$5:$B$304,0)))</f>
        <v>3005230</v>
      </c>
      <c r="E35" s="30" t="n">
        <f aca="false">IF($B35="","",INDEX(店舗マスタ!$P$5:$P$304,MATCH($B35,店舗マスタ!$B$5:$B$304,0)))</f>
        <v>2938030</v>
      </c>
      <c r="F35" s="30" t="n">
        <f aca="false">IF($B35="","",INDEX(店舗マスタ!$R$5:$R$304,MATCH($B35,店舗マスタ!$B$5:$B$304,0)))</f>
        <v>67200</v>
      </c>
      <c r="G35" s="31" t="n">
        <f aca="false">IF(OR($B35="",F35=""),"",IF(D35=0,"-",F35/D35))</f>
        <v>0.0223610172931855</v>
      </c>
      <c r="H35" s="30" t="n">
        <f aca="false">IF($B35="","",INDEX(店舗マスタ!$H$5:$H$304,MATCH($B35,店舗マスタ!$B$5:$B$304,0)))</f>
        <v>3050000</v>
      </c>
      <c r="I35" s="31" t="n">
        <f aca="false">IF($B35="","",IF(H35=0,"-",D35/H35))</f>
        <v>0.98532131147541</v>
      </c>
      <c r="J35" s="30" t="n">
        <f aca="false">IF($B35="","",INDEX(店舗マスタ!$I$5:$I$304,MATCH($B35,店舗マスタ!$B$5:$B$304,0)))</f>
        <v>2843445</v>
      </c>
      <c r="K35" s="30" t="n">
        <f aca="false">IF($B35="","",INDEX(店舗マスタ!$Q$5:$Q$304,MATCH($B35,店舗マスタ!$B$5:$B$304,0)))</f>
        <v>2786545</v>
      </c>
      <c r="L35" s="30" t="n">
        <f aca="false">IF($B35="","",INDEX(店舗マスタ!$S$5:$S$304,MATCH($B35,店舗マスタ!$B$5:$B$304,0)))</f>
        <v>56900</v>
      </c>
      <c r="M35" s="32" t="n">
        <f aca="false">IF(OR($B35="",D35=""),"",IF(N(J35)=0,"前年なし",D35/J35))</f>
        <v>1.05689753098794</v>
      </c>
      <c r="N35" s="32" t="n">
        <f aca="false">IF(OR($B35="",E35=""),"",IF(N(K35)=0,"前年なし",E35/K35))</f>
        <v>1.05436301943805</v>
      </c>
      <c r="O35" s="32" t="n">
        <f aca="false">IF(OR($B35="",F35=""),"",IF(N(L35)=0,"前年なし",F35/L35))</f>
        <v>1.18101933216169</v>
      </c>
    </row>
    <row r="36" customFormat="false" ht="15" hidden="false" customHeight="false" outlineLevel="0" collapsed="false">
      <c r="A36" s="28" t="str">
        <f aca="false">IF($B36="","","スタジオピッコーネ／ピッコーネクラブ")</f>
        <v>スタジオピッコーネ／ピッコーネクラブ</v>
      </c>
      <c r="B36" s="29" t="n">
        <f aca="false">IFERROR(INDEX(店舗マスタ!$B$5:$B$304,MATCH("スタジオピッコーネ／ピッコーネクラブ|16",店舗マスタ!$L$5:$L$304,0)),"")</f>
        <v>32674100</v>
      </c>
      <c r="C36" s="28" t="str">
        <f aca="false">IF($B36="","",INDEX(店舗マスタ!$C$5:$C$304,MATCH($B36,店舗マスタ!$B$5:$B$304,0)))</f>
        <v>東武百貨店船橋店</v>
      </c>
      <c r="D36" s="30" t="n">
        <f aca="false">IF($B36="","",INDEX(店舗マスタ!$G$5:$G$304,MATCH($B36,店舗マスタ!$B$5:$B$304,0)))</f>
        <v>2155045</v>
      </c>
      <c r="E36" s="30" t="n">
        <f aca="false">IF($B36="","",INDEX(店舗マスタ!$P$5:$P$304,MATCH($B36,店舗マスタ!$B$5:$B$304,0)))</f>
        <v>2039545</v>
      </c>
      <c r="F36" s="30" t="n">
        <f aca="false">IF($B36="","",INDEX(店舗マスタ!$R$5:$R$304,MATCH($B36,店舗マスタ!$B$5:$B$304,0)))</f>
        <v>115500</v>
      </c>
      <c r="G36" s="31" t="n">
        <f aca="false">IF(OR($B36="",F36=""),"",IF(D36=0,"-",F36/D36))</f>
        <v>0.0535951685463645</v>
      </c>
      <c r="H36" s="30" t="n">
        <f aca="false">IF($B36="","",INDEX(店舗マスタ!$H$5:$H$304,MATCH($B36,店舗マスタ!$B$5:$B$304,0)))</f>
        <v>1923000</v>
      </c>
      <c r="I36" s="31" t="n">
        <f aca="false">IF($B36="","",IF(H36=0,"-",D36/H36))</f>
        <v>1.12066822672907</v>
      </c>
      <c r="J36" s="30" t="n">
        <f aca="false">IF($B36="","",INDEX(店舗マスタ!$I$5:$I$304,MATCH($B36,店舗マスタ!$B$5:$B$304,0)))</f>
        <v>1662095</v>
      </c>
      <c r="K36" s="30" t="n">
        <f aca="false">IF($B36="","",INDEX(店舗マスタ!$Q$5:$Q$304,MATCH($B36,店舗マスタ!$B$5:$B$304,0)))</f>
        <v>1484495</v>
      </c>
      <c r="L36" s="30" t="n">
        <f aca="false">IF($B36="","",INDEX(店舗マスタ!$S$5:$S$304,MATCH($B36,店舗マスタ!$B$5:$B$304,0)))</f>
        <v>177600</v>
      </c>
      <c r="M36" s="32" t="n">
        <f aca="false">IF(OR($B36="",D36=""),"",IF(N(J36)=0,"前年なし",D36/J36))</f>
        <v>1.296583528619</v>
      </c>
      <c r="N36" s="32" t="n">
        <f aca="false">IF(OR($B36="",E36=""),"",IF(N(K36)=0,"前年なし",E36/K36))</f>
        <v>1.37389819433545</v>
      </c>
      <c r="O36" s="32" t="n">
        <f aca="false">IF(OR($B36="",F36=""),"",IF(N(L36)=0,"前年なし",F36/L36))</f>
        <v>0.650337837837838</v>
      </c>
    </row>
    <row r="37" customFormat="false" ht="15" hidden="false" customHeight="false" outlineLevel="0" collapsed="false">
      <c r="A37" s="28" t="str">
        <f aca="false">IF($B37="","","スタジオピッコーネ／ピッコーネクラブ")</f>
        <v>スタジオピッコーネ／ピッコーネクラブ</v>
      </c>
      <c r="B37" s="29" t="n">
        <f aca="false">IFERROR(INDEX(店舗マスタ!$B$5:$B$304,MATCH("スタジオピッコーネ／ピッコーネクラブ|17",店舗マスタ!$L$5:$L$304,0)),"")</f>
        <v>32674500</v>
      </c>
      <c r="C37" s="28" t="str">
        <f aca="false">IF($B37="","",INDEX(店舗マスタ!$C$5:$C$304,MATCH($B37,店舗マスタ!$B$5:$B$304,0)))</f>
        <v>仙台三越</v>
      </c>
      <c r="D37" s="30" t="n">
        <f aca="false">IF($B37="","",INDEX(店舗マスタ!$G$5:$G$304,MATCH($B37,店舗マスタ!$B$5:$B$304,0)))</f>
        <v>1266300</v>
      </c>
      <c r="E37" s="30" t="n">
        <f aca="false">IF($B37="","",INDEX(店舗マスタ!$P$5:$P$304,MATCH($B37,店舗マスタ!$B$5:$B$304,0)))</f>
        <v>1266300</v>
      </c>
      <c r="F37" s="30" t="n">
        <f aca="false">IF($B37="","",INDEX(店舗マスタ!$R$5:$R$304,MATCH($B37,店舗マスタ!$B$5:$B$304,0)))</f>
        <v>0</v>
      </c>
      <c r="G37" s="31" t="n">
        <f aca="false">IF(OR($B37="",F37=""),"",IF(D37=0,"-",F37/D37))</f>
        <v>0</v>
      </c>
      <c r="H37" s="30" t="n">
        <f aca="false">IF($B37="","",INDEX(店舗マスタ!$H$5:$H$304,MATCH($B37,店舗マスタ!$B$5:$B$304,0)))</f>
        <v>1250000</v>
      </c>
      <c r="I37" s="31" t="n">
        <f aca="false">IF($B37="","",IF(H37=0,"-",D37/H37))</f>
        <v>1.01304</v>
      </c>
      <c r="J37" s="30" t="n">
        <f aca="false">IF($B37="","",INDEX(店舗マスタ!$I$5:$I$304,MATCH($B37,店舗マスタ!$B$5:$B$304,0)))</f>
        <v>948000</v>
      </c>
      <c r="K37" s="30" t="n">
        <f aca="false">IF($B37="","",INDEX(店舗マスタ!$Q$5:$Q$304,MATCH($B37,店舗マスタ!$B$5:$B$304,0)))</f>
        <v>921000</v>
      </c>
      <c r="L37" s="30" t="n">
        <f aca="false">IF($B37="","",INDEX(店舗マスタ!$S$5:$S$304,MATCH($B37,店舗マスタ!$B$5:$B$304,0)))</f>
        <v>27000</v>
      </c>
      <c r="M37" s="32" t="n">
        <f aca="false">IF(OR($B37="",D37=""),"",IF(N(J37)=0,"前年なし",D37/J37))</f>
        <v>1.33575949367089</v>
      </c>
      <c r="N37" s="32" t="n">
        <f aca="false">IF(OR($B37="",E37=""),"",IF(N(K37)=0,"前年なし",E37/K37))</f>
        <v>1.37491856677524</v>
      </c>
      <c r="O37" s="32" t="n">
        <f aca="false">IF(OR($B37="",F37=""),"",IF(N(L37)=0,"前年なし",F37/L37))</f>
        <v>0</v>
      </c>
    </row>
    <row r="38" customFormat="false" ht="15" hidden="false" customHeight="false" outlineLevel="0" collapsed="false">
      <c r="A38" s="28" t="str">
        <f aca="false">IF($B38="","","スタジオピッコーネ／ピッコーネクラブ")</f>
        <v>スタジオピッコーネ／ピッコーネクラブ</v>
      </c>
      <c r="B38" s="29" t="n">
        <f aca="false">IFERROR(INDEX(店舗マスタ!$B$5:$B$304,MATCH("スタジオピッコーネ／ピッコーネクラブ|18",店舗マスタ!$L$5:$L$304,0)),"")</f>
        <v>32675600</v>
      </c>
      <c r="C38" s="28" t="str">
        <f aca="false">IF($B38="","",INDEX(店舗マスタ!$C$5:$C$304,MATCH($B38,店舗マスタ!$B$5:$B$304,0)))</f>
        <v>ながの東急百貨店</v>
      </c>
      <c r="D38" s="30" t="n">
        <f aca="false">IF($B38="","",INDEX(店舗マスタ!$G$5:$G$304,MATCH($B38,店舗マスタ!$B$5:$B$304,0)))</f>
        <v>2648700</v>
      </c>
      <c r="E38" s="30" t="n">
        <f aca="false">IF($B38="","",INDEX(店舗マスタ!$P$5:$P$304,MATCH($B38,店舗マスタ!$B$5:$B$304,0)))</f>
        <v>2585700</v>
      </c>
      <c r="F38" s="30" t="n">
        <f aca="false">IF($B38="","",INDEX(店舗マスタ!$R$5:$R$304,MATCH($B38,店舗マスタ!$B$5:$B$304,0)))</f>
        <v>63000</v>
      </c>
      <c r="G38" s="31" t="n">
        <f aca="false">IF(OR($B38="",F38=""),"",IF(D38=0,"-",F38/D38))</f>
        <v>0.0237852531430513</v>
      </c>
      <c r="H38" s="30" t="n">
        <f aca="false">IF($B38="","",INDEX(店舗マスタ!$H$5:$H$304,MATCH($B38,店舗マスタ!$B$5:$B$304,0)))</f>
        <v>3910000</v>
      </c>
      <c r="I38" s="31" t="n">
        <f aca="false">IF($B38="","",IF(H38=0,"-",D38/H38))</f>
        <v>0.677416879795396</v>
      </c>
      <c r="J38" s="30" t="n">
        <f aca="false">IF($B38="","",INDEX(店舗マスタ!$I$5:$I$304,MATCH($B38,店舗マスタ!$B$5:$B$304,0)))</f>
        <v>3232800</v>
      </c>
      <c r="K38" s="30" t="n">
        <f aca="false">IF($B38="","",INDEX(店舗マスタ!$Q$5:$Q$304,MATCH($B38,店舗マスタ!$B$5:$B$304,0)))</f>
        <v>3129200</v>
      </c>
      <c r="L38" s="30" t="n">
        <f aca="false">IF($B38="","",INDEX(店舗マスタ!$S$5:$S$304,MATCH($B38,店舗マスタ!$B$5:$B$304,0)))</f>
        <v>103600</v>
      </c>
      <c r="M38" s="32" t="n">
        <f aca="false">IF(OR($B38="",D38=""),"",IF(N(J38)=0,"前年なし",D38/J38))</f>
        <v>0.819320712694878</v>
      </c>
      <c r="N38" s="32" t="n">
        <f aca="false">IF(OR($B38="",E38=""),"",IF(N(K38)=0,"前年なし",E38/K38))</f>
        <v>0.826313434743704</v>
      </c>
      <c r="O38" s="32" t="n">
        <f aca="false">IF(OR($B38="",F38=""),"",IF(N(L38)=0,"前年なし",F38/L38))</f>
        <v>0.608108108108108</v>
      </c>
    </row>
    <row r="39" customFormat="false" ht="15" hidden="false" customHeight="false" outlineLevel="0" collapsed="false">
      <c r="A39" s="28" t="str">
        <f aca="false">IF($B39="","","スタジオピッコーネ／ピッコーネクラブ")</f>
        <v>スタジオピッコーネ／ピッコーネクラブ</v>
      </c>
      <c r="B39" s="29" t="n">
        <f aca="false">IFERROR(INDEX(店舗マスタ!$B$5:$B$304,MATCH("スタジオピッコーネ／ピッコーネクラブ|19",店舗マスタ!$L$5:$L$304,0)),"")</f>
        <v>32675700</v>
      </c>
      <c r="C39" s="28" t="str">
        <f aca="false">IF($B39="","",INDEX(店舗マスタ!$C$5:$C$304,MATCH($B39,店舗マスタ!$B$5:$B$304,0)))</f>
        <v>静岡伊勢丹</v>
      </c>
      <c r="D39" s="30" t="n">
        <f aca="false">IF($B39="","",INDEX(店舗マスタ!$G$5:$G$304,MATCH($B39,店舗マスタ!$B$5:$B$304,0)))</f>
        <v>1267300</v>
      </c>
      <c r="E39" s="30" t="n">
        <f aca="false">IF($B39="","",INDEX(店舗マスタ!$P$5:$P$304,MATCH($B39,店舗マスタ!$B$5:$B$304,0)))</f>
        <v>832100</v>
      </c>
      <c r="F39" s="30" t="n">
        <f aca="false">IF($B39="","",INDEX(店舗マスタ!$R$5:$R$304,MATCH($B39,店舗マスタ!$B$5:$B$304,0)))</f>
        <v>435200</v>
      </c>
      <c r="G39" s="31" t="n">
        <f aca="false">IF(OR($B39="",F39=""),"",IF(D39=0,"-",F39/D39))</f>
        <v>0.343407243746548</v>
      </c>
      <c r="H39" s="30" t="n">
        <f aca="false">IF($B39="","",INDEX(店舗マスタ!$H$5:$H$304,MATCH($B39,店舗マスタ!$B$5:$B$304,0)))</f>
        <v>1260000</v>
      </c>
      <c r="I39" s="31" t="n">
        <f aca="false">IF($B39="","",IF(H39=0,"-",D39/H39))</f>
        <v>1.00579365079365</v>
      </c>
      <c r="J39" s="30" t="n">
        <f aca="false">IF($B39="","",INDEX(店舗マスタ!$I$5:$I$304,MATCH($B39,店舗マスタ!$B$5:$B$304,0)))</f>
        <v>910300</v>
      </c>
      <c r="K39" s="30" t="n">
        <f aca="false">IF($B39="","",INDEX(店舗マスタ!$Q$5:$Q$304,MATCH($B39,店舗マスタ!$B$5:$B$304,0)))</f>
        <v>724100</v>
      </c>
      <c r="L39" s="30" t="n">
        <f aca="false">IF($B39="","",INDEX(店舗マスタ!$S$5:$S$304,MATCH($B39,店舗マスタ!$B$5:$B$304,0)))</f>
        <v>186200</v>
      </c>
      <c r="M39" s="32" t="n">
        <f aca="false">IF(OR($B39="",D39=""),"",IF(N(J39)=0,"前年なし",D39/J39))</f>
        <v>1.39217840272438</v>
      </c>
      <c r="N39" s="32" t="n">
        <f aca="false">IF(OR($B39="",E39=""),"",IF(N(K39)=0,"前年なし",E39/K39))</f>
        <v>1.14915066979699</v>
      </c>
      <c r="O39" s="32" t="n">
        <f aca="false">IF(OR($B39="",F39=""),"",IF(N(L39)=0,"前年なし",F39/L39))</f>
        <v>2.33727175080559</v>
      </c>
    </row>
    <row r="40" customFormat="false" ht="15" hidden="false" customHeight="false" outlineLevel="0" collapsed="false">
      <c r="A40" s="28" t="str">
        <f aca="false">IF($B40="","","スタジオピッコーネ／ピッコーネクラブ")</f>
        <v>スタジオピッコーネ／ピッコーネクラブ</v>
      </c>
      <c r="B40" s="29" t="n">
        <f aca="false">IFERROR(INDEX(店舗マスタ!$B$5:$B$304,MATCH("スタジオピッコーネ／ピッコーネクラブ|20",店舗マスタ!$L$5:$L$304,0)),"")</f>
        <v>32675800</v>
      </c>
      <c r="C40" s="28" t="str">
        <f aca="false">IF($B40="","",INDEX(店舗マスタ!$C$5:$C$304,MATCH($B40,店舗マスタ!$B$5:$B$304,0)))</f>
        <v>伊勢丹立川店</v>
      </c>
      <c r="D40" s="30" t="n">
        <f aca="false">IF($B40="","",INDEX(店舗マスタ!$G$5:$G$304,MATCH($B40,店舗マスタ!$B$5:$B$304,0)))</f>
        <v>1418275</v>
      </c>
      <c r="E40" s="30" t="n">
        <f aca="false">IF($B40="","",INDEX(店舗マスタ!$P$5:$P$304,MATCH($B40,店舗マスタ!$B$5:$B$304,0)))</f>
        <v>1380275</v>
      </c>
      <c r="F40" s="30" t="n">
        <f aca="false">IF($B40="","",INDEX(店舗マスタ!$R$5:$R$304,MATCH($B40,店舗マスタ!$B$5:$B$304,0)))</f>
        <v>38000</v>
      </c>
      <c r="G40" s="31" t="n">
        <f aca="false">IF(OR($B40="",F40=""),"",IF(D40=0,"-",F40/D40))</f>
        <v>0.0267931113500555</v>
      </c>
      <c r="H40" s="30" t="n">
        <f aca="false">IF($B40="","",INDEX(店舗マスタ!$H$5:$H$304,MATCH($B40,店舗マスタ!$B$5:$B$304,0)))</f>
        <v>2500000</v>
      </c>
      <c r="I40" s="31" t="n">
        <f aca="false">IF($B40="","",IF(H40=0,"-",D40/H40))</f>
        <v>0.56731</v>
      </c>
      <c r="J40" s="30" t="n">
        <f aca="false">IF($B40="","",INDEX(店舗マスタ!$I$5:$I$304,MATCH($B40,店舗マスタ!$B$5:$B$304,0)))</f>
        <v>2424400</v>
      </c>
      <c r="K40" s="30" t="n">
        <f aca="false">IF($B40="","",INDEX(店舗マスタ!$Q$5:$Q$304,MATCH($B40,店舗マスタ!$B$5:$B$304,0)))</f>
        <v>2326900</v>
      </c>
      <c r="L40" s="30" t="n">
        <f aca="false">IF($B40="","",INDEX(店舗マスタ!$S$5:$S$304,MATCH($B40,店舗マスタ!$B$5:$B$304,0)))</f>
        <v>97500</v>
      </c>
      <c r="M40" s="32" t="n">
        <f aca="false">IF(OR($B40="",D40=""),"",IF(N(J40)=0,"前年なし",D40/J40))</f>
        <v>0.585000412473189</v>
      </c>
      <c r="N40" s="32" t="n">
        <f aca="false">IF(OR($B40="",E40=""),"",IF(N(K40)=0,"前年なし",E40/K40))</f>
        <v>0.593181915853711</v>
      </c>
      <c r="O40" s="32" t="n">
        <f aca="false">IF(OR($B40="",F40=""),"",IF(N(L40)=0,"前年なし",F40/L40))</f>
        <v>0.38974358974359</v>
      </c>
    </row>
    <row r="41" customFormat="false" ht="15" hidden="false" customHeight="false" outlineLevel="0" collapsed="false">
      <c r="A41" s="28" t="str">
        <f aca="false">IF($B41="","","スタジオピッコーネ／ピッコーネクラブ")</f>
        <v>スタジオピッコーネ／ピッコーネクラブ</v>
      </c>
      <c r="B41" s="29" t="n">
        <f aca="false">IFERROR(INDEX(店舗マスタ!$B$5:$B$304,MATCH("スタジオピッコーネ／ピッコーネクラブ|21",店舗マスタ!$L$5:$L$304,0)),"")</f>
        <v>32676200</v>
      </c>
      <c r="C41" s="28" t="str">
        <f aca="false">IF($B41="","",INDEX(店舗マスタ!$C$5:$C$304,MATCH($B41,店舗マスタ!$B$5:$B$304,0)))</f>
        <v>東武宇都宮百貨店</v>
      </c>
      <c r="D41" s="30" t="n">
        <f aca="false">IF($B41="","",INDEX(店舗マスタ!$G$5:$G$304,MATCH($B41,店舗マスタ!$B$5:$B$304,0)))</f>
        <v>1843700</v>
      </c>
      <c r="E41" s="30" t="n">
        <f aca="false">IF($B41="","",INDEX(店舗マスタ!$P$5:$P$304,MATCH($B41,店舗マスタ!$B$5:$B$304,0)))</f>
        <v>1540400</v>
      </c>
      <c r="F41" s="30" t="n">
        <f aca="false">IF($B41="","",INDEX(店舗マスタ!$R$5:$R$304,MATCH($B41,店舗マスタ!$B$5:$B$304,0)))</f>
        <v>303300</v>
      </c>
      <c r="G41" s="31" t="n">
        <f aca="false">IF(OR($B41="",F41=""),"",IF(D41=0,"-",F41/D41))</f>
        <v>0.164506156099148</v>
      </c>
      <c r="H41" s="30" t="n">
        <f aca="false">IF($B41="","",INDEX(店舗マスタ!$H$5:$H$304,MATCH($B41,店舗マスタ!$B$5:$B$304,0)))</f>
        <v>1450000</v>
      </c>
      <c r="I41" s="31" t="n">
        <f aca="false">IF($B41="","",IF(H41=0,"-",D41/H41))</f>
        <v>1.27151724137931</v>
      </c>
      <c r="J41" s="30" t="n">
        <f aca="false">IF($B41="","",INDEX(店舗マスタ!$I$5:$I$304,MATCH($B41,店舗マスタ!$B$5:$B$304,0)))</f>
        <v>1179400</v>
      </c>
      <c r="K41" s="30" t="n">
        <f aca="false">IF($B41="","",INDEX(店舗マスタ!$Q$5:$Q$304,MATCH($B41,店舗マスタ!$B$5:$B$304,0)))</f>
        <v>988000</v>
      </c>
      <c r="L41" s="30" t="n">
        <f aca="false">IF($B41="","",INDEX(店舗マスタ!$S$5:$S$304,MATCH($B41,店舗マスタ!$B$5:$B$304,0)))</f>
        <v>191400</v>
      </c>
      <c r="M41" s="32" t="n">
        <f aca="false">IF(OR($B41="",D41=""),"",IF(N(J41)=0,"前年なし",D41/J41))</f>
        <v>1.56325250127183</v>
      </c>
      <c r="N41" s="32" t="n">
        <f aca="false">IF(OR($B41="",E41=""),"",IF(N(K41)=0,"前年なし",E41/K41))</f>
        <v>1.55910931174089</v>
      </c>
      <c r="O41" s="32" t="n">
        <f aca="false">IF(OR($B41="",F41=""),"",IF(N(L41)=0,"前年なし",F41/L41))</f>
        <v>1.5846394984326</v>
      </c>
    </row>
    <row r="42" customFormat="false" ht="15" hidden="false" customHeight="false" outlineLevel="0" collapsed="false">
      <c r="A42" s="28" t="str">
        <f aca="false">IF($B42="","","スタジオピッコーネ／ピッコーネクラブ")</f>
        <v>スタジオピッコーネ／ピッコーネクラブ</v>
      </c>
      <c r="B42" s="29" t="n">
        <f aca="false">IFERROR(INDEX(店舗マスタ!$B$5:$B$304,MATCH("スタジオピッコーネ／ピッコーネクラブ|22",店舗マスタ!$L$5:$L$304,0)),"")</f>
        <v>32676300</v>
      </c>
      <c r="C42" s="28" t="str">
        <f aca="false">IF($B42="","",INDEX(店舗マスタ!$C$5:$C$304,MATCH($B42,店舗マスタ!$B$5:$B$304,0)))</f>
        <v>高島屋新宿店</v>
      </c>
      <c r="D42" s="30" t="n">
        <f aca="false">IF($B42="","",INDEX(店舗マスタ!$G$5:$G$304,MATCH($B42,店舗マスタ!$B$5:$B$304,0)))</f>
        <v>3285560</v>
      </c>
      <c r="E42" s="30" t="n">
        <f aca="false">IF($B42="","",INDEX(店舗マスタ!$P$5:$P$304,MATCH($B42,店舗マスタ!$B$5:$B$304,0)))</f>
        <v>3285560</v>
      </c>
      <c r="F42" s="30" t="n">
        <f aca="false">IF($B42="","",INDEX(店舗マスタ!$R$5:$R$304,MATCH($B42,店舗マスタ!$B$5:$B$304,0)))</f>
        <v>0</v>
      </c>
      <c r="G42" s="31" t="n">
        <f aca="false">IF(OR($B42="",F42=""),"",IF(D42=0,"-",F42/D42))</f>
        <v>0</v>
      </c>
      <c r="H42" s="30" t="n">
        <f aca="false">IF($B42="","",INDEX(店舗マスタ!$H$5:$H$304,MATCH($B42,店舗マスタ!$B$5:$B$304,0)))</f>
        <v>2600000</v>
      </c>
      <c r="I42" s="31" t="n">
        <f aca="false">IF($B42="","",IF(H42=0,"-",D42/H42))</f>
        <v>1.26367692307692</v>
      </c>
      <c r="J42" s="30" t="n">
        <f aca="false">IF($B42="","",INDEX(店舗マスタ!$I$5:$I$304,MATCH($B42,店舗マスタ!$B$5:$B$304,0)))</f>
        <v>2608290</v>
      </c>
      <c r="K42" s="30" t="n">
        <f aca="false">IF($B42="","",INDEX(店舗マスタ!$Q$5:$Q$304,MATCH($B42,店舗マスタ!$B$5:$B$304,0)))</f>
        <v>2162590</v>
      </c>
      <c r="L42" s="30" t="n">
        <f aca="false">IF($B42="","",INDEX(店舗マスタ!$S$5:$S$304,MATCH($B42,店舗マスタ!$B$5:$B$304,0)))</f>
        <v>445700</v>
      </c>
      <c r="M42" s="32" t="n">
        <f aca="false">IF(OR($B42="",D42=""),"",IF(N(J42)=0,"前年なし",D42/J42))</f>
        <v>1.25966054388124</v>
      </c>
      <c r="N42" s="32" t="n">
        <f aca="false">IF(OR($B42="",E42=""),"",IF(N(K42)=0,"前年なし",E42/K42))</f>
        <v>1.51927087427575</v>
      </c>
      <c r="O42" s="32" t="n">
        <f aca="false">IF(OR($B42="",F42=""),"",IF(N(L42)=0,"前年なし",F42/L42))</f>
        <v>0</v>
      </c>
    </row>
    <row r="43" customFormat="false" ht="15" hidden="false" customHeight="false" outlineLevel="0" collapsed="false">
      <c r="A43" s="28" t="str">
        <f aca="false">IF($B43="","","スタジオピッコーネ／ピッコーネクラブ")</f>
        <v>スタジオピッコーネ／ピッコーネクラブ</v>
      </c>
      <c r="B43" s="29" t="n">
        <f aca="false">IFERROR(INDEX(店舗マスタ!$B$5:$B$304,MATCH("スタジオピッコーネ／ピッコーネクラブ|23",店舗マスタ!$L$5:$L$304,0)),"")</f>
        <v>32676700</v>
      </c>
      <c r="C43" s="28" t="str">
        <f aca="false">IF($B43="","",INDEX(店舗マスタ!$C$5:$C$304,MATCH($B43,店舗マスタ!$B$5:$B$304,0)))</f>
        <v>高島屋大宮店</v>
      </c>
      <c r="D43" s="30" t="n">
        <f aca="false">IF($B43="","",INDEX(店舗マスタ!$G$5:$G$304,MATCH($B43,店舗マスタ!$B$5:$B$304,0)))</f>
        <v>627595</v>
      </c>
      <c r="E43" s="30" t="n">
        <f aca="false">IF($B43="","",INDEX(店舗マスタ!$P$5:$P$304,MATCH($B43,店舗マスタ!$B$5:$B$304,0)))</f>
        <v>449395</v>
      </c>
      <c r="F43" s="30" t="n">
        <f aca="false">IF($B43="","",INDEX(店舗マスタ!$R$5:$R$304,MATCH($B43,店舗マスタ!$B$5:$B$304,0)))</f>
        <v>178200</v>
      </c>
      <c r="G43" s="31" t="n">
        <f aca="false">IF(OR($B43="",F43=""),"",IF(D43=0,"-",F43/D43))</f>
        <v>0.28394107664975</v>
      </c>
      <c r="H43" s="30" t="n">
        <f aca="false">IF($B43="","",INDEX(店舗マスタ!$H$5:$H$304,MATCH($B43,店舗マスタ!$B$5:$B$304,0)))</f>
        <v>1800000</v>
      </c>
      <c r="I43" s="31" t="n">
        <f aca="false">IF($B43="","",IF(H43=0,"-",D43/H43))</f>
        <v>0.348663888888889</v>
      </c>
      <c r="J43" s="30" t="n">
        <f aca="false">IF($B43="","",INDEX(店舗マスタ!$I$5:$I$304,MATCH($B43,店舗マスタ!$B$5:$B$304,0)))</f>
        <v>0</v>
      </c>
      <c r="K43" s="30" t="n">
        <f aca="false">IF($B43="","",INDEX(店舗マスタ!$Q$5:$Q$304,MATCH($B43,店舗マスタ!$B$5:$B$304,0)))</f>
        <v>0</v>
      </c>
      <c r="L43" s="30" t="n">
        <f aca="false">IF($B43="","",INDEX(店舗マスタ!$S$5:$S$304,MATCH($B43,店舗マスタ!$B$5:$B$304,0)))</f>
        <v>0</v>
      </c>
      <c r="M43" s="32" t="str">
        <f aca="false">IF(OR($B43="",D43=""),"",IF(N(J43)=0,"前年なし",D43/J43))</f>
        <v>前年なし</v>
      </c>
      <c r="N43" s="32" t="str">
        <f aca="false">IF(OR($B43="",E43=""),"",IF(N(K43)=0,"前年なし",E43/K43))</f>
        <v>前年なし</v>
      </c>
      <c r="O43" s="32" t="str">
        <f aca="false">IF(OR($B43="",F43=""),"",IF(N(L43)=0,"前年なし",F43/L43))</f>
        <v>前年なし</v>
      </c>
    </row>
    <row r="44" customFormat="false" ht="15" hidden="false" customHeight="false" outlineLevel="0" collapsed="false">
      <c r="A44" s="28" t="str">
        <f aca="false">IF($B44="","","スタジオピッコーネ／ピッコーネクラブ")</f>
        <v/>
      </c>
      <c r="B44" s="29" t="str">
        <f aca="false">IFERROR(INDEX(店舗マスタ!$B$5:$B$304,MATCH("スタジオピッコーネ／ピッコーネクラブ|24",店舗マスタ!$L$5:$L$304,0)),"")</f>
        <v/>
      </c>
      <c r="C44" s="28" t="str">
        <f aca="false">IF($B44="","",INDEX(店舗マスタ!$C$5:$C$304,MATCH($B44,店舗マスタ!$B$5:$B$304,0)))</f>
        <v/>
      </c>
      <c r="D44" s="30" t="str">
        <f aca="false">IF($B44="","",INDEX(店舗マスタ!$G$5:$G$304,MATCH($B44,店舗マスタ!$B$5:$B$304,0)))</f>
        <v/>
      </c>
      <c r="E44" s="30" t="str">
        <f aca="false">IF($B44="","",INDEX(店舗マスタ!$P$5:$P$304,MATCH($B44,店舗マスタ!$B$5:$B$304,0)))</f>
        <v/>
      </c>
      <c r="F44" s="30" t="str">
        <f aca="false">IF($B44="","",INDEX(店舗マスタ!$R$5:$R$304,MATCH($B44,店舗マスタ!$B$5:$B$304,0)))</f>
        <v/>
      </c>
      <c r="G44" s="31" t="str">
        <f aca="false">IF(OR($B44="",F44=""),"",IF(D44=0,"-",F44/D44))</f>
        <v/>
      </c>
      <c r="H44" s="30" t="str">
        <f aca="false">IF($B44="","",INDEX(店舗マスタ!$H$5:$H$304,MATCH($B44,店舗マスタ!$B$5:$B$304,0)))</f>
        <v/>
      </c>
      <c r="I44" s="31" t="str">
        <f aca="false">IF($B44="","",IF(H44=0,"-",D44/H44))</f>
        <v/>
      </c>
      <c r="J44" s="30" t="str">
        <f aca="false">IF($B44="","",INDEX(店舗マスタ!$I$5:$I$304,MATCH($B44,店舗マスタ!$B$5:$B$304,0)))</f>
        <v/>
      </c>
      <c r="K44" s="30" t="str">
        <f aca="false">IF($B44="","",INDEX(店舗マスタ!$Q$5:$Q$304,MATCH($B44,店舗マスタ!$B$5:$B$304,0)))</f>
        <v/>
      </c>
      <c r="L44" s="30" t="str">
        <f aca="false">IF($B44="","",INDEX(店舗マスタ!$S$5:$S$304,MATCH($B44,店舗マスタ!$B$5:$B$304,0)))</f>
        <v/>
      </c>
      <c r="M44" s="32" t="str">
        <f aca="false">IF(OR($B44="",D44=""),"",IF(N(J44)=0,"前年なし",D44/J44))</f>
        <v/>
      </c>
      <c r="N44" s="32" t="str">
        <f aca="false">IF(OR($B44="",E44=""),"",IF(N(K44)=0,"前年なし",E44/K44))</f>
        <v/>
      </c>
      <c r="O44" s="32" t="str">
        <f aca="false">IF(OR($B44="",F44=""),"",IF(N(L44)=0,"前年なし",F44/L44))</f>
        <v/>
      </c>
    </row>
    <row r="45" customFormat="false" ht="15" hidden="false" customHeight="false" outlineLevel="0" collapsed="false">
      <c r="A45" s="28" t="str">
        <f aca="false">IF($B45="","","スタジオピッコーネ／ピッコーネクラブ")</f>
        <v/>
      </c>
      <c r="B45" s="29" t="str">
        <f aca="false">IFERROR(INDEX(店舗マスタ!$B$5:$B$304,MATCH("スタジオピッコーネ／ピッコーネクラブ|25",店舗マスタ!$L$5:$L$304,0)),"")</f>
        <v/>
      </c>
      <c r="C45" s="28" t="str">
        <f aca="false">IF($B45="","",INDEX(店舗マスタ!$C$5:$C$304,MATCH($B45,店舗マスタ!$B$5:$B$304,0)))</f>
        <v/>
      </c>
      <c r="D45" s="30" t="str">
        <f aca="false">IF($B45="","",INDEX(店舗マスタ!$G$5:$G$304,MATCH($B45,店舗マスタ!$B$5:$B$304,0)))</f>
        <v/>
      </c>
      <c r="E45" s="30" t="str">
        <f aca="false">IF($B45="","",INDEX(店舗マスタ!$P$5:$P$304,MATCH($B45,店舗マスタ!$B$5:$B$304,0)))</f>
        <v/>
      </c>
      <c r="F45" s="30" t="str">
        <f aca="false">IF($B45="","",INDEX(店舗マスタ!$R$5:$R$304,MATCH($B45,店舗マスタ!$B$5:$B$304,0)))</f>
        <v/>
      </c>
      <c r="G45" s="31" t="str">
        <f aca="false">IF(OR($B45="",F45=""),"",IF(D45=0,"-",F45/D45))</f>
        <v/>
      </c>
      <c r="H45" s="30" t="str">
        <f aca="false">IF($B45="","",INDEX(店舗マスタ!$H$5:$H$304,MATCH($B45,店舗マスタ!$B$5:$B$304,0)))</f>
        <v/>
      </c>
      <c r="I45" s="31" t="str">
        <f aca="false">IF($B45="","",IF(H45=0,"-",D45/H45))</f>
        <v/>
      </c>
      <c r="J45" s="30" t="str">
        <f aca="false">IF($B45="","",INDEX(店舗マスタ!$I$5:$I$304,MATCH($B45,店舗マスタ!$B$5:$B$304,0)))</f>
        <v/>
      </c>
      <c r="K45" s="30" t="str">
        <f aca="false">IF($B45="","",INDEX(店舗マスタ!$Q$5:$Q$304,MATCH($B45,店舗マスタ!$B$5:$B$304,0)))</f>
        <v/>
      </c>
      <c r="L45" s="30" t="str">
        <f aca="false">IF($B45="","",INDEX(店舗マスタ!$S$5:$S$304,MATCH($B45,店舗マスタ!$B$5:$B$304,0)))</f>
        <v/>
      </c>
      <c r="M45" s="32" t="str">
        <f aca="false">IF(OR($B45="",D45=""),"",IF(N(J45)=0,"前年なし",D45/J45))</f>
        <v/>
      </c>
      <c r="N45" s="32" t="str">
        <f aca="false">IF(OR($B45="",E45=""),"",IF(N(K45)=0,"前年なし",E45/K45))</f>
        <v/>
      </c>
      <c r="O45" s="32" t="str">
        <f aca="false">IF(OR($B45="",F45=""),"",IF(N(L45)=0,"前年なし",F45/L45))</f>
        <v/>
      </c>
    </row>
    <row r="46" customFormat="false" ht="15" hidden="false" customHeight="false" outlineLevel="0" collapsed="false">
      <c r="A46" s="28" t="str">
        <f aca="false">IF($B46="","","スタジオピッコーネ／ピッコーネクラブ")</f>
        <v/>
      </c>
      <c r="B46" s="29" t="str">
        <f aca="false">IFERROR(INDEX(店舗マスタ!$B$5:$B$304,MATCH("スタジオピッコーネ／ピッコーネクラブ|26",店舗マスタ!$L$5:$L$304,0)),"")</f>
        <v/>
      </c>
      <c r="C46" s="28" t="str">
        <f aca="false">IF($B46="","",INDEX(店舗マスタ!$C$5:$C$304,MATCH($B46,店舗マスタ!$B$5:$B$304,0)))</f>
        <v/>
      </c>
      <c r="D46" s="30" t="str">
        <f aca="false">IF($B46="","",INDEX(店舗マスタ!$G$5:$G$304,MATCH($B46,店舗マスタ!$B$5:$B$304,0)))</f>
        <v/>
      </c>
      <c r="E46" s="30" t="str">
        <f aca="false">IF($B46="","",INDEX(店舗マスタ!$P$5:$P$304,MATCH($B46,店舗マスタ!$B$5:$B$304,0)))</f>
        <v/>
      </c>
      <c r="F46" s="30" t="str">
        <f aca="false">IF($B46="","",INDEX(店舗マスタ!$R$5:$R$304,MATCH($B46,店舗マスタ!$B$5:$B$304,0)))</f>
        <v/>
      </c>
      <c r="G46" s="31" t="str">
        <f aca="false">IF(OR($B46="",F46=""),"",IF(D46=0,"-",F46/D46))</f>
        <v/>
      </c>
      <c r="H46" s="30" t="str">
        <f aca="false">IF($B46="","",INDEX(店舗マスタ!$H$5:$H$304,MATCH($B46,店舗マスタ!$B$5:$B$304,0)))</f>
        <v/>
      </c>
      <c r="I46" s="31" t="str">
        <f aca="false">IF($B46="","",IF(H46=0,"-",D46/H46))</f>
        <v/>
      </c>
      <c r="J46" s="30" t="str">
        <f aca="false">IF($B46="","",INDEX(店舗マスタ!$I$5:$I$304,MATCH($B46,店舗マスタ!$B$5:$B$304,0)))</f>
        <v/>
      </c>
      <c r="K46" s="30" t="str">
        <f aca="false">IF($B46="","",INDEX(店舗マスタ!$Q$5:$Q$304,MATCH($B46,店舗マスタ!$B$5:$B$304,0)))</f>
        <v/>
      </c>
      <c r="L46" s="30" t="str">
        <f aca="false">IF($B46="","",INDEX(店舗マスタ!$S$5:$S$304,MATCH($B46,店舗マスタ!$B$5:$B$304,0)))</f>
        <v/>
      </c>
      <c r="M46" s="32" t="str">
        <f aca="false">IF(OR($B46="",D46=""),"",IF(N(J46)=0,"前年なし",D46/J46))</f>
        <v/>
      </c>
      <c r="N46" s="32" t="str">
        <f aca="false">IF(OR($B46="",E46=""),"",IF(N(K46)=0,"前年なし",E46/K46))</f>
        <v/>
      </c>
      <c r="O46" s="32" t="str">
        <f aca="false">IF(OR($B46="",F46=""),"",IF(N(L46)=0,"前年なし",F46/L46))</f>
        <v/>
      </c>
    </row>
    <row r="47" customFormat="false" ht="15" hidden="false" customHeight="false" outlineLevel="0" collapsed="false">
      <c r="A47" s="33" t="str">
        <f aca="false">"スタジオピッコーネ／ピッコーネクラブ　小計（"&amp;COUNT(D21:D46)&amp;"店舗）"</f>
        <v>スタジオピッコーネ／ピッコーネクラブ　小計（23店舗）</v>
      </c>
      <c r="B47" s="33"/>
      <c r="C47" s="33"/>
      <c r="D47" s="34" t="n">
        <f aca="false">SUBTOTAL(9,D21:D46)</f>
        <v>58463370</v>
      </c>
      <c r="E47" s="34" t="n">
        <f aca="false">SUBTOTAL(9,E21:E46)</f>
        <v>54359840</v>
      </c>
      <c r="F47" s="34" t="n">
        <f aca="false">SUBTOTAL(9,F21:F46)</f>
        <v>4103530</v>
      </c>
      <c r="G47" s="35" t="n">
        <f aca="false">IF(D47=0,"-",F47/D47)</f>
        <v>0.0701897615549702</v>
      </c>
      <c r="H47" s="34" t="n">
        <f aca="false">SUBTOTAL(9,H21:H46)</f>
        <v>71383000</v>
      </c>
      <c r="I47" s="35" t="n">
        <f aca="false">IF(H47=0,"-",D47/H47)</f>
        <v>0.819009708193828</v>
      </c>
      <c r="J47" s="34" t="n">
        <f aca="false">SUBTOTAL(9,J21:J46)</f>
        <v>59754000</v>
      </c>
      <c r="K47" s="34" t="n">
        <f aca="false">SUBTOTAL(9,K21:K46)</f>
        <v>56165000</v>
      </c>
      <c r="L47" s="34" t="n">
        <f aca="false">SUBTOTAL(9,L21:L46)</f>
        <v>3589000</v>
      </c>
      <c r="M47" s="35" t="n">
        <f aca="false">IF(J47=0,"-",D47/J47)</f>
        <v>0.978400943869866</v>
      </c>
      <c r="N47" s="35" t="n">
        <f aca="false">IF(K47=0,"-",E47/K47)</f>
        <v>0.967859699100864</v>
      </c>
      <c r="O47" s="35" t="n">
        <f aca="false">IF(L47=0,"-",F47/L47)</f>
        <v>1.14336305377543</v>
      </c>
    </row>
    <row r="48" customFormat="false" ht="15" hidden="false" customHeight="false" outlineLevel="0" collapsed="false">
      <c r="A48" s="28" t="str">
        <f aca="false">IF($B48="","","ピッコーネ")</f>
        <v>ピッコーネ</v>
      </c>
      <c r="B48" s="29" t="n">
        <f aca="false">IFERROR(INDEX(店舗マスタ!$B$5:$B$304,MATCH("ピッコーネ|1",店舗マスタ!$L$5:$L$304,0)),"")</f>
        <v>32580600</v>
      </c>
      <c r="C48" s="28" t="str">
        <f aca="false">IF($B48="","",INDEX(店舗マスタ!$C$5:$C$304,MATCH($B48,店舗マスタ!$B$5:$B$304,0)))</f>
        <v>ラポルテ芦屋店</v>
      </c>
      <c r="D48" s="30" t="n">
        <f aca="false">IF($B48="","",INDEX(店舗マスタ!$G$5:$G$304,MATCH($B48,店舗マスタ!$B$5:$B$304,0)))</f>
        <v>3138950</v>
      </c>
      <c r="E48" s="30" t="n">
        <f aca="false">IF($B48="","",INDEX(店舗マスタ!$P$5:$P$304,MATCH($B48,店舗マスタ!$B$5:$B$304,0)))</f>
        <v>978750</v>
      </c>
      <c r="F48" s="30" t="n">
        <f aca="false">IF($B48="","",INDEX(店舗マスタ!$R$5:$R$304,MATCH($B48,店舗マスタ!$B$5:$B$304,0)))</f>
        <v>2160200</v>
      </c>
      <c r="G48" s="31" t="n">
        <f aca="false">IF(OR($B48="",F48=""),"",IF(D48=0,"-",F48/D48))</f>
        <v>0.688191911307922</v>
      </c>
      <c r="H48" s="30" t="n">
        <f aca="false">IF($B48="","",INDEX(店舗マスタ!$H$5:$H$304,MATCH($B48,店舗マスタ!$B$5:$B$304,0)))</f>
        <v>2500000</v>
      </c>
      <c r="I48" s="31" t="n">
        <f aca="false">IF($B48="","",IF(H48=0,"-",D48/H48))</f>
        <v>1.25558</v>
      </c>
      <c r="J48" s="30" t="n">
        <f aca="false">IF($B48="","",INDEX(店舗マスタ!$I$5:$I$304,MATCH($B48,店舗マスタ!$B$5:$B$304,0)))</f>
        <v>2031171</v>
      </c>
      <c r="K48" s="30" t="n">
        <f aca="false">IF($B48="","",INDEX(店舗マスタ!$Q$5:$Q$304,MATCH($B48,店舗マスタ!$B$5:$B$304,0)))</f>
        <v>1368371</v>
      </c>
      <c r="L48" s="30" t="n">
        <f aca="false">IF($B48="","",INDEX(店舗マスタ!$S$5:$S$304,MATCH($B48,店舗マスタ!$B$5:$B$304,0)))</f>
        <v>662800</v>
      </c>
      <c r="M48" s="32" t="n">
        <f aca="false">IF(OR($B48="",D48=""),"",IF(N(J48)=0,"前年なし",D48/J48))</f>
        <v>1.54538933452673</v>
      </c>
      <c r="N48" s="32" t="n">
        <f aca="false">IF(OR($B48="",E48=""),"",IF(N(K48)=0,"前年なし",E48/K48))</f>
        <v>0.715266546864849</v>
      </c>
      <c r="O48" s="32" t="n">
        <f aca="false">IF(OR($B48="",F48=""),"",IF(N(L48)=0,"前年なし",F48/L48))</f>
        <v>3.25920337960169</v>
      </c>
    </row>
    <row r="49" customFormat="false" ht="15" hidden="false" customHeight="false" outlineLevel="0" collapsed="false">
      <c r="A49" s="28" t="str">
        <f aca="false">IF($B49="","","ピッコーネ")</f>
        <v>ピッコーネ</v>
      </c>
      <c r="B49" s="29" t="n">
        <f aca="false">IFERROR(INDEX(店舗マスタ!$B$5:$B$304,MATCH("ピッコーネ|2",店舗マスタ!$L$5:$L$304,0)),"")</f>
        <v>32580700</v>
      </c>
      <c r="C49" s="28" t="str">
        <f aca="false">IF($B49="","",INDEX(店舗マスタ!$C$5:$C$304,MATCH($B49,店舗マスタ!$B$5:$B$304,0)))</f>
        <v>ホテルニューオータニ大阪店</v>
      </c>
      <c r="D49" s="30" t="n">
        <f aca="false">IF($B49="","",INDEX(店舗マスタ!$G$5:$G$304,MATCH($B49,店舗マスタ!$B$5:$B$304,0)))</f>
        <v>946100</v>
      </c>
      <c r="E49" s="30" t="n">
        <f aca="false">IF($B49="","",INDEX(店舗マスタ!$P$5:$P$304,MATCH($B49,店舗マスタ!$B$5:$B$304,0)))</f>
        <v>621400</v>
      </c>
      <c r="F49" s="30" t="n">
        <f aca="false">IF($B49="","",INDEX(店舗マスタ!$R$5:$R$304,MATCH($B49,店舗マスタ!$B$5:$B$304,0)))</f>
        <v>324700</v>
      </c>
      <c r="G49" s="31" t="n">
        <f aca="false">IF(OR($B49="",F49=""),"",IF(D49=0,"-",F49/D49))</f>
        <v>0.343198393404503</v>
      </c>
      <c r="H49" s="30" t="n">
        <f aca="false">IF($B49="","",INDEX(店舗マスタ!$H$5:$H$304,MATCH($B49,店舗マスタ!$B$5:$B$304,0)))</f>
        <v>1550000</v>
      </c>
      <c r="I49" s="31" t="n">
        <f aca="false">IF($B49="","",IF(H49=0,"-",D49/H49))</f>
        <v>0.610387096774194</v>
      </c>
      <c r="J49" s="30" t="n">
        <f aca="false">IF($B49="","",INDEX(店舗マスタ!$I$5:$I$304,MATCH($B49,店舗マスタ!$B$5:$B$304,0)))</f>
        <v>1285696</v>
      </c>
      <c r="K49" s="30" t="n">
        <f aca="false">IF($B49="","",INDEX(店舗マスタ!$Q$5:$Q$304,MATCH($B49,店舗マスタ!$B$5:$B$304,0)))</f>
        <v>785950</v>
      </c>
      <c r="L49" s="30" t="n">
        <f aca="false">IF($B49="","",INDEX(店舗マスタ!$S$5:$S$304,MATCH($B49,店舗マスタ!$B$5:$B$304,0)))</f>
        <v>499746</v>
      </c>
      <c r="M49" s="32" t="n">
        <f aca="false">IF(OR($B49="",D49=""),"",IF(N(J49)=0,"前年なし",D49/J49))</f>
        <v>0.735866021205635</v>
      </c>
      <c r="N49" s="32" t="n">
        <f aca="false">IF(OR($B49="",E49=""),"",IF(N(K49)=0,"前年なし",E49/K49))</f>
        <v>0.790635536611744</v>
      </c>
      <c r="O49" s="32" t="n">
        <f aca="false">IF(OR($B49="",F49=""),"",IF(N(L49)=0,"前年なし",F49/L49))</f>
        <v>0.649730062871939</v>
      </c>
    </row>
    <row r="50" customFormat="false" ht="15" hidden="false" customHeight="false" outlineLevel="0" collapsed="false">
      <c r="A50" s="28" t="str">
        <f aca="false">IF($B50="","","ピッコーネ")</f>
        <v>ピッコーネ</v>
      </c>
      <c r="B50" s="29" t="n">
        <f aca="false">IFERROR(INDEX(店舗マスタ!$B$5:$B$304,MATCH("ピッコーネ|3",店舗マスタ!$L$5:$L$304,0)),"")</f>
        <v>32580900</v>
      </c>
      <c r="C50" s="28" t="str">
        <f aca="false">IF($B50="","",INDEX(店舗マスタ!$C$5:$C$304,MATCH($B50,店舗マスタ!$B$5:$B$304,0)))</f>
        <v>阪急三番街店</v>
      </c>
      <c r="D50" s="30" t="n">
        <f aca="false">IF($B50="","",INDEX(店舗マスタ!$G$5:$G$304,MATCH($B50,店舗マスタ!$B$5:$B$304,0)))</f>
        <v>6773261</v>
      </c>
      <c r="E50" s="30" t="n">
        <f aca="false">IF($B50="","",INDEX(店舗マスタ!$P$5:$P$304,MATCH($B50,店舗マスタ!$B$5:$B$304,0)))</f>
        <v>904121</v>
      </c>
      <c r="F50" s="30" t="n">
        <f aca="false">IF($B50="","",INDEX(店舗マスタ!$R$5:$R$304,MATCH($B50,店舗マスタ!$B$5:$B$304,0)))</f>
        <v>5869140</v>
      </c>
      <c r="G50" s="31" t="n">
        <f aca="false">IF(OR($B50="",F50=""),"",IF(D50=0,"-",F50/D50))</f>
        <v>0.866516143405665</v>
      </c>
      <c r="H50" s="30" t="n">
        <f aca="false">IF($B50="","",INDEX(店舗マスタ!$H$5:$H$304,MATCH($B50,店舗マスタ!$B$5:$B$304,0)))</f>
        <v>3500000</v>
      </c>
      <c r="I50" s="31" t="n">
        <f aca="false">IF($B50="","",IF(H50=0,"-",D50/H50))</f>
        <v>1.93521742857143</v>
      </c>
      <c r="J50" s="30" t="n">
        <f aca="false">IF($B50="","",INDEX(店舗マスタ!$I$5:$I$304,MATCH($B50,店舗マスタ!$B$5:$B$304,0)))</f>
        <v>2378787</v>
      </c>
      <c r="K50" s="30" t="n">
        <f aca="false">IF($B50="","",INDEX(店舗マスタ!$Q$5:$Q$304,MATCH($B50,店舗マスタ!$B$5:$B$304,0)))</f>
        <v>1132287</v>
      </c>
      <c r="L50" s="30" t="n">
        <f aca="false">IF($B50="","",INDEX(店舗マスタ!$S$5:$S$304,MATCH($B50,店舗マスタ!$B$5:$B$304,0)))</f>
        <v>1246500</v>
      </c>
      <c r="M50" s="32" t="n">
        <f aca="false">IF(OR($B50="",D50=""),"",IF(N(J50)=0,"前年なし",D50/J50))</f>
        <v>2.84735917927919</v>
      </c>
      <c r="N50" s="32" t="n">
        <f aca="false">IF(OR($B50="",E50=""),"",IF(N(K50)=0,"前年なし",E50/K50))</f>
        <v>0.798491018619838</v>
      </c>
      <c r="O50" s="32" t="n">
        <f aca="false">IF(OR($B50="",F50=""),"",IF(N(L50)=0,"前年なし",F50/L50))</f>
        <v>4.70849578820698</v>
      </c>
    </row>
    <row r="51" customFormat="false" ht="15" hidden="false" customHeight="false" outlineLevel="0" collapsed="false">
      <c r="A51" s="28" t="str">
        <f aca="false">IF($B51="","","ピッコーネ")</f>
        <v>ピッコーネ</v>
      </c>
      <c r="B51" s="29" t="n">
        <f aca="false">IFERROR(INDEX(店舗マスタ!$B$5:$B$304,MATCH("ピッコーネ|4",店舗マスタ!$L$5:$L$304,0)),"")</f>
        <v>32675100</v>
      </c>
      <c r="C51" s="28" t="str">
        <f aca="false">IF($B51="","",INDEX(店舗マスタ!$C$5:$C$304,MATCH($B51,店舗マスタ!$B$5:$B$304,0)))</f>
        <v>東急百貨店たまプラーザ店</v>
      </c>
      <c r="D51" s="30" t="n">
        <f aca="false">IF($B51="","",INDEX(店舗マスタ!$G$5:$G$304,MATCH($B51,店舗マスタ!$B$5:$B$304,0)))</f>
        <v>3108900</v>
      </c>
      <c r="E51" s="30" t="n">
        <f aca="false">IF($B51="","",INDEX(店舗マスタ!$P$5:$P$304,MATCH($B51,店舗マスタ!$B$5:$B$304,0)))</f>
        <v>2879800</v>
      </c>
      <c r="F51" s="30" t="n">
        <f aca="false">IF($B51="","",INDEX(店舗マスタ!$R$5:$R$304,MATCH($B51,店舗マスタ!$B$5:$B$304,0)))</f>
        <v>229100</v>
      </c>
      <c r="G51" s="31" t="n">
        <f aca="false">IF(OR($B51="",F51=""),"",IF(D51=0,"-",F51/D51))</f>
        <v>0.0736916594293802</v>
      </c>
      <c r="H51" s="30" t="n">
        <f aca="false">IF($B51="","",INDEX(店舗マスタ!$H$5:$H$304,MATCH($B51,店舗マスタ!$B$5:$B$304,0)))</f>
        <v>4800000</v>
      </c>
      <c r="I51" s="31" t="n">
        <f aca="false">IF($B51="","",IF(H51=0,"-",D51/H51))</f>
        <v>0.6476875</v>
      </c>
      <c r="J51" s="30" t="n">
        <f aca="false">IF($B51="","",INDEX(店舗マスタ!$I$5:$I$304,MATCH($B51,店舗マスタ!$B$5:$B$304,0)))</f>
        <v>4852400</v>
      </c>
      <c r="K51" s="30" t="n">
        <f aca="false">IF($B51="","",INDEX(店舗マスタ!$Q$5:$Q$304,MATCH($B51,店舗マスタ!$B$5:$B$304,0)))</f>
        <v>4498600</v>
      </c>
      <c r="L51" s="30" t="n">
        <f aca="false">IF($B51="","",INDEX(店舗マスタ!$S$5:$S$304,MATCH($B51,店舗マスタ!$B$5:$B$304,0)))</f>
        <v>353800</v>
      </c>
      <c r="M51" s="32" t="n">
        <f aca="false">IF(OR($B51="",D51=""),"",IF(N(J51)=0,"前年なし",D51/J51))</f>
        <v>0.640693265188361</v>
      </c>
      <c r="N51" s="32" t="n">
        <f aca="false">IF(OR($B51="",E51=""),"",IF(N(K51)=0,"前年なし",E51/K51))</f>
        <v>0.64015471480016</v>
      </c>
      <c r="O51" s="32" t="n">
        <f aca="false">IF(OR($B51="",F51=""),"",IF(N(L51)=0,"前年なし",F51/L51))</f>
        <v>0.647540983606557</v>
      </c>
    </row>
    <row r="52" customFormat="false" ht="15" hidden="false" customHeight="false" outlineLevel="0" collapsed="false">
      <c r="A52" s="28" t="str">
        <f aca="false">IF($B52="","","ピッコーネ")</f>
        <v>ピッコーネ</v>
      </c>
      <c r="B52" s="29" t="n">
        <f aca="false">IFERROR(INDEX(店舗マスタ!$B$5:$B$304,MATCH("ピッコーネ|5",店舗マスタ!$L$5:$L$304,0)),"")</f>
        <v>32675300</v>
      </c>
      <c r="C52" s="28" t="str">
        <f aca="false">IF($B52="","",INDEX(店舗マスタ!$C$5:$C$304,MATCH($B52,店舗マスタ!$B$5:$B$304,0)))</f>
        <v>東急百貨店吉祥寺店</v>
      </c>
      <c r="D52" s="30" t="n">
        <f aca="false">IF($B52="","",INDEX(店舗マスタ!$G$5:$G$304,MATCH($B52,店舗マスタ!$B$5:$B$304,0)))</f>
        <v>2224545</v>
      </c>
      <c r="E52" s="30" t="n">
        <f aca="false">IF($B52="","",INDEX(店舗マスタ!$P$5:$P$304,MATCH($B52,店舗マスタ!$B$5:$B$304,0)))</f>
        <v>2102845</v>
      </c>
      <c r="F52" s="30" t="n">
        <f aca="false">IF($B52="","",INDEX(店舗マスタ!$R$5:$R$304,MATCH($B52,店舗マスタ!$B$5:$B$304,0)))</f>
        <v>121700</v>
      </c>
      <c r="G52" s="31" t="n">
        <f aca="false">IF(OR($B52="",F52=""),"",IF(D52=0,"-",F52/D52))</f>
        <v>0.0547078166546417</v>
      </c>
      <c r="H52" s="30" t="n">
        <f aca="false">IF($B52="","",INDEX(店舗マスタ!$H$5:$H$304,MATCH($B52,店舗マスタ!$B$5:$B$304,0)))</f>
        <v>3200000</v>
      </c>
      <c r="I52" s="31" t="n">
        <f aca="false">IF($B52="","",IF(H52=0,"-",D52/H52))</f>
        <v>0.6951703125</v>
      </c>
      <c r="J52" s="30" t="n">
        <f aca="false">IF($B52="","",INDEX(店舗マスタ!$I$5:$I$304,MATCH($B52,店舗マスタ!$B$5:$B$304,0)))</f>
        <v>3080805</v>
      </c>
      <c r="K52" s="30" t="n">
        <f aca="false">IF($B52="","",INDEX(店舗マスタ!$Q$5:$Q$304,MATCH($B52,店舗マスタ!$B$5:$B$304,0)))</f>
        <v>2919305</v>
      </c>
      <c r="L52" s="30" t="n">
        <f aca="false">IF($B52="","",INDEX(店舗マスタ!$S$5:$S$304,MATCH($B52,店舗マスタ!$B$5:$B$304,0)))</f>
        <v>161500</v>
      </c>
      <c r="M52" s="32" t="n">
        <f aca="false">IF(OR($B52="",D52=""),"",IF(N(J52)=0,"前年なし",D52/J52))</f>
        <v>0.722066148295657</v>
      </c>
      <c r="N52" s="32" t="n">
        <f aca="false">IF(OR($B52="",E52=""),"",IF(N(K52)=0,"前年なし",E52/K52))</f>
        <v>0.720323844202644</v>
      </c>
      <c r="O52" s="32" t="n">
        <f aca="false">IF(OR($B52="",F52=""),"",IF(N(L52)=0,"前年なし",F52/L52))</f>
        <v>0.753560371517028</v>
      </c>
    </row>
    <row r="53" customFormat="false" ht="15" hidden="false" customHeight="false" outlineLevel="0" collapsed="false">
      <c r="A53" s="28" t="str">
        <f aca="false">IF($B53="","","ピッコーネ")</f>
        <v/>
      </c>
      <c r="B53" s="29" t="str">
        <f aca="false">IFERROR(INDEX(店舗マスタ!$B$5:$B$304,MATCH("ピッコーネ|6",店舗マスタ!$L$5:$L$304,0)),"")</f>
        <v/>
      </c>
      <c r="C53" s="28" t="str">
        <f aca="false">IF($B53="","",INDEX(店舗マスタ!$C$5:$C$304,MATCH($B53,店舗マスタ!$B$5:$B$304,0)))</f>
        <v/>
      </c>
      <c r="D53" s="30" t="str">
        <f aca="false">IF($B53="","",INDEX(店舗マスタ!$G$5:$G$304,MATCH($B53,店舗マスタ!$B$5:$B$304,0)))</f>
        <v/>
      </c>
      <c r="E53" s="30" t="str">
        <f aca="false">IF($B53="","",INDEX(店舗マスタ!$P$5:$P$304,MATCH($B53,店舗マスタ!$B$5:$B$304,0)))</f>
        <v/>
      </c>
      <c r="F53" s="30" t="str">
        <f aca="false">IF($B53="","",INDEX(店舗マスタ!$R$5:$R$304,MATCH($B53,店舗マスタ!$B$5:$B$304,0)))</f>
        <v/>
      </c>
      <c r="G53" s="31" t="str">
        <f aca="false">IF(OR($B53="",F53=""),"",IF(D53=0,"-",F53/D53))</f>
        <v/>
      </c>
      <c r="H53" s="30" t="str">
        <f aca="false">IF($B53="","",INDEX(店舗マスタ!$H$5:$H$304,MATCH($B53,店舗マスタ!$B$5:$B$304,0)))</f>
        <v/>
      </c>
      <c r="I53" s="31" t="str">
        <f aca="false">IF($B53="","",IF(H53=0,"-",D53/H53))</f>
        <v/>
      </c>
      <c r="J53" s="30" t="str">
        <f aca="false">IF($B53="","",INDEX(店舗マスタ!$I$5:$I$304,MATCH($B53,店舗マスタ!$B$5:$B$304,0)))</f>
        <v/>
      </c>
      <c r="K53" s="30" t="str">
        <f aca="false">IF($B53="","",INDEX(店舗マスタ!$Q$5:$Q$304,MATCH($B53,店舗マスタ!$B$5:$B$304,0)))</f>
        <v/>
      </c>
      <c r="L53" s="30" t="str">
        <f aca="false">IF($B53="","",INDEX(店舗マスタ!$S$5:$S$304,MATCH($B53,店舗マスタ!$B$5:$B$304,0)))</f>
        <v/>
      </c>
      <c r="M53" s="32" t="str">
        <f aca="false">IF(OR($B53="",D53=""),"",IF(N(J53)=0,"前年なし",D53/J53))</f>
        <v/>
      </c>
      <c r="N53" s="32" t="str">
        <f aca="false">IF(OR($B53="",E53=""),"",IF(N(K53)=0,"前年なし",E53/K53))</f>
        <v/>
      </c>
      <c r="O53" s="32" t="str">
        <f aca="false">IF(OR($B53="",F53=""),"",IF(N(L53)=0,"前年なし",F53/L53))</f>
        <v/>
      </c>
    </row>
    <row r="54" customFormat="false" ht="15" hidden="false" customHeight="false" outlineLevel="0" collapsed="false">
      <c r="A54" s="28" t="str">
        <f aca="false">IF($B54="","","ピッコーネ")</f>
        <v/>
      </c>
      <c r="B54" s="29" t="str">
        <f aca="false">IFERROR(INDEX(店舗マスタ!$B$5:$B$304,MATCH("ピッコーネ|7",店舗マスタ!$L$5:$L$304,0)),"")</f>
        <v/>
      </c>
      <c r="C54" s="28" t="str">
        <f aca="false">IF($B54="","",INDEX(店舗マスタ!$C$5:$C$304,MATCH($B54,店舗マスタ!$B$5:$B$304,0)))</f>
        <v/>
      </c>
      <c r="D54" s="30" t="str">
        <f aca="false">IF($B54="","",INDEX(店舗マスタ!$G$5:$G$304,MATCH($B54,店舗マスタ!$B$5:$B$304,0)))</f>
        <v/>
      </c>
      <c r="E54" s="30" t="str">
        <f aca="false">IF($B54="","",INDEX(店舗マスタ!$P$5:$P$304,MATCH($B54,店舗マスタ!$B$5:$B$304,0)))</f>
        <v/>
      </c>
      <c r="F54" s="30" t="str">
        <f aca="false">IF($B54="","",INDEX(店舗マスタ!$R$5:$R$304,MATCH($B54,店舗マスタ!$B$5:$B$304,0)))</f>
        <v/>
      </c>
      <c r="G54" s="31" t="str">
        <f aca="false">IF(OR($B54="",F54=""),"",IF(D54=0,"-",F54/D54))</f>
        <v/>
      </c>
      <c r="H54" s="30" t="str">
        <f aca="false">IF($B54="","",INDEX(店舗マスタ!$H$5:$H$304,MATCH($B54,店舗マスタ!$B$5:$B$304,0)))</f>
        <v/>
      </c>
      <c r="I54" s="31" t="str">
        <f aca="false">IF($B54="","",IF(H54=0,"-",D54/H54))</f>
        <v/>
      </c>
      <c r="J54" s="30" t="str">
        <f aca="false">IF($B54="","",INDEX(店舗マスタ!$I$5:$I$304,MATCH($B54,店舗マスタ!$B$5:$B$304,0)))</f>
        <v/>
      </c>
      <c r="K54" s="30" t="str">
        <f aca="false">IF($B54="","",INDEX(店舗マスタ!$Q$5:$Q$304,MATCH($B54,店舗マスタ!$B$5:$B$304,0)))</f>
        <v/>
      </c>
      <c r="L54" s="30" t="str">
        <f aca="false">IF($B54="","",INDEX(店舗マスタ!$S$5:$S$304,MATCH($B54,店舗マスタ!$B$5:$B$304,0)))</f>
        <v/>
      </c>
      <c r="M54" s="32" t="str">
        <f aca="false">IF(OR($B54="",D54=""),"",IF(N(J54)=0,"前年なし",D54/J54))</f>
        <v/>
      </c>
      <c r="N54" s="32" t="str">
        <f aca="false">IF(OR($B54="",E54=""),"",IF(N(K54)=0,"前年なし",E54/K54))</f>
        <v/>
      </c>
      <c r="O54" s="32" t="str">
        <f aca="false">IF(OR($B54="",F54=""),"",IF(N(L54)=0,"前年なし",F54/L54))</f>
        <v/>
      </c>
    </row>
    <row r="55" customFormat="false" ht="15" hidden="false" customHeight="false" outlineLevel="0" collapsed="false">
      <c r="A55" s="28" t="str">
        <f aca="false">IF($B55="","","ピッコーネ")</f>
        <v/>
      </c>
      <c r="B55" s="29" t="str">
        <f aca="false">IFERROR(INDEX(店舗マスタ!$B$5:$B$304,MATCH("ピッコーネ|8",店舗マスタ!$L$5:$L$304,0)),"")</f>
        <v/>
      </c>
      <c r="C55" s="28" t="str">
        <f aca="false">IF($B55="","",INDEX(店舗マスタ!$C$5:$C$304,MATCH($B55,店舗マスタ!$B$5:$B$304,0)))</f>
        <v/>
      </c>
      <c r="D55" s="30" t="str">
        <f aca="false">IF($B55="","",INDEX(店舗マスタ!$G$5:$G$304,MATCH($B55,店舗マスタ!$B$5:$B$304,0)))</f>
        <v/>
      </c>
      <c r="E55" s="30" t="str">
        <f aca="false">IF($B55="","",INDEX(店舗マスタ!$P$5:$P$304,MATCH($B55,店舗マスタ!$B$5:$B$304,0)))</f>
        <v/>
      </c>
      <c r="F55" s="30" t="str">
        <f aca="false">IF($B55="","",INDEX(店舗マスタ!$R$5:$R$304,MATCH($B55,店舗マスタ!$B$5:$B$304,0)))</f>
        <v/>
      </c>
      <c r="G55" s="31" t="str">
        <f aca="false">IF(OR($B55="",F55=""),"",IF(D55=0,"-",F55/D55))</f>
        <v/>
      </c>
      <c r="H55" s="30" t="str">
        <f aca="false">IF($B55="","",INDEX(店舗マスタ!$H$5:$H$304,MATCH($B55,店舗マスタ!$B$5:$B$304,0)))</f>
        <v/>
      </c>
      <c r="I55" s="31" t="str">
        <f aca="false">IF($B55="","",IF(H55=0,"-",D55/H55))</f>
        <v/>
      </c>
      <c r="J55" s="30" t="str">
        <f aca="false">IF($B55="","",INDEX(店舗マスタ!$I$5:$I$304,MATCH($B55,店舗マスタ!$B$5:$B$304,0)))</f>
        <v/>
      </c>
      <c r="K55" s="30" t="str">
        <f aca="false">IF($B55="","",INDEX(店舗マスタ!$Q$5:$Q$304,MATCH($B55,店舗マスタ!$B$5:$B$304,0)))</f>
        <v/>
      </c>
      <c r="L55" s="30" t="str">
        <f aca="false">IF($B55="","",INDEX(店舗マスタ!$S$5:$S$304,MATCH($B55,店舗マスタ!$B$5:$B$304,0)))</f>
        <v/>
      </c>
      <c r="M55" s="32" t="str">
        <f aca="false">IF(OR($B55="",D55=""),"",IF(N(J55)=0,"前年なし",D55/J55))</f>
        <v/>
      </c>
      <c r="N55" s="32" t="str">
        <f aca="false">IF(OR($B55="",E55=""),"",IF(N(K55)=0,"前年なし",E55/K55))</f>
        <v/>
      </c>
      <c r="O55" s="32" t="str">
        <f aca="false">IF(OR($B55="",F55=""),"",IF(N(L55)=0,"前年なし",F55/L55))</f>
        <v/>
      </c>
    </row>
    <row r="56" customFormat="false" ht="15" hidden="false" customHeight="false" outlineLevel="0" collapsed="false">
      <c r="A56" s="33" t="str">
        <f aca="false">"ピッコーネ　小計（"&amp;COUNT(D48:D55)&amp;"店舗）"</f>
        <v>ピッコーネ　小計（5店舗）</v>
      </c>
      <c r="B56" s="33"/>
      <c r="C56" s="33"/>
      <c r="D56" s="34" t="n">
        <f aca="false">SUBTOTAL(9,D48:D55)</f>
        <v>16191756</v>
      </c>
      <c r="E56" s="34" t="n">
        <f aca="false">SUBTOTAL(9,E48:E55)</f>
        <v>7486916</v>
      </c>
      <c r="F56" s="34" t="n">
        <f aca="false">SUBTOTAL(9,F48:F55)</f>
        <v>8704840</v>
      </c>
      <c r="G56" s="35" t="n">
        <f aca="false">IF(D56=0,"-",F56/D56)</f>
        <v>0.537609385912189</v>
      </c>
      <c r="H56" s="34" t="n">
        <f aca="false">SUBTOTAL(9,H48:H55)</f>
        <v>15550000</v>
      </c>
      <c r="I56" s="35" t="n">
        <f aca="false">IF(H56=0,"-",D56/H56)</f>
        <v>1.04127048231511</v>
      </c>
      <c r="J56" s="34" t="n">
        <f aca="false">SUBTOTAL(9,J48:J55)</f>
        <v>13628859</v>
      </c>
      <c r="K56" s="34" t="n">
        <f aca="false">SUBTOTAL(9,K48:K55)</f>
        <v>10704513</v>
      </c>
      <c r="L56" s="34" t="n">
        <f aca="false">SUBTOTAL(9,L48:L55)</f>
        <v>2924346</v>
      </c>
      <c r="M56" s="35" t="n">
        <f aca="false">IF(J56=0,"-",D56/J56)</f>
        <v>1.18804927103582</v>
      </c>
      <c r="N56" s="35" t="n">
        <f aca="false">IF(K56=0,"-",E56/K56)</f>
        <v>0.699416778698853</v>
      </c>
      <c r="O56" s="35" t="n">
        <f aca="false">IF(L56=0,"-",F56/L56)</f>
        <v>2.9766792301595</v>
      </c>
    </row>
    <row r="57" customFormat="false" ht="15" hidden="false" customHeight="false" outlineLevel="0" collapsed="false">
      <c r="A57" s="28" t="str">
        <f aca="false">IF($B57="","","複合（アルチビオ＋ピッコーネ系）")</f>
        <v>複合（アルチビオ＋ピッコーネ系）</v>
      </c>
      <c r="B57" s="29" t="n">
        <f aca="false">IFERROR(INDEX(店舗マスタ!$B$5:$B$304,MATCH("複合（アルチビオ＋ピッコーネ系）|1",店舗マスタ!$L$5:$L$304,0)),"")</f>
        <v>32570700</v>
      </c>
      <c r="C57" s="28" t="str">
        <f aca="false">IF($B57="","",INDEX(店舗マスタ!$C$5:$C$304,MATCH($B57,店舗マスタ!$B$5:$B$304,0)))</f>
        <v>西宮阪急店</v>
      </c>
      <c r="D57" s="30" t="n">
        <f aca="false">IF($B57="","",INDEX(店舗マスタ!$G$5:$G$304,MATCH($B57,店舗マスタ!$B$5:$B$304,0)))</f>
        <v>3113117</v>
      </c>
      <c r="E57" s="30" t="n">
        <f aca="false">IF($B57="","",INDEX(店舗マスタ!$P$5:$P$304,MATCH($B57,店舗マスタ!$B$5:$B$304,0)))</f>
        <v>2262257</v>
      </c>
      <c r="F57" s="30" t="n">
        <f aca="false">IF($B57="","",INDEX(店舗マスタ!$R$5:$R$304,MATCH($B57,店舗マスタ!$B$5:$B$304,0)))</f>
        <v>850860</v>
      </c>
      <c r="G57" s="31" t="n">
        <f aca="false">IF(OR($B57="",F57=""),"",IF(D57=0,"-",F57/D57))</f>
        <v>0.273314494765214</v>
      </c>
      <c r="H57" s="30" t="n">
        <f aca="false">IF($B57="","",INDEX(店舗マスタ!$H$5:$H$304,MATCH($B57,店舗マスタ!$B$5:$B$304,0)))</f>
        <v>2820000</v>
      </c>
      <c r="I57" s="31" t="n">
        <f aca="false">IF($B57="","",IF(H57=0,"-",D57/H57))</f>
        <v>1.10394219858156</v>
      </c>
      <c r="J57" s="30" t="n">
        <f aca="false">IF($B57="","",INDEX(店舗マスタ!$I$5:$I$304,MATCH($B57,店舗マスタ!$B$5:$B$304,0)))</f>
        <v>1836100</v>
      </c>
      <c r="K57" s="30" t="n">
        <f aca="false">IF($B57="","",INDEX(店舗マスタ!$Q$5:$Q$304,MATCH($B57,店舗マスタ!$B$5:$B$304,0)))</f>
        <v>1460300</v>
      </c>
      <c r="L57" s="30" t="n">
        <f aca="false">IF($B57="","",INDEX(店舗マスタ!$S$5:$S$304,MATCH($B57,店舗マスタ!$B$5:$B$304,0)))</f>
        <v>375800</v>
      </c>
      <c r="M57" s="32" t="n">
        <f aca="false">IF(OR($B57="",D57=""),"",IF(N(J57)=0,"前年なし",D57/J57))</f>
        <v>1.6955051467785</v>
      </c>
      <c r="N57" s="32" t="n">
        <f aca="false">IF(OR($B57="",E57=""),"",IF(N(K57)=0,"前年なし",E57/K57))</f>
        <v>1.54917277271793</v>
      </c>
      <c r="O57" s="32" t="n">
        <f aca="false">IF(OR($B57="",F57=""),"",IF(N(L57)=0,"前年なし",F57/L57))</f>
        <v>2.26412985630655</v>
      </c>
    </row>
    <row r="58" customFormat="false" ht="15" hidden="false" customHeight="false" outlineLevel="0" collapsed="false">
      <c r="A58" s="28" t="str">
        <f aca="false">IF($B58="","","複合（アルチビオ＋ピッコーネ系）")</f>
        <v>複合（アルチビオ＋ピッコーネ系）</v>
      </c>
      <c r="B58" s="29" t="n">
        <f aca="false">IFERROR(INDEX(店舗マスタ!$B$5:$B$304,MATCH("複合（アルチビオ＋ピッコーネ系）|2",店舗マスタ!$L$5:$L$304,0)),"")</f>
        <v>32570800</v>
      </c>
      <c r="C58" s="28" t="str">
        <f aca="false">IF($B58="","",INDEX(店舗マスタ!$C$5:$C$304,MATCH($B58,店舗マスタ!$B$5:$B$304,0)))</f>
        <v>高島屋京都店</v>
      </c>
      <c r="D58" s="30" t="n">
        <f aca="false">IF($B58="","",INDEX(店舗マスタ!$G$5:$G$304,MATCH($B58,店舗マスタ!$B$5:$B$304,0)))</f>
        <v>2791782</v>
      </c>
      <c r="E58" s="30" t="n">
        <f aca="false">IF($B58="","",INDEX(店舗マスタ!$P$5:$P$304,MATCH($B58,店舗マスタ!$B$5:$B$304,0)))</f>
        <v>1985522</v>
      </c>
      <c r="F58" s="30" t="n">
        <f aca="false">IF($B58="","",INDEX(店舗マスタ!$R$5:$R$304,MATCH($B58,店舗マスタ!$B$5:$B$304,0)))</f>
        <v>806260</v>
      </c>
      <c r="G58" s="31" t="n">
        <f aca="false">IF(OR($B58="",F58=""),"",IF(D58=0,"-",F58/D58))</f>
        <v>0.288797621017687</v>
      </c>
      <c r="H58" s="30" t="n">
        <f aca="false">IF($B58="","",INDEX(店舗マスタ!$H$5:$H$304,MATCH($B58,店舗マスタ!$B$5:$B$304,0)))</f>
        <v>2782000</v>
      </c>
      <c r="I58" s="31" t="n">
        <f aca="false">IF($B58="","",IF(H58=0,"-",D58/H58))</f>
        <v>1.00351617541337</v>
      </c>
      <c r="J58" s="30" t="n">
        <f aca="false">IF($B58="","",INDEX(店舗マスタ!$I$5:$I$304,MATCH($B58,店舗マスタ!$B$5:$B$304,0)))</f>
        <v>2122155</v>
      </c>
      <c r="K58" s="30" t="n">
        <f aca="false">IF($B58="","",INDEX(店舗マスタ!$Q$5:$Q$304,MATCH($B58,店舗マスタ!$B$5:$B$304,0)))</f>
        <v>1409475</v>
      </c>
      <c r="L58" s="30" t="n">
        <f aca="false">IF($B58="","",INDEX(店舗マスタ!$S$5:$S$304,MATCH($B58,店舗マスタ!$B$5:$B$304,0)))</f>
        <v>712680</v>
      </c>
      <c r="M58" s="32" t="n">
        <f aca="false">IF(OR($B58="",D58=""),"",IF(N(J58)=0,"前年なし",D58/J58))</f>
        <v>1.31554104200683</v>
      </c>
      <c r="N58" s="32" t="n">
        <f aca="false">IF(OR($B58="",E58=""),"",IF(N(K58)=0,"前年なし",E58/K58))</f>
        <v>1.40869614572802</v>
      </c>
      <c r="O58" s="32" t="n">
        <f aca="false">IF(OR($B58="",F58=""),"",IF(N(L58)=0,"前年なし",F58/L58))</f>
        <v>1.13130717853735</v>
      </c>
    </row>
    <row r="59" customFormat="false" ht="15" hidden="false" customHeight="false" outlineLevel="0" collapsed="false">
      <c r="A59" s="28" t="str">
        <f aca="false">IF($B59="","","複合（アルチビオ＋ピッコーネ系）")</f>
        <v>複合（アルチビオ＋ピッコーネ系）</v>
      </c>
      <c r="B59" s="29" t="n">
        <f aca="false">IFERROR(INDEX(店舗マスタ!$B$5:$B$304,MATCH("複合（アルチビオ＋ピッコーネ系）|3",店舗マスタ!$L$5:$L$304,0)),"")</f>
        <v>32572200</v>
      </c>
      <c r="C59" s="28" t="str">
        <f aca="false">IF($B59="","",INDEX(店舗マスタ!$C$5:$C$304,MATCH($B59,店舗マスタ!$B$5:$B$304,0)))</f>
        <v>松坂屋名古屋店</v>
      </c>
      <c r="D59" s="30" t="n">
        <f aca="false">IF($B59="","",INDEX(店舗マスタ!$G$5:$G$304,MATCH($B59,店舗マスタ!$B$5:$B$304,0)))</f>
        <v>3842428</v>
      </c>
      <c r="E59" s="30" t="n">
        <f aca="false">IF($B59="","",INDEX(店舗マスタ!$P$5:$P$304,MATCH($B59,店舗マスタ!$B$5:$B$304,0)))</f>
        <v>2779498</v>
      </c>
      <c r="F59" s="30" t="n">
        <f aca="false">IF($B59="","",INDEX(店舗マスタ!$R$5:$R$304,MATCH($B59,店舗マスタ!$B$5:$B$304,0)))</f>
        <v>1062930</v>
      </c>
      <c r="G59" s="31" t="n">
        <f aca="false">IF(OR($B59="",F59=""),"",IF(D59=0,"-",F59/D59))</f>
        <v>0.276629776797379</v>
      </c>
      <c r="H59" s="30" t="n">
        <f aca="false">IF($B59="","",INDEX(店舗マスタ!$H$5:$H$304,MATCH($B59,店舗マスタ!$B$5:$B$304,0)))</f>
        <v>6627000</v>
      </c>
      <c r="I59" s="31" t="n">
        <f aca="false">IF($B59="","",IF(H59=0,"-",D59/H59))</f>
        <v>0.579814093858458</v>
      </c>
      <c r="J59" s="30" t="n">
        <f aca="false">IF($B59="","",INDEX(店舗マスタ!$I$5:$I$304,MATCH($B59,店舗マスタ!$B$5:$B$304,0)))</f>
        <v>6146895</v>
      </c>
      <c r="K59" s="30" t="n">
        <f aca="false">IF($B59="","",INDEX(店舗マスタ!$Q$5:$Q$304,MATCH($B59,店舗マスタ!$B$5:$B$304,0)))</f>
        <v>5135835</v>
      </c>
      <c r="L59" s="30" t="n">
        <f aca="false">IF($B59="","",INDEX(店舗マスタ!$S$5:$S$304,MATCH($B59,店舗マスタ!$B$5:$B$304,0)))</f>
        <v>1011060</v>
      </c>
      <c r="M59" s="32" t="n">
        <f aca="false">IF(OR($B59="",D59=""),"",IF(N(J59)=0,"前年なし",D59/J59))</f>
        <v>0.625100640241943</v>
      </c>
      <c r="N59" s="32" t="n">
        <f aca="false">IF(OR($B59="",E59=""),"",IF(N(K59)=0,"前年なし",E59/K59))</f>
        <v>0.541196903716728</v>
      </c>
      <c r="O59" s="32" t="n">
        <f aca="false">IF(OR($B59="",F59=""),"",IF(N(L59)=0,"前年なし",F59/L59))</f>
        <v>1.0513025933179</v>
      </c>
    </row>
    <row r="60" customFormat="false" ht="15" hidden="false" customHeight="false" outlineLevel="0" collapsed="false">
      <c r="A60" s="28" t="str">
        <f aca="false">IF($B60="","","複合（アルチビオ＋ピッコーネ系）")</f>
        <v>複合（アルチビオ＋ピッコーネ系）</v>
      </c>
      <c r="B60" s="29" t="n">
        <f aca="false">IFERROR(INDEX(店舗マスタ!$B$5:$B$304,MATCH("複合（アルチビオ＋ピッコーネ系）|4",店舗マスタ!$L$5:$L$304,0)),"")</f>
        <v>32573300</v>
      </c>
      <c r="C60" s="28" t="str">
        <f aca="false">IF($B60="","",INDEX(店舗マスタ!$C$5:$C$304,MATCH($B60,店舗マスタ!$B$5:$B$304,0)))</f>
        <v>あべのハルカス近鉄本店</v>
      </c>
      <c r="D60" s="30" t="n">
        <f aca="false">IF($B60="","",INDEX(店舗マスタ!$G$5:$G$304,MATCH($B60,店舗マスタ!$B$5:$B$304,0)))</f>
        <v>1647880</v>
      </c>
      <c r="E60" s="30" t="n">
        <f aca="false">IF($B60="","",INDEX(店舗マスタ!$P$5:$P$304,MATCH($B60,店舗マスタ!$B$5:$B$304,0)))</f>
        <v>1159540</v>
      </c>
      <c r="F60" s="30" t="n">
        <f aca="false">IF($B60="","",INDEX(店舗マスタ!$R$5:$R$304,MATCH($B60,店舗マスタ!$B$5:$B$304,0)))</f>
        <v>488340</v>
      </c>
      <c r="G60" s="31" t="n">
        <f aca="false">IF(OR($B60="",F60=""),"",IF(D60=0,"-",F60/D60))</f>
        <v>0.296344394009273</v>
      </c>
      <c r="H60" s="30" t="n">
        <f aca="false">IF($B60="","",INDEX(店舗マスタ!$H$5:$H$304,MATCH($B60,店舗マスタ!$B$5:$B$304,0)))</f>
        <v>2207000</v>
      </c>
      <c r="I60" s="31" t="n">
        <f aca="false">IF($B60="","",IF(H60=0,"-",D60/H60))</f>
        <v>0.74666062528319</v>
      </c>
      <c r="J60" s="30" t="n">
        <f aca="false">IF($B60="","",INDEX(店舗マスタ!$I$5:$I$304,MATCH($B60,店舗マスタ!$B$5:$B$304,0)))</f>
        <v>1610900</v>
      </c>
      <c r="K60" s="30" t="n">
        <f aca="false">IF($B60="","",INDEX(店舗マスタ!$Q$5:$Q$304,MATCH($B60,店舗マスタ!$B$5:$B$304,0)))</f>
        <v>1399900</v>
      </c>
      <c r="L60" s="30" t="n">
        <f aca="false">IF($B60="","",INDEX(店舗マスタ!$S$5:$S$304,MATCH($B60,店舗マスタ!$B$5:$B$304,0)))</f>
        <v>211000</v>
      </c>
      <c r="M60" s="32" t="n">
        <f aca="false">IF(OR($B60="",D60=""),"",IF(N(J60)=0,"前年なし",D60/J60))</f>
        <v>1.02295611149047</v>
      </c>
      <c r="N60" s="32" t="n">
        <f aca="false">IF(OR($B60="",E60=""),"",IF(N(K60)=0,"前年なし",E60/K60))</f>
        <v>0.82830202157297</v>
      </c>
      <c r="O60" s="32" t="n">
        <f aca="false">IF(OR($B60="",F60=""),"",IF(N(L60)=0,"前年なし",F60/L60))</f>
        <v>2.31440758293839</v>
      </c>
    </row>
    <row r="61" customFormat="false" ht="15" hidden="false" customHeight="false" outlineLevel="0" collapsed="false">
      <c r="A61" s="28" t="str">
        <f aca="false">IF($B61="","","複合（アルチビオ＋ピッコーネ系）")</f>
        <v>複合（アルチビオ＋ピッコーネ系）</v>
      </c>
      <c r="B61" s="29" t="n">
        <f aca="false">IFERROR(INDEX(店舗マスタ!$B$5:$B$304,MATCH("複合（アルチビオ＋ピッコーネ系）|5",店舗マスタ!$L$5:$L$304,0)),"")</f>
        <v>32671500</v>
      </c>
      <c r="C61" s="28" t="str">
        <f aca="false">IF($B61="","",INDEX(店舗マスタ!$C$5:$C$304,MATCH($B61,店舗マスタ!$B$5:$B$304,0)))</f>
        <v>札幌三越</v>
      </c>
      <c r="D61" s="30" t="n">
        <f aca="false">IF($B61="","",INDEX(店舗マスタ!$G$5:$G$304,MATCH($B61,店舗マスタ!$B$5:$B$304,0)))</f>
        <v>2572970</v>
      </c>
      <c r="E61" s="30" t="n">
        <f aca="false">IF($B61="","",INDEX(店舗マスタ!$P$5:$P$304,MATCH($B61,店舗マスタ!$B$5:$B$304,0)))</f>
        <v>1960000</v>
      </c>
      <c r="F61" s="30" t="n">
        <f aca="false">IF($B61="","",INDEX(店舗マスタ!$R$5:$R$304,MATCH($B61,店舗マスタ!$B$5:$B$304,0)))</f>
        <v>612970</v>
      </c>
      <c r="G61" s="31" t="n">
        <f aca="false">IF(OR($B61="",F61=""),"",IF(D61=0,"-",F61/D61))</f>
        <v>0.238234413926319</v>
      </c>
      <c r="H61" s="30" t="n">
        <f aca="false">IF($B61="","",INDEX(店舗マスタ!$H$5:$H$304,MATCH($B61,店舗マスタ!$B$5:$B$304,0)))</f>
        <v>3404000</v>
      </c>
      <c r="I61" s="31" t="n">
        <f aca="false">IF($B61="","",IF(H61=0,"-",D61/H61))</f>
        <v>0.755866627497062</v>
      </c>
      <c r="J61" s="30" t="n">
        <f aca="false">IF($B61="","",INDEX(店舗マスタ!$I$5:$I$304,MATCH($B61,店舗マスタ!$B$5:$B$304,0)))</f>
        <v>3225660</v>
      </c>
      <c r="K61" s="30" t="n">
        <f aca="false">IF($B61="","",INDEX(店舗マスタ!$Q$5:$Q$304,MATCH($B61,店舗マスタ!$B$5:$B$304,0)))</f>
        <v>2635200</v>
      </c>
      <c r="L61" s="30" t="n">
        <f aca="false">IF($B61="","",INDEX(店舗マスタ!$S$5:$S$304,MATCH($B61,店舗マスタ!$B$5:$B$304,0)))</f>
        <v>590460</v>
      </c>
      <c r="M61" s="32" t="n">
        <f aca="false">IF(OR($B61="",D61=""),"",IF(N(J61)=0,"前年なし",D61/J61))</f>
        <v>0.797656913623879</v>
      </c>
      <c r="N61" s="32" t="n">
        <f aca="false">IF(OR($B61="",E61=""),"",IF(N(K61)=0,"前年なし",E61/K61))</f>
        <v>0.743776563448695</v>
      </c>
      <c r="O61" s="32" t="n">
        <f aca="false">IF(OR($B61="",F61=""),"",IF(N(L61)=0,"前年なし",F61/L61))</f>
        <v>1.03812281949666</v>
      </c>
    </row>
    <row r="62" customFormat="false" ht="15" hidden="false" customHeight="false" outlineLevel="0" collapsed="false">
      <c r="A62" s="28" t="str">
        <f aca="false">IF($B62="","","複合（アルチビオ＋ピッコーネ系）")</f>
        <v/>
      </c>
      <c r="B62" s="29" t="str">
        <f aca="false">IFERROR(INDEX(店舗マスタ!$B$5:$B$304,MATCH("複合（アルチビオ＋ピッコーネ系）|6",店舗マスタ!$L$5:$L$304,0)),"")</f>
        <v/>
      </c>
      <c r="C62" s="28" t="str">
        <f aca="false">IF($B62="","",INDEX(店舗マスタ!$C$5:$C$304,MATCH($B62,店舗マスタ!$B$5:$B$304,0)))</f>
        <v/>
      </c>
      <c r="D62" s="30" t="str">
        <f aca="false">IF($B62="","",INDEX(店舗マスタ!$G$5:$G$304,MATCH($B62,店舗マスタ!$B$5:$B$304,0)))</f>
        <v/>
      </c>
      <c r="E62" s="30" t="str">
        <f aca="false">IF($B62="","",INDEX(店舗マスタ!$P$5:$P$304,MATCH($B62,店舗マスタ!$B$5:$B$304,0)))</f>
        <v/>
      </c>
      <c r="F62" s="30" t="str">
        <f aca="false">IF($B62="","",INDEX(店舗マスタ!$R$5:$R$304,MATCH($B62,店舗マスタ!$B$5:$B$304,0)))</f>
        <v/>
      </c>
      <c r="G62" s="31" t="str">
        <f aca="false">IF(OR($B62="",F62=""),"",IF(D62=0,"-",F62/D62))</f>
        <v/>
      </c>
      <c r="H62" s="30" t="str">
        <f aca="false">IF($B62="","",INDEX(店舗マスタ!$H$5:$H$304,MATCH($B62,店舗マスタ!$B$5:$B$304,0)))</f>
        <v/>
      </c>
      <c r="I62" s="31" t="str">
        <f aca="false">IF($B62="","",IF(H62=0,"-",D62/H62))</f>
        <v/>
      </c>
      <c r="J62" s="30" t="str">
        <f aca="false">IF($B62="","",INDEX(店舗マスタ!$I$5:$I$304,MATCH($B62,店舗マスタ!$B$5:$B$304,0)))</f>
        <v/>
      </c>
      <c r="K62" s="30" t="str">
        <f aca="false">IF($B62="","",INDEX(店舗マスタ!$Q$5:$Q$304,MATCH($B62,店舗マスタ!$B$5:$B$304,0)))</f>
        <v/>
      </c>
      <c r="L62" s="30" t="str">
        <f aca="false">IF($B62="","",INDEX(店舗マスタ!$S$5:$S$304,MATCH($B62,店舗マスタ!$B$5:$B$304,0)))</f>
        <v/>
      </c>
      <c r="M62" s="32" t="str">
        <f aca="false">IF(OR($B62="",D62=""),"",IF(N(J62)=0,"前年なし",D62/J62))</f>
        <v/>
      </c>
      <c r="N62" s="32" t="str">
        <f aca="false">IF(OR($B62="",E62=""),"",IF(N(K62)=0,"前年なし",E62/K62))</f>
        <v/>
      </c>
      <c r="O62" s="32" t="str">
        <f aca="false">IF(OR($B62="",F62=""),"",IF(N(L62)=0,"前年なし",F62/L62))</f>
        <v/>
      </c>
    </row>
    <row r="63" customFormat="false" ht="15" hidden="false" customHeight="false" outlineLevel="0" collapsed="false">
      <c r="A63" s="28" t="str">
        <f aca="false">IF($B63="","","複合（アルチビオ＋ピッコーネ系）")</f>
        <v/>
      </c>
      <c r="B63" s="29" t="str">
        <f aca="false">IFERROR(INDEX(店舗マスタ!$B$5:$B$304,MATCH("複合（アルチビオ＋ピッコーネ系）|7",店舗マスタ!$L$5:$L$304,0)),"")</f>
        <v/>
      </c>
      <c r="C63" s="28" t="str">
        <f aca="false">IF($B63="","",INDEX(店舗マスタ!$C$5:$C$304,MATCH($B63,店舗マスタ!$B$5:$B$304,0)))</f>
        <v/>
      </c>
      <c r="D63" s="30" t="str">
        <f aca="false">IF($B63="","",INDEX(店舗マスタ!$G$5:$G$304,MATCH($B63,店舗マスタ!$B$5:$B$304,0)))</f>
        <v/>
      </c>
      <c r="E63" s="30" t="str">
        <f aca="false">IF($B63="","",INDEX(店舗マスタ!$P$5:$P$304,MATCH($B63,店舗マスタ!$B$5:$B$304,0)))</f>
        <v/>
      </c>
      <c r="F63" s="30" t="str">
        <f aca="false">IF($B63="","",INDEX(店舗マスタ!$R$5:$R$304,MATCH($B63,店舗マスタ!$B$5:$B$304,0)))</f>
        <v/>
      </c>
      <c r="G63" s="31" t="str">
        <f aca="false">IF(OR($B63="",F63=""),"",IF(D63=0,"-",F63/D63))</f>
        <v/>
      </c>
      <c r="H63" s="30" t="str">
        <f aca="false">IF($B63="","",INDEX(店舗マスタ!$H$5:$H$304,MATCH($B63,店舗マスタ!$B$5:$B$304,0)))</f>
        <v/>
      </c>
      <c r="I63" s="31" t="str">
        <f aca="false">IF($B63="","",IF(H63=0,"-",D63/H63))</f>
        <v/>
      </c>
      <c r="J63" s="30" t="str">
        <f aca="false">IF($B63="","",INDEX(店舗マスタ!$I$5:$I$304,MATCH($B63,店舗マスタ!$B$5:$B$304,0)))</f>
        <v/>
      </c>
      <c r="K63" s="30" t="str">
        <f aca="false">IF($B63="","",INDEX(店舗マスタ!$Q$5:$Q$304,MATCH($B63,店舗マスタ!$B$5:$B$304,0)))</f>
        <v/>
      </c>
      <c r="L63" s="30" t="str">
        <f aca="false">IF($B63="","",INDEX(店舗マスタ!$S$5:$S$304,MATCH($B63,店舗マスタ!$B$5:$B$304,0)))</f>
        <v/>
      </c>
      <c r="M63" s="32" t="str">
        <f aca="false">IF(OR($B63="",D63=""),"",IF(N(J63)=0,"前年なし",D63/J63))</f>
        <v/>
      </c>
      <c r="N63" s="32" t="str">
        <f aca="false">IF(OR($B63="",E63=""),"",IF(N(K63)=0,"前年なし",E63/K63))</f>
        <v/>
      </c>
      <c r="O63" s="32" t="str">
        <f aca="false">IF(OR($B63="",F63=""),"",IF(N(L63)=0,"前年なし",F63/L63))</f>
        <v/>
      </c>
    </row>
    <row r="64" customFormat="false" ht="15" hidden="false" customHeight="false" outlineLevel="0" collapsed="false">
      <c r="A64" s="28" t="str">
        <f aca="false">IF($B64="","","複合（アルチビオ＋ピッコーネ系）")</f>
        <v/>
      </c>
      <c r="B64" s="29" t="str">
        <f aca="false">IFERROR(INDEX(店舗マスタ!$B$5:$B$304,MATCH("複合（アルチビオ＋ピッコーネ系）|8",店舗マスタ!$L$5:$L$304,0)),"")</f>
        <v/>
      </c>
      <c r="C64" s="28" t="str">
        <f aca="false">IF($B64="","",INDEX(店舗マスタ!$C$5:$C$304,MATCH($B64,店舗マスタ!$B$5:$B$304,0)))</f>
        <v/>
      </c>
      <c r="D64" s="30" t="str">
        <f aca="false">IF($B64="","",INDEX(店舗マスタ!$G$5:$G$304,MATCH($B64,店舗マスタ!$B$5:$B$304,0)))</f>
        <v/>
      </c>
      <c r="E64" s="30" t="str">
        <f aca="false">IF($B64="","",INDEX(店舗マスタ!$P$5:$P$304,MATCH($B64,店舗マスタ!$B$5:$B$304,0)))</f>
        <v/>
      </c>
      <c r="F64" s="30" t="str">
        <f aca="false">IF($B64="","",INDEX(店舗マスタ!$R$5:$R$304,MATCH($B64,店舗マスタ!$B$5:$B$304,0)))</f>
        <v/>
      </c>
      <c r="G64" s="31" t="str">
        <f aca="false">IF(OR($B64="",F64=""),"",IF(D64=0,"-",F64/D64))</f>
        <v/>
      </c>
      <c r="H64" s="30" t="str">
        <f aca="false">IF($B64="","",INDEX(店舗マスタ!$H$5:$H$304,MATCH($B64,店舗マスタ!$B$5:$B$304,0)))</f>
        <v/>
      </c>
      <c r="I64" s="31" t="str">
        <f aca="false">IF($B64="","",IF(H64=0,"-",D64/H64))</f>
        <v/>
      </c>
      <c r="J64" s="30" t="str">
        <f aca="false">IF($B64="","",INDEX(店舗マスタ!$I$5:$I$304,MATCH($B64,店舗マスタ!$B$5:$B$304,0)))</f>
        <v/>
      </c>
      <c r="K64" s="30" t="str">
        <f aca="false">IF($B64="","",INDEX(店舗マスタ!$Q$5:$Q$304,MATCH($B64,店舗マスタ!$B$5:$B$304,0)))</f>
        <v/>
      </c>
      <c r="L64" s="30" t="str">
        <f aca="false">IF($B64="","",INDEX(店舗マスタ!$S$5:$S$304,MATCH($B64,店舗マスタ!$B$5:$B$304,0)))</f>
        <v/>
      </c>
      <c r="M64" s="32" t="str">
        <f aca="false">IF(OR($B64="",D64=""),"",IF(N(J64)=0,"前年なし",D64/J64))</f>
        <v/>
      </c>
      <c r="N64" s="32" t="str">
        <f aca="false">IF(OR($B64="",E64=""),"",IF(N(K64)=0,"前年なし",E64/K64))</f>
        <v/>
      </c>
      <c r="O64" s="32" t="str">
        <f aca="false">IF(OR($B64="",F64=""),"",IF(N(L64)=0,"前年なし",F64/L64))</f>
        <v/>
      </c>
    </row>
    <row r="65" customFormat="false" ht="15" hidden="false" customHeight="false" outlineLevel="0" collapsed="false">
      <c r="A65" s="33" t="str">
        <f aca="false">"複合（アルチビオ＋ピッコーネ系）　小計（"&amp;COUNT(D57:D64)&amp;"店舗）"</f>
        <v>複合（アルチビオ＋ピッコーネ系）　小計（5店舗）</v>
      </c>
      <c r="B65" s="33"/>
      <c r="C65" s="33"/>
      <c r="D65" s="34" t="n">
        <f aca="false">SUBTOTAL(9,D57:D64)</f>
        <v>13968177</v>
      </c>
      <c r="E65" s="34" t="n">
        <f aca="false">SUBTOTAL(9,E57:E64)</f>
        <v>10146817</v>
      </c>
      <c r="F65" s="34" t="n">
        <f aca="false">SUBTOTAL(9,F57:F64)</f>
        <v>3821360</v>
      </c>
      <c r="G65" s="35" t="n">
        <f aca="false">IF(D65=0,"-",F65/D65)</f>
        <v>0.273576143830365</v>
      </c>
      <c r="H65" s="34" t="n">
        <f aca="false">SUBTOTAL(9,H57:H64)</f>
        <v>17840000</v>
      </c>
      <c r="I65" s="35" t="n">
        <f aca="false">IF(H65=0,"-",D65/H65)</f>
        <v>0.782969562780269</v>
      </c>
      <c r="J65" s="34" t="n">
        <f aca="false">SUBTOTAL(9,J57:J64)</f>
        <v>14941710</v>
      </c>
      <c r="K65" s="34" t="n">
        <f aca="false">SUBTOTAL(9,K57:K64)</f>
        <v>12040710</v>
      </c>
      <c r="L65" s="34" t="n">
        <f aca="false">SUBTOTAL(9,L57:L64)</f>
        <v>2901000</v>
      </c>
      <c r="M65" s="35" t="n">
        <f aca="false">IF(J65=0,"-",D65/J65)</f>
        <v>0.934844606139458</v>
      </c>
      <c r="N65" s="35" t="n">
        <f aca="false">IF(K65=0,"-",E65/K65)</f>
        <v>0.842709192398123</v>
      </c>
      <c r="O65" s="35" t="n">
        <f aca="false">IF(L65=0,"-",F65/L65)</f>
        <v>1.3172561185798</v>
      </c>
    </row>
    <row r="66" customFormat="false" ht="15" hidden="false" customHeight="false" outlineLevel="0" collapsed="false">
      <c r="A66" s="12" t="str">
        <f aca="false">"総合計（"&amp;COUNT(D6:D65)-4&amp;"店舗）"</f>
        <v>総合計（44店舗）</v>
      </c>
      <c r="B66" s="12"/>
      <c r="C66" s="12"/>
      <c r="D66" s="14" t="n">
        <f aca="false">SUBTOTAL(9,D6:D65)</f>
        <v>110138004</v>
      </c>
      <c r="E66" s="14" t="n">
        <f aca="false">SUBTOTAL(9,E6:E65)</f>
        <v>88214614</v>
      </c>
      <c r="F66" s="14" t="n">
        <f aca="false">SUBTOTAL(9,F6:F65)</f>
        <v>21923390</v>
      </c>
      <c r="G66" s="15" t="n">
        <f aca="false">IF(D66=0,"-",F66/D66)</f>
        <v>0.199053816155957</v>
      </c>
      <c r="H66" s="14" t="n">
        <f aca="false">SUBTOTAL(9,H6:H65)</f>
        <v>131627000</v>
      </c>
      <c r="I66" s="15" t="n">
        <f aca="false">IF(H66=0,"-",D66/H66)</f>
        <v>0.836743251764456</v>
      </c>
      <c r="J66" s="14" t="n">
        <f aca="false">SUBTOTAL(9,J6:J65)</f>
        <v>112449780</v>
      </c>
      <c r="K66" s="14" t="n">
        <f aca="false">SUBTOTAL(9,K6:K65)</f>
        <v>97453694</v>
      </c>
      <c r="L66" s="14" t="n">
        <f aca="false">SUBTOTAL(9,L6:L65)</f>
        <v>14996086</v>
      </c>
      <c r="M66" s="15" t="n">
        <f aca="false">IF(J66=0,"-",D66/J66)</f>
        <v>0.979441702776119</v>
      </c>
      <c r="N66" s="15" t="n">
        <f aca="false">IF(K66=0,"-",E66/K66)</f>
        <v>0.905195179158627</v>
      </c>
      <c r="O66" s="15" t="n">
        <f aca="false">IF(L66=0,"-",F66/L66)</f>
        <v>1.46194080242004</v>
      </c>
    </row>
    <row r="68" customFormat="false" ht="15" hidden="false" customHeight="false" outlineLevel="0" collapsed="false">
      <c r="A68" s="27" t="s">
        <v>57</v>
      </c>
    </row>
  </sheetData>
  <mergeCells count="10">
    <mergeCell ref="A4:C4"/>
    <mergeCell ref="D4:G4"/>
    <mergeCell ref="H4:I4"/>
    <mergeCell ref="J4:L4"/>
    <mergeCell ref="M4:O4"/>
    <mergeCell ref="A20:C20"/>
    <mergeCell ref="A47:C47"/>
    <mergeCell ref="A56:C56"/>
    <mergeCell ref="A65:C65"/>
    <mergeCell ref="A66:C66"/>
  </mergeCells>
  <conditionalFormatting sqref="A6:A19">
    <cfRule type="expression" priority="2" aboveAverage="0" equalAverage="0" bottom="0" percent="0" rank="0" text="" dxfId="3">
      <formula>$B6&lt;&gt;""</formula>
    </cfRule>
  </conditionalFormatting>
  <conditionalFormatting sqref="G6:G19">
    <cfRule type="dataBar" priority="3">
      <dataBar showValue="1" minLength="10" maxLength="90">
        <cfvo type="num" val="0"/>
        <cfvo type="num" val="1"/>
        <color rgb="FFF4B183"/>
      </dataBar>
      <extLst>
        <ext xmlns:x14="http://schemas.microsoft.com/office/spreadsheetml/2009/9/main" uri="{B025F937-C7B1-47D3-B67F-A62EFF666E3E}">
          <x14:id>{DD17BDB7-2C40-4F32-8894-6A1F581B707F}</x14:id>
        </ext>
      </extLst>
    </cfRule>
  </conditionalFormatting>
  <conditionalFormatting sqref="A21:A46">
    <cfRule type="expression" priority="4" aboveAverage="0" equalAverage="0" bottom="0" percent="0" rank="0" text="" dxfId="4">
      <formula>$B21&lt;&gt;""</formula>
    </cfRule>
  </conditionalFormatting>
  <conditionalFormatting sqref="G21:G46">
    <cfRule type="dataBar" priority="5">
      <dataBar showValue="1" minLength="10" maxLength="90">
        <cfvo type="num" val="0"/>
        <cfvo type="num" val="1"/>
        <color rgb="FFF4B183"/>
      </dataBar>
      <extLst>
        <ext xmlns:x14="http://schemas.microsoft.com/office/spreadsheetml/2009/9/main" uri="{B025F937-C7B1-47D3-B67F-A62EFF666E3E}">
          <x14:id>{16CBC5F4-7F5F-48AC-B956-50A1674E6896}</x14:id>
        </ext>
      </extLst>
    </cfRule>
  </conditionalFormatting>
  <conditionalFormatting sqref="A48:A55">
    <cfRule type="expression" priority="6" aboveAverage="0" equalAverage="0" bottom="0" percent="0" rank="0" text="" dxfId="5">
      <formula>$B48&lt;&gt;""</formula>
    </cfRule>
  </conditionalFormatting>
  <conditionalFormatting sqref="G48:G55">
    <cfRule type="dataBar" priority="7">
      <dataBar showValue="1" minLength="10" maxLength="90">
        <cfvo type="num" val="0"/>
        <cfvo type="num" val="1"/>
        <color rgb="FFF4B183"/>
      </dataBar>
      <extLst>
        <ext xmlns:x14="http://schemas.microsoft.com/office/spreadsheetml/2009/9/main" uri="{B025F937-C7B1-47D3-B67F-A62EFF666E3E}">
          <x14:id>{7E706596-E058-4D34-B1A4-8D60F2F34E2F}</x14:id>
        </ext>
      </extLst>
    </cfRule>
  </conditionalFormatting>
  <conditionalFormatting sqref="A57:A64">
    <cfRule type="expression" priority="8" aboveAverage="0" equalAverage="0" bottom="0" percent="0" rank="0" text="" dxfId="6">
      <formula>$B57&lt;&gt;""</formula>
    </cfRule>
  </conditionalFormatting>
  <conditionalFormatting sqref="G57:G64">
    <cfRule type="dataBar" priority="9">
      <dataBar showValue="1" minLength="10" maxLength="90">
        <cfvo type="num" val="0"/>
        <cfvo type="num" val="1"/>
        <color rgb="FFF4B183"/>
      </dataBar>
      <extLst>
        <ext xmlns:x14="http://schemas.microsoft.com/office/spreadsheetml/2009/9/main" uri="{B025F937-C7B1-47D3-B67F-A62EFF666E3E}">
          <x14:id>{DCB6C2F5-20FA-4DAD-8858-895584B715BD}</x14:id>
        </ext>
      </extLst>
    </cfRule>
  </conditionalFormatting>
  <conditionalFormatting sqref="A6:O65">
    <cfRule type="expression" priority="10" aboveAverage="0" equalAverage="0" bottom="0" percent="0" rank="0" text="" dxfId="7">
      <formula>AND($B6&lt;&gt;"",ISNUMBER($B6))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17BDB7-2C40-4F32-8894-6A1F581B707F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F4B183"/>
              <x14:axisColor rgb="FF000000"/>
            </x14:dataBar>
          </x14:cfRule>
          <xm:sqref>G6:G19</xm:sqref>
        </x14:conditionalFormatting>
        <x14:conditionalFormatting xmlns:xm="http://schemas.microsoft.com/office/excel/2006/main">
          <x14:cfRule type="dataBar" id="{16CBC5F4-7F5F-48AC-B956-50A1674E6896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F4B183"/>
              <x14:axisColor rgb="FF000000"/>
            </x14:dataBar>
          </x14:cfRule>
          <xm:sqref>G21:G46</xm:sqref>
        </x14:conditionalFormatting>
        <x14:conditionalFormatting xmlns:xm="http://schemas.microsoft.com/office/excel/2006/main">
          <x14:cfRule type="dataBar" id="{7E706596-E058-4D34-B1A4-8D60F2F34E2F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F4B183"/>
              <x14:axisColor rgb="FF000000"/>
            </x14:dataBar>
          </x14:cfRule>
          <xm:sqref>G48:G55</xm:sqref>
        </x14:conditionalFormatting>
        <x14:conditionalFormatting xmlns:xm="http://schemas.microsoft.com/office/excel/2006/main">
          <x14:cfRule type="dataBar" id="{DCB6C2F5-20FA-4DAD-8858-895584B715BD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F4B183"/>
              <x14:axisColor rgb="FF000000"/>
            </x14:dataBar>
          </x14:cfRule>
          <xm:sqref>G57:G64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1"/>
    <col collapsed="false" customWidth="true" hidden="false" outlineLevel="0" max="3" min="3" style="0" width="28"/>
    <col collapsed="false" customWidth="true" hidden="false" outlineLevel="0" max="4" min="4" style="0" width="44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11"/>
    <col collapsed="false" customWidth="true" hidden="false" outlineLevel="0" max="9" min="8" style="0" width="15"/>
    <col collapsed="false" customWidth="true" hidden="false" outlineLevel="0" max="10" min="10" style="0" width="11"/>
    <col collapsed="false" customWidth="true" hidden="false" outlineLevel="0" max="11" min="11" style="0" width="15"/>
  </cols>
  <sheetData>
    <row r="1" customFormat="false" ht="19.4" hidden="false" customHeight="false" outlineLevel="0" collapsed="false">
      <c r="A1" s="1" t="str">
        <f aca="false">取込チェック!$H$3</f>
        <v>POS売上 予算・前年対比（2026年9月度／前年同月 2025年9月）</v>
      </c>
    </row>
    <row r="2" customFormat="false" ht="15" hidden="false" customHeight="false" outlineLevel="0" collapsed="false">
      <c r="A2" s="2" t="s">
        <v>58</v>
      </c>
    </row>
    <row r="4" customFormat="false" ht="31.5" hidden="false" customHeight="true" outlineLevel="0" collapsed="false">
      <c r="A4" s="4" t="s">
        <v>2</v>
      </c>
      <c r="B4" s="4" t="s">
        <v>51</v>
      </c>
      <c r="C4" s="4" t="s">
        <v>52</v>
      </c>
      <c r="D4" s="4" t="s">
        <v>59</v>
      </c>
      <c r="E4" s="4" t="s">
        <v>4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</row>
    <row r="5" customFormat="false" ht="15" hidden="false" customHeight="false" outlineLevel="0" collapsed="false">
      <c r="A5" s="28" t="str">
        <f aca="false">IF($B5="","","アルチビオ")</f>
        <v>アルチビオ</v>
      </c>
      <c r="B5" s="29" t="n">
        <f aca="false">IFERROR(INDEX(店舗マスタ!$B$5:$B$304,MATCH("アルチビオ|1",店舗マスタ!$L$5:$L$304,0)),"")</f>
        <v>32570100</v>
      </c>
      <c r="C5" s="28" t="str">
        <f aca="false">IF($B5="","",INDEX(店舗マスタ!$C$5:$C$304,MATCH($B5,店舗マスタ!$B$5:$B$304,0)))</f>
        <v>高島屋大阪店</v>
      </c>
      <c r="D5" s="28" t="str">
        <f aca="false">IF($B5="","",INDEX(店舗マスタ!$D$5:$D$304,MATCH($B5,店舗マスタ!$B$5:$B$304,0)))</f>
        <v>アルチビオ</v>
      </c>
      <c r="E5" s="30" t="n">
        <f aca="false">IF($B5="","",INDEX(店舗マスタ!$G$5:$G$304,MATCH($B5,店舗マスタ!$B$5:$B$304,0)))</f>
        <v>2048565</v>
      </c>
      <c r="F5" s="30" t="n">
        <f aca="false">IF($B5="","",INDEX(店舗マスタ!$H$5:$H$304,MATCH($B5,店舗マスタ!$B$5:$B$304,0)))</f>
        <v>2150000</v>
      </c>
      <c r="G5" s="31" t="n">
        <f aca="false">IF($B5="","",IF(F5=0,"-",E5/F5))</f>
        <v>0.952820930232558</v>
      </c>
      <c r="H5" s="30" t="n">
        <f aca="false">IF($B5="","",E5-F5)</f>
        <v>-101435</v>
      </c>
      <c r="I5" s="30" t="n">
        <f aca="false">IF($B5="","",INDEX(店舗マスタ!$I$5:$I$304,MATCH($B5,店舗マスタ!$B$5:$B$304,0)))</f>
        <v>2098500</v>
      </c>
      <c r="J5" s="32" t="n">
        <f aca="false">IF($B5="","",IF(I5=0,"前年実績なし",E5/I5))</f>
        <v>0.976204431736955</v>
      </c>
      <c r="K5" s="30" t="n">
        <f aca="false">IF($B5="","",E5-I5)</f>
        <v>-49935</v>
      </c>
    </row>
    <row r="6" customFormat="false" ht="15" hidden="false" customHeight="false" outlineLevel="0" collapsed="false">
      <c r="A6" s="28" t="str">
        <f aca="false">IF($B6="","","アルチビオ")</f>
        <v>アルチビオ</v>
      </c>
      <c r="B6" s="29" t="n">
        <f aca="false">IFERROR(INDEX(店舗マスタ!$B$5:$B$304,MATCH("アルチビオ|2",店舗マスタ!$L$5:$L$304,0)),"")</f>
        <v>32571600</v>
      </c>
      <c r="C6" s="28" t="str">
        <f aca="false">IF($B6="","",INDEX(店舗マスタ!$C$5:$C$304,MATCH($B6,店舗マスタ!$B$5:$B$304,0)))</f>
        <v>ジェイアール名古屋タカシマヤ店</v>
      </c>
      <c r="D6" s="28" t="str">
        <f aca="false">IF($B6="","",INDEX(店舗マスタ!$D$5:$D$304,MATCH($B6,店舗マスタ!$B$5:$B$304,0)))</f>
        <v>アルチビオ</v>
      </c>
      <c r="E6" s="30" t="n">
        <f aca="false">IF($B6="","",INDEX(店舗マスタ!$G$5:$G$304,MATCH($B6,店舗マスタ!$B$5:$B$304,0)))</f>
        <v>3250690</v>
      </c>
      <c r="F6" s="30" t="n">
        <f aca="false">IF($B6="","",INDEX(店舗マスタ!$H$5:$H$304,MATCH($B6,店舗マスタ!$B$5:$B$304,0)))</f>
        <v>3681000</v>
      </c>
      <c r="G6" s="31" t="n">
        <f aca="false">IF($B6="","",IF(F6=0,"-",E6/F6))</f>
        <v>0.883099701168161</v>
      </c>
      <c r="H6" s="30" t="n">
        <f aca="false">IF($B6="","",E6-F6)</f>
        <v>-430310</v>
      </c>
      <c r="I6" s="30" t="n">
        <f aca="false">IF($B6="","",INDEX(店舗マスタ!$I$5:$I$304,MATCH($B6,店舗マスタ!$B$5:$B$304,0)))</f>
        <v>3216380</v>
      </c>
      <c r="J6" s="32" t="n">
        <f aca="false">IF($B6="","",IF(I6=0,"前年実績なし",E6/I6))</f>
        <v>1.01066727190195</v>
      </c>
      <c r="K6" s="30" t="n">
        <f aca="false">IF($B6="","",E6-I6)</f>
        <v>34310</v>
      </c>
    </row>
    <row r="7" customFormat="false" ht="15" hidden="false" customHeight="false" outlineLevel="0" collapsed="false">
      <c r="A7" s="28" t="str">
        <f aca="false">IF($B7="","","アルチビオ")</f>
        <v>アルチビオ</v>
      </c>
      <c r="B7" s="29" t="n">
        <f aca="false">IFERROR(INDEX(店舗マスタ!$B$5:$B$304,MATCH("アルチビオ|3",店舗マスタ!$L$5:$L$304,0)),"")</f>
        <v>32580400</v>
      </c>
      <c r="C7" s="28" t="str">
        <f aca="false">IF($B7="","",INDEX(店舗マスタ!$C$5:$C$304,MATCH($B7,店舗マスタ!$B$5:$B$304,0)))</f>
        <v>ハービスPLAZA店</v>
      </c>
      <c r="D7" s="28" t="str">
        <f aca="false">IF($B7="","",INDEX(店舗マスタ!$D$5:$D$304,MATCH($B7,店舗マスタ!$B$5:$B$304,0)))</f>
        <v>アルチビオ</v>
      </c>
      <c r="E7" s="30" t="n">
        <f aca="false">IF($B7="","",INDEX(店舗マスタ!$G$5:$G$304,MATCH($B7,店舗マスタ!$B$5:$B$304,0)))</f>
        <v>2922845</v>
      </c>
      <c r="F7" s="30" t="n">
        <f aca="false">IF($B7="","",INDEX(店舗マスタ!$H$5:$H$304,MATCH($B7,店舗マスタ!$B$5:$B$304,0)))</f>
        <v>3613000</v>
      </c>
      <c r="G7" s="31" t="n">
        <f aca="false">IF($B7="","",IF(F7=0,"-",E7/F7))</f>
        <v>0.808980071962358</v>
      </c>
      <c r="H7" s="30" t="n">
        <f aca="false">IF($B7="","",E7-F7)</f>
        <v>-690155</v>
      </c>
      <c r="I7" s="30" t="n">
        <f aca="false">IF($B7="","",INDEX(店舗マスタ!$I$5:$I$304,MATCH($B7,店舗マスタ!$B$5:$B$304,0)))</f>
        <v>3478940</v>
      </c>
      <c r="J7" s="32" t="n">
        <f aca="false">IF($B7="","",IF(I7=0,"前年実績なし",E7/I7))</f>
        <v>0.840153897451523</v>
      </c>
      <c r="K7" s="30" t="n">
        <f aca="false">IF($B7="","",E7-I7)</f>
        <v>-556095</v>
      </c>
    </row>
    <row r="8" customFormat="false" ht="15" hidden="false" customHeight="false" outlineLevel="0" collapsed="false">
      <c r="A8" s="28" t="str">
        <f aca="false">IF($B8="","","アルチビオ")</f>
        <v>アルチビオ</v>
      </c>
      <c r="B8" s="29" t="n">
        <f aca="false">IFERROR(INDEX(店舗マスタ!$B$5:$B$304,MATCH("アルチビオ|4",店舗マスタ!$L$5:$L$304,0)),"")</f>
        <v>32581000</v>
      </c>
      <c r="C8" s="28" t="str">
        <f aca="false">IF($B8="","",INDEX(店舗マスタ!$C$5:$C$304,MATCH($B8,店舗マスタ!$B$5:$B$304,0)))</f>
        <v>堀江店</v>
      </c>
      <c r="D8" s="28" t="str">
        <f aca="false">IF($B8="","",INDEX(店舗マスタ!$D$5:$D$304,MATCH($B8,店舗マスタ!$B$5:$B$304,0)))</f>
        <v>アルチビオ</v>
      </c>
      <c r="E8" s="30" t="n">
        <f aca="false">IF($B8="","",INDEX(店舗マスタ!$G$5:$G$304,MATCH($B8,店舗マスタ!$B$5:$B$304,0)))</f>
        <v>1572240</v>
      </c>
      <c r="F8" s="30" t="n">
        <f aca="false">IF($B8="","",INDEX(店舗マスタ!$H$5:$H$304,MATCH($B8,店舗マスタ!$B$5:$B$304,0)))</f>
        <v>2787000</v>
      </c>
      <c r="G8" s="31" t="n">
        <f aca="false">IF($B8="","",IF(F8=0,"-",E8/F8))</f>
        <v>0.564133476856835</v>
      </c>
      <c r="H8" s="30" t="n">
        <f aca="false">IF($B8="","",E8-F8)</f>
        <v>-1214760</v>
      </c>
      <c r="I8" s="30" t="n">
        <f aca="false">IF($B8="","",INDEX(店舗マスタ!$I$5:$I$304,MATCH($B8,店舗マスタ!$B$5:$B$304,0)))</f>
        <v>2688196</v>
      </c>
      <c r="J8" s="32" t="n">
        <f aca="false">IF($B8="","",IF(I8=0,"前年実績なし",E8/I8))</f>
        <v>0.584868067655781</v>
      </c>
      <c r="K8" s="30" t="n">
        <f aca="false">IF($B8="","",E8-I8)</f>
        <v>-1115956</v>
      </c>
    </row>
    <row r="9" customFormat="false" ht="15" hidden="false" customHeight="false" outlineLevel="0" collapsed="false">
      <c r="A9" s="28" t="str">
        <f aca="false">IF($B9="","","アルチビオ")</f>
        <v>アルチビオ</v>
      </c>
      <c r="B9" s="29" t="n">
        <f aca="false">IFERROR(INDEX(店舗マスタ!$B$5:$B$304,MATCH("アルチビオ|5",店舗マスタ!$L$5:$L$304,0)),"")</f>
        <v>32670600</v>
      </c>
      <c r="C9" s="28" t="str">
        <f aca="false">IF($B9="","",INDEX(店舗マスタ!$C$5:$C$304,MATCH($B9,店舗マスタ!$B$5:$B$304,0)))</f>
        <v>高島屋新宿店</v>
      </c>
      <c r="D9" s="28" t="str">
        <f aca="false">IF($B9="","",INDEX(店舗マスタ!$D$5:$D$304,MATCH($B9,店舗マスタ!$B$5:$B$304,0)))</f>
        <v>アルチビオ</v>
      </c>
      <c r="E9" s="30" t="n">
        <f aca="false">IF($B9="","",INDEX(店舗マスタ!$G$5:$G$304,MATCH($B9,店舗マスタ!$B$5:$B$304,0)))</f>
        <v>2991974</v>
      </c>
      <c r="F9" s="30" t="n">
        <f aca="false">IF($B9="","",INDEX(店舗マスタ!$H$5:$H$304,MATCH($B9,店舗マスタ!$B$5:$B$304,0)))</f>
        <v>2571000</v>
      </c>
      <c r="G9" s="31" t="n">
        <f aca="false">IF($B9="","",IF(F9=0,"-",E9/F9))</f>
        <v>1.16373940101128</v>
      </c>
      <c r="H9" s="30" t="n">
        <f aca="false">IF($B9="","",E9-F9)</f>
        <v>420974</v>
      </c>
      <c r="I9" s="30" t="n">
        <f aca="false">IF($B9="","",INDEX(店舗マスタ!$I$5:$I$304,MATCH($B9,店舗マスタ!$B$5:$B$304,0)))</f>
        <v>2496485</v>
      </c>
      <c r="J9" s="32" t="n">
        <f aca="false">IF($B9="","",IF(I9=0,"前年実績なし",E9/I9))</f>
        <v>1.19847465536544</v>
      </c>
      <c r="K9" s="30" t="n">
        <f aca="false">IF($B9="","",E9-I9)</f>
        <v>495489</v>
      </c>
    </row>
    <row r="10" customFormat="false" ht="15" hidden="false" customHeight="false" outlineLevel="0" collapsed="false">
      <c r="A10" s="28" t="str">
        <f aca="false">IF($B10="","","アルチビオ")</f>
        <v>アルチビオ</v>
      </c>
      <c r="B10" s="29" t="n">
        <f aca="false">IFERROR(INDEX(店舗マスタ!$B$5:$B$304,MATCH("アルチビオ|6",店舗マスタ!$L$5:$L$304,0)),"")</f>
        <v>32673500</v>
      </c>
      <c r="C10" s="28" t="str">
        <f aca="false">IF($B10="","",INDEX(店舗マスタ!$C$5:$C$304,MATCH($B10,店舗マスタ!$B$5:$B$304,0)))</f>
        <v>日本橋三越本店</v>
      </c>
      <c r="D10" s="28" t="str">
        <f aca="false">IF($B10="","",INDEX(店舗マスタ!$D$5:$D$304,MATCH($B10,店舗マスタ!$B$5:$B$304,0)))</f>
        <v>アルチビオ</v>
      </c>
      <c r="E10" s="30" t="n">
        <f aca="false">IF($B10="","",INDEX(店舗マスタ!$G$5:$G$304,MATCH($B10,店舗マスタ!$B$5:$B$304,0)))</f>
        <v>3069240</v>
      </c>
      <c r="F10" s="30" t="n">
        <f aca="false">IF($B10="","",INDEX(店舗マスタ!$H$5:$H$304,MATCH($B10,店舗マスタ!$B$5:$B$304,0)))</f>
        <v>2691000</v>
      </c>
      <c r="G10" s="31" t="n">
        <f aca="false">IF($B10="","",IF(F10=0,"-",E10/F10))</f>
        <v>1.14055741360089</v>
      </c>
      <c r="H10" s="30" t="n">
        <f aca="false">IF($B10="","",E10-F10)</f>
        <v>378240</v>
      </c>
      <c r="I10" s="30" t="n">
        <f aca="false">IF($B10="","",INDEX(店舗マスタ!$I$5:$I$304,MATCH($B10,店舗マスタ!$B$5:$B$304,0)))</f>
        <v>2647100</v>
      </c>
      <c r="J10" s="32" t="n">
        <f aca="false">IF($B10="","",IF(I10=0,"前年実績なし",E10/I10))</f>
        <v>1.15947263042575</v>
      </c>
      <c r="K10" s="30" t="n">
        <f aca="false">IF($B10="","",E10-I10)</f>
        <v>422140</v>
      </c>
    </row>
    <row r="11" customFormat="false" ht="15" hidden="false" customHeight="false" outlineLevel="0" collapsed="false">
      <c r="A11" s="28" t="str">
        <f aca="false">IF($B11="","","アルチビオ")</f>
        <v>アルチビオ</v>
      </c>
      <c r="B11" s="29" t="n">
        <f aca="false">IFERROR(INDEX(店舗マスタ!$B$5:$B$304,MATCH("アルチビオ|7",店舗マスタ!$L$5:$L$304,0)),"")</f>
        <v>32673800</v>
      </c>
      <c r="C11" s="28" t="str">
        <f aca="false">IF($B11="","",INDEX(店舗マスタ!$C$5:$C$304,MATCH($B11,店舗マスタ!$B$5:$B$304,0)))</f>
        <v>高島屋横浜店</v>
      </c>
      <c r="D11" s="28" t="str">
        <f aca="false">IF($B11="","",INDEX(店舗マスタ!$D$5:$D$304,MATCH($B11,店舗マスタ!$B$5:$B$304,0)))</f>
        <v>アルチビオ</v>
      </c>
      <c r="E11" s="30" t="n">
        <f aca="false">IF($B11="","",INDEX(店舗マスタ!$G$5:$G$304,MATCH($B11,店舗マスタ!$B$5:$B$304,0)))</f>
        <v>1579789</v>
      </c>
      <c r="F11" s="30" t="n">
        <f aca="false">IF($B11="","",INDEX(店舗マスタ!$H$5:$H$304,MATCH($B11,店舗マスタ!$B$5:$B$304,0)))</f>
        <v>1900000</v>
      </c>
      <c r="G11" s="31" t="n">
        <f aca="false">IF($B11="","",IF(F11=0,"-",E11/F11))</f>
        <v>0.831467894736842</v>
      </c>
      <c r="H11" s="30" t="n">
        <f aca="false">IF($B11="","",E11-F11)</f>
        <v>-320211</v>
      </c>
      <c r="I11" s="30" t="n">
        <f aca="false">IF($B11="","",INDEX(店舗マスタ!$I$5:$I$304,MATCH($B11,店舗マスタ!$B$5:$B$304,0)))</f>
        <v>1483030</v>
      </c>
      <c r="J11" s="32" t="n">
        <f aca="false">IF($B11="","",IF(I11=0,"前年実績なし",E11/I11))</f>
        <v>1.06524412857461</v>
      </c>
      <c r="K11" s="30" t="n">
        <f aca="false">IF($B11="","",E11-I11)</f>
        <v>96759</v>
      </c>
    </row>
    <row r="12" customFormat="false" ht="15" hidden="false" customHeight="false" outlineLevel="0" collapsed="false">
      <c r="A12" s="28" t="str">
        <f aca="false">IF($B12="","","アルチビオ")</f>
        <v>アルチビオ</v>
      </c>
      <c r="B12" s="29" t="n">
        <f aca="false">IFERROR(INDEX(店舗マスタ!$B$5:$B$304,MATCH("アルチビオ|8",店舗マスタ!$L$5:$L$304,0)),"")</f>
        <v>32673900</v>
      </c>
      <c r="C12" s="28" t="str">
        <f aca="false">IF($B12="","",INDEX(店舗マスタ!$C$5:$C$304,MATCH($B12,店舗マスタ!$B$5:$B$304,0)))</f>
        <v>高島屋高崎店</v>
      </c>
      <c r="D12" s="28" t="str">
        <f aca="false">IF($B12="","",INDEX(店舗マスタ!$D$5:$D$304,MATCH($B12,店舗マスタ!$B$5:$B$304,0)))</f>
        <v>アルチビオ</v>
      </c>
      <c r="E12" s="30" t="n">
        <f aca="false">IF($B12="","",INDEX(店舗マスタ!$G$5:$G$304,MATCH($B12,店舗マスタ!$B$5:$B$304,0)))</f>
        <v>1117980</v>
      </c>
      <c r="F12" s="30" t="n">
        <f aca="false">IF($B12="","",INDEX(店舗マスタ!$H$5:$H$304,MATCH($B12,店舗マスタ!$B$5:$B$304,0)))</f>
        <v>1249000</v>
      </c>
      <c r="G12" s="31" t="n">
        <f aca="false">IF($B12="","",IF(F12=0,"-",E12/F12))</f>
        <v>0.895100080064051</v>
      </c>
      <c r="H12" s="30" t="n">
        <f aca="false">IF($B12="","",E12-F12)</f>
        <v>-131020</v>
      </c>
      <c r="I12" s="30" t="n">
        <f aca="false">IF($B12="","",INDEX(店舗マスタ!$I$5:$I$304,MATCH($B12,店舗マスタ!$B$5:$B$304,0)))</f>
        <v>1132140</v>
      </c>
      <c r="J12" s="32" t="n">
        <f aca="false">IF($B12="","",IF(I12=0,"前年実績なし",E12/I12))</f>
        <v>0.987492712915364</v>
      </c>
      <c r="K12" s="30" t="n">
        <f aca="false">IF($B12="","",E12-I12)</f>
        <v>-14160</v>
      </c>
    </row>
    <row r="13" customFormat="false" ht="15" hidden="false" customHeight="false" outlineLevel="0" collapsed="false">
      <c r="A13" s="28" t="str">
        <f aca="false">IF($B13="","","アルチビオ")</f>
        <v>アルチビオ</v>
      </c>
      <c r="B13" s="29" t="n">
        <f aca="false">IFERROR(INDEX(店舗マスタ!$B$5:$B$304,MATCH("アルチビオ|9",店舗マスタ!$L$5:$L$304,0)),"")</f>
        <v>32674400</v>
      </c>
      <c r="C13" s="28" t="str">
        <f aca="false">IF($B13="","",INDEX(店舗マスタ!$C$5:$C$304,MATCH($B13,店舗マスタ!$B$5:$B$304,0)))</f>
        <v>伊勢丹浦和店</v>
      </c>
      <c r="D13" s="28" t="str">
        <f aca="false">IF($B13="","",INDEX(店舗マスタ!$D$5:$D$304,MATCH($B13,店舗マスタ!$B$5:$B$304,0)))</f>
        <v>アルチビオ</v>
      </c>
      <c r="E13" s="30" t="n">
        <f aca="false">IF($B13="","",INDEX(店舗マスタ!$G$5:$G$304,MATCH($B13,店舗マスタ!$B$5:$B$304,0)))</f>
        <v>469470</v>
      </c>
      <c r="F13" s="30" t="n">
        <f aca="false">IF($B13="","",INDEX(店舗マスタ!$H$5:$H$304,MATCH($B13,店舗マスタ!$B$5:$B$304,0)))</f>
        <v>1100000</v>
      </c>
      <c r="G13" s="31" t="n">
        <f aca="false">IF($B13="","",IF(F13=0,"-",E13/F13))</f>
        <v>0.426790909090909</v>
      </c>
      <c r="H13" s="30" t="n">
        <f aca="false">IF($B13="","",E13-F13)</f>
        <v>-630530</v>
      </c>
      <c r="I13" s="30" t="n">
        <f aca="false">IF($B13="","",INDEX(店舗マスタ!$I$5:$I$304,MATCH($B13,店舗マスタ!$B$5:$B$304,0)))</f>
        <v>1083300</v>
      </c>
      <c r="J13" s="32" t="n">
        <f aca="false">IF($B13="","",IF(I13=0,"前年実績なし",E13/I13))</f>
        <v>0.433370257546386</v>
      </c>
      <c r="K13" s="30" t="n">
        <f aca="false">IF($B13="","",E13-I13)</f>
        <v>-613830</v>
      </c>
    </row>
    <row r="14" customFormat="false" ht="15" hidden="false" customHeight="false" outlineLevel="0" collapsed="false">
      <c r="A14" s="28" t="str">
        <f aca="false">IF($B14="","","アルチビオ")</f>
        <v>アルチビオ</v>
      </c>
      <c r="B14" s="29" t="n">
        <f aca="false">IFERROR(INDEX(店舗マスタ!$B$5:$B$304,MATCH("アルチビオ|10",店舗マスタ!$L$5:$L$304,0)),"")</f>
        <v>32674900</v>
      </c>
      <c r="C14" s="28" t="str">
        <f aca="false">IF($B14="","",INDEX(店舗マスタ!$C$5:$C$304,MATCH($B14,店舗マスタ!$B$5:$B$304,0)))</f>
        <v>松屋銀座本店</v>
      </c>
      <c r="D14" s="28" t="str">
        <f aca="false">IF($B14="","",INDEX(店舗マスタ!$D$5:$D$304,MATCH($B14,店舗マスタ!$B$5:$B$304,0)))</f>
        <v>アルチビオ</v>
      </c>
      <c r="E14" s="30" t="n">
        <f aca="false">IF($B14="","",INDEX(店舗マスタ!$G$5:$G$304,MATCH($B14,店舗マスタ!$B$5:$B$304,0)))</f>
        <v>1425313</v>
      </c>
      <c r="F14" s="30" t="n">
        <f aca="false">IF($B14="","",INDEX(店舗マスタ!$H$5:$H$304,MATCH($B14,店舗マスタ!$B$5:$B$304,0)))</f>
        <v>2512000</v>
      </c>
      <c r="G14" s="31" t="n">
        <f aca="false">IF($B14="","",IF(F14=0,"-",E14/F14))</f>
        <v>0.567401671974522</v>
      </c>
      <c r="H14" s="30" t="n">
        <f aca="false">IF($B14="","",E14-F14)</f>
        <v>-1086687</v>
      </c>
      <c r="I14" s="30" t="n">
        <f aca="false">IF($B14="","",INDEX(店舗マスタ!$I$5:$I$304,MATCH($B14,店舗マスタ!$B$5:$B$304,0)))</f>
        <v>1955945</v>
      </c>
      <c r="J14" s="32" t="n">
        <f aca="false">IF($B14="","",IF(I14=0,"前年実績なし",E14/I14))</f>
        <v>0.728708118070805</v>
      </c>
      <c r="K14" s="30" t="n">
        <f aca="false">IF($B14="","",E14-I14)</f>
        <v>-530632</v>
      </c>
    </row>
    <row r="15" customFormat="false" ht="15" hidden="false" customHeight="false" outlineLevel="0" collapsed="false">
      <c r="A15" s="28" t="str">
        <f aca="false">IF($B15="","","アルチビオ")</f>
        <v>アルチビオ</v>
      </c>
      <c r="B15" s="29" t="n">
        <f aca="false">IFERROR(INDEX(店舗マスタ!$B$5:$B$304,MATCH("アルチビオ|11",店舗マスタ!$L$5:$L$304,0)),"")</f>
        <v>32680600</v>
      </c>
      <c r="C15" s="28" t="str">
        <f aca="false">IF($B15="","",INDEX(店舗マスタ!$C$5:$C$304,MATCH($B15,店舗マスタ!$B$5:$B$304,0)))</f>
        <v>那須ガーデンアウトレット店</v>
      </c>
      <c r="D15" s="28" t="str">
        <f aca="false">IF($B15="","",INDEX(店舗マスタ!$D$5:$D$304,MATCH($B15,店舗マスタ!$B$5:$B$304,0)))</f>
        <v>アルチビオ</v>
      </c>
      <c r="E15" s="30" t="n">
        <f aca="false">IF($B15="","",INDEX(店舗マスタ!$G$5:$G$304,MATCH($B15,店舗マスタ!$B$5:$B$304,0)))</f>
        <v>1066595</v>
      </c>
      <c r="F15" s="30" t="n">
        <f aca="false">IF($B15="","",INDEX(店舗マスタ!$H$5:$H$304,MATCH($B15,店舗マスタ!$B$5:$B$304,0)))</f>
        <v>2600000</v>
      </c>
      <c r="G15" s="31" t="n">
        <f aca="false">IF($B15="","",IF(F15=0,"-",E15/F15))</f>
        <v>0.410228846153846</v>
      </c>
      <c r="H15" s="30" t="n">
        <f aca="false">IF($B15="","",E15-F15)</f>
        <v>-1533405</v>
      </c>
      <c r="I15" s="30" t="n">
        <f aca="false">IF($B15="","",INDEX(店舗マスタ!$I$5:$I$304,MATCH($B15,店舗マスタ!$B$5:$B$304,0)))</f>
        <v>1845195</v>
      </c>
      <c r="J15" s="32" t="n">
        <f aca="false">IF($B15="","",IF(I15=0,"前年実績なし",E15/I15))</f>
        <v>0.578039177431112</v>
      </c>
      <c r="K15" s="30" t="n">
        <f aca="false">IF($B15="","",E15-I15)</f>
        <v>-778600</v>
      </c>
    </row>
    <row r="16" customFormat="false" ht="15" hidden="false" customHeight="false" outlineLevel="0" collapsed="false">
      <c r="A16" s="28" t="str">
        <f aca="false">IF($B16="","","アルチビオ")</f>
        <v/>
      </c>
      <c r="B16" s="29" t="str">
        <f aca="false">IFERROR(INDEX(店舗マスタ!$B$5:$B$304,MATCH("アルチビオ|12",店舗マスタ!$L$5:$L$304,0)),"")</f>
        <v/>
      </c>
      <c r="C16" s="28" t="str">
        <f aca="false">IF($B16="","",INDEX(店舗マスタ!$C$5:$C$304,MATCH($B16,店舗マスタ!$B$5:$B$304,0)))</f>
        <v/>
      </c>
      <c r="D16" s="28" t="str">
        <f aca="false">IF($B16="","",INDEX(店舗マスタ!$D$5:$D$304,MATCH($B16,店舗マスタ!$B$5:$B$304,0)))</f>
        <v/>
      </c>
      <c r="E16" s="30" t="str">
        <f aca="false">IF($B16="","",INDEX(店舗マスタ!$G$5:$G$304,MATCH($B16,店舗マスタ!$B$5:$B$304,0)))</f>
        <v/>
      </c>
      <c r="F16" s="30" t="str">
        <f aca="false">IF($B16="","",INDEX(店舗マスタ!$H$5:$H$304,MATCH($B16,店舗マスタ!$B$5:$B$304,0)))</f>
        <v/>
      </c>
      <c r="G16" s="31" t="str">
        <f aca="false">IF($B16="","",IF(F16=0,"-",E16/F16))</f>
        <v/>
      </c>
      <c r="H16" s="30" t="str">
        <f aca="false">IF($B16="","",E16-F16)</f>
        <v/>
      </c>
      <c r="I16" s="30" t="str">
        <f aca="false">IF($B16="","",INDEX(店舗マスタ!$I$5:$I$304,MATCH($B16,店舗マスタ!$B$5:$B$304,0)))</f>
        <v/>
      </c>
      <c r="J16" s="32" t="str">
        <f aca="false">IF($B16="","",IF(I16=0,"前年実績なし",E16/I16))</f>
        <v/>
      </c>
      <c r="K16" s="30" t="str">
        <f aca="false">IF($B16="","",E16-I16)</f>
        <v/>
      </c>
    </row>
    <row r="17" customFormat="false" ht="15" hidden="false" customHeight="false" outlineLevel="0" collapsed="false">
      <c r="A17" s="28" t="str">
        <f aca="false">IF($B17="","","アルチビオ")</f>
        <v/>
      </c>
      <c r="B17" s="29" t="str">
        <f aca="false">IFERROR(INDEX(店舗マスタ!$B$5:$B$304,MATCH("アルチビオ|13",店舗マスタ!$L$5:$L$304,0)),"")</f>
        <v/>
      </c>
      <c r="C17" s="28" t="str">
        <f aca="false">IF($B17="","",INDEX(店舗マスタ!$C$5:$C$304,MATCH($B17,店舗マスタ!$B$5:$B$304,0)))</f>
        <v/>
      </c>
      <c r="D17" s="28" t="str">
        <f aca="false">IF($B17="","",INDEX(店舗マスタ!$D$5:$D$304,MATCH($B17,店舗マスタ!$B$5:$B$304,0)))</f>
        <v/>
      </c>
      <c r="E17" s="30" t="str">
        <f aca="false">IF($B17="","",INDEX(店舗マスタ!$G$5:$G$304,MATCH($B17,店舗マスタ!$B$5:$B$304,0)))</f>
        <v/>
      </c>
      <c r="F17" s="30" t="str">
        <f aca="false">IF($B17="","",INDEX(店舗マスタ!$H$5:$H$304,MATCH($B17,店舗マスタ!$B$5:$B$304,0)))</f>
        <v/>
      </c>
      <c r="G17" s="31" t="str">
        <f aca="false">IF($B17="","",IF(F17=0,"-",E17/F17))</f>
        <v/>
      </c>
      <c r="H17" s="30" t="str">
        <f aca="false">IF($B17="","",E17-F17)</f>
        <v/>
      </c>
      <c r="I17" s="30" t="str">
        <f aca="false">IF($B17="","",INDEX(店舗マスタ!$I$5:$I$304,MATCH($B17,店舗マスタ!$B$5:$B$304,0)))</f>
        <v/>
      </c>
      <c r="J17" s="32" t="str">
        <f aca="false">IF($B17="","",IF(I17=0,"前年実績なし",E17/I17))</f>
        <v/>
      </c>
      <c r="K17" s="30" t="str">
        <f aca="false">IF($B17="","",E17-I17)</f>
        <v/>
      </c>
    </row>
    <row r="18" customFormat="false" ht="15" hidden="false" customHeight="false" outlineLevel="0" collapsed="false">
      <c r="A18" s="28" t="str">
        <f aca="false">IF($B18="","","アルチビオ")</f>
        <v/>
      </c>
      <c r="B18" s="29" t="str">
        <f aca="false">IFERROR(INDEX(店舗マスタ!$B$5:$B$304,MATCH("アルチビオ|14",店舗マスタ!$L$5:$L$304,0)),"")</f>
        <v/>
      </c>
      <c r="C18" s="28" t="str">
        <f aca="false">IF($B18="","",INDEX(店舗マスタ!$C$5:$C$304,MATCH($B18,店舗マスタ!$B$5:$B$304,0)))</f>
        <v/>
      </c>
      <c r="D18" s="28" t="str">
        <f aca="false">IF($B18="","",INDEX(店舗マスタ!$D$5:$D$304,MATCH($B18,店舗マスタ!$B$5:$B$304,0)))</f>
        <v/>
      </c>
      <c r="E18" s="30" t="str">
        <f aca="false">IF($B18="","",INDEX(店舗マスタ!$G$5:$G$304,MATCH($B18,店舗マスタ!$B$5:$B$304,0)))</f>
        <v/>
      </c>
      <c r="F18" s="30" t="str">
        <f aca="false">IF($B18="","",INDEX(店舗マスタ!$H$5:$H$304,MATCH($B18,店舗マスタ!$B$5:$B$304,0)))</f>
        <v/>
      </c>
      <c r="G18" s="31" t="str">
        <f aca="false">IF($B18="","",IF(F18=0,"-",E18/F18))</f>
        <v/>
      </c>
      <c r="H18" s="30" t="str">
        <f aca="false">IF($B18="","",E18-F18)</f>
        <v/>
      </c>
      <c r="I18" s="30" t="str">
        <f aca="false">IF($B18="","",INDEX(店舗マスタ!$I$5:$I$304,MATCH($B18,店舗マスタ!$B$5:$B$304,0)))</f>
        <v/>
      </c>
      <c r="J18" s="32" t="str">
        <f aca="false">IF($B18="","",IF(I18=0,"前年実績なし",E18/I18))</f>
        <v/>
      </c>
      <c r="K18" s="30" t="str">
        <f aca="false">IF($B18="","",E18-I18)</f>
        <v/>
      </c>
    </row>
    <row r="19" customFormat="false" ht="15" hidden="false" customHeight="false" outlineLevel="0" collapsed="false">
      <c r="A19" s="33" t="str">
        <f aca="false">"アルチビオ　小計（"&amp;COUNT(E5:E18)&amp;"店舗）"</f>
        <v>アルチビオ　小計（11店舗）</v>
      </c>
      <c r="B19" s="33"/>
      <c r="C19" s="33"/>
      <c r="D19" s="33"/>
      <c r="E19" s="34" t="n">
        <f aca="false">SUBTOTAL(9,E5:E18)</f>
        <v>21514701</v>
      </c>
      <c r="F19" s="34" t="n">
        <f aca="false">SUBTOTAL(9,F5:F18)</f>
        <v>26854000</v>
      </c>
      <c r="G19" s="35" t="n">
        <f aca="false">IF(F19=0,"-",E19/F19)</f>
        <v>0.801173046845908</v>
      </c>
      <c r="H19" s="34" t="n">
        <f aca="false">E19-F19</f>
        <v>-5339299</v>
      </c>
      <c r="I19" s="34" t="n">
        <f aca="false">SUBTOTAL(9,I5:I18)</f>
        <v>24125211</v>
      </c>
      <c r="J19" s="35" t="n">
        <f aca="false">IF(I19=0,"-",E19/I19)</f>
        <v>0.891793277994543</v>
      </c>
      <c r="K19" s="34" t="n">
        <f aca="false">E19-I19</f>
        <v>-2610510</v>
      </c>
    </row>
    <row r="20" customFormat="false" ht="15" hidden="false" customHeight="false" outlineLevel="0" collapsed="false">
      <c r="A20" s="28" t="str">
        <f aca="false">IF($B20="","","スタジオピッコーネ／ピッコーネクラブ")</f>
        <v>スタジオピッコーネ／ピッコーネクラブ</v>
      </c>
      <c r="B20" s="29" t="n">
        <f aca="false">IFERROR(INDEX(店舗マスタ!$B$5:$B$304,MATCH("スタジオピッコーネ／ピッコーネクラブ|1",店舗マスタ!$L$5:$L$304,0)),"")</f>
        <v>32570200</v>
      </c>
      <c r="C20" s="28" t="str">
        <f aca="false">IF($B20="","",INDEX(店舗マスタ!$C$5:$C$304,MATCH($B20,店舗マスタ!$B$5:$B$304,0)))</f>
        <v>高島屋大阪店</v>
      </c>
      <c r="D20" s="28" t="str">
        <f aca="false">IF($B20="","",INDEX(店舗マスタ!$D$5:$D$304,MATCH($B20,店舗マスタ!$B$5:$B$304,0)))</f>
        <v>スタジオピッコーネ・ピッコーネクラブ</v>
      </c>
      <c r="E20" s="30" t="n">
        <f aca="false">IF($B20="","",INDEX(店舗マスタ!$G$5:$G$304,MATCH($B20,店舗マスタ!$B$5:$B$304,0)))</f>
        <v>3137700</v>
      </c>
      <c r="F20" s="30" t="n">
        <f aca="false">IF($B20="","",INDEX(店舗マスタ!$H$5:$H$304,MATCH($B20,店舗マスタ!$B$5:$B$304,0)))</f>
        <v>4320000</v>
      </c>
      <c r="G20" s="31" t="n">
        <f aca="false">IF($B20="","",IF(F20=0,"-",E20/F20))</f>
        <v>0.726319444444444</v>
      </c>
      <c r="H20" s="30" t="n">
        <f aca="false">IF($B20="","",E20-F20)</f>
        <v>-1182300</v>
      </c>
      <c r="I20" s="30" t="n">
        <f aca="false">IF($B20="","",INDEX(店舗マスタ!$I$5:$I$304,MATCH($B20,店舗マスタ!$B$5:$B$304,0)))</f>
        <v>4174590</v>
      </c>
      <c r="J20" s="32" t="n">
        <f aca="false">IF($B20="","",IF(I20=0,"前年実績なし",E20/I20))</f>
        <v>0.751618721838552</v>
      </c>
      <c r="K20" s="30" t="n">
        <f aca="false">IF($B20="","",E20-I20)</f>
        <v>-1036890</v>
      </c>
    </row>
    <row r="21" customFormat="false" ht="15" hidden="false" customHeight="false" outlineLevel="0" collapsed="false">
      <c r="A21" s="28" t="str">
        <f aca="false">IF($B21="","","スタジオピッコーネ／ピッコーネクラブ")</f>
        <v>スタジオピッコーネ／ピッコーネクラブ</v>
      </c>
      <c r="B21" s="29" t="n">
        <f aca="false">IFERROR(INDEX(店舗マスタ!$B$5:$B$304,MATCH("スタジオピッコーネ／ピッコーネクラブ|2",店舗マスタ!$L$5:$L$304,0)),"")</f>
        <v>32572600</v>
      </c>
      <c r="C21" s="28" t="str">
        <f aca="false">IF($B21="","",INDEX(店舗マスタ!$C$5:$C$304,MATCH($B21,店舗マスタ!$B$5:$B$304,0)))</f>
        <v>大丸福岡天神店</v>
      </c>
      <c r="D21" s="28" t="str">
        <f aca="false">IF($B21="","",INDEX(店舗マスタ!$D$5:$D$304,MATCH($B21,店舗マスタ!$B$5:$B$304,0)))</f>
        <v>スタジオピッコーネ・ピッコーネクラブ</v>
      </c>
      <c r="E21" s="30" t="n">
        <f aca="false">IF($B21="","",INDEX(店舗マスタ!$G$5:$G$304,MATCH($B21,店舗マスタ!$B$5:$B$304,0)))</f>
        <v>2083600</v>
      </c>
      <c r="F21" s="30" t="n">
        <f aca="false">IF($B21="","",INDEX(店舗マスタ!$H$5:$H$304,MATCH($B21,店舗マスタ!$B$5:$B$304,0)))</f>
        <v>2100000</v>
      </c>
      <c r="G21" s="31" t="n">
        <f aca="false">IF($B21="","",IF(F21=0,"-",E21/F21))</f>
        <v>0.992190476190476</v>
      </c>
      <c r="H21" s="30" t="n">
        <f aca="false">IF($B21="","",E21-F21)</f>
        <v>-16400</v>
      </c>
      <c r="I21" s="30" t="n">
        <f aca="false">IF($B21="","",INDEX(店舗マスタ!$I$5:$I$304,MATCH($B21,店舗マスタ!$B$5:$B$304,0)))</f>
        <v>1633800</v>
      </c>
      <c r="J21" s="32" t="n">
        <f aca="false">IF($B21="","",IF(I21=0,"前年実績なし",E21/I21))</f>
        <v>1.27530909536051</v>
      </c>
      <c r="K21" s="30" t="n">
        <f aca="false">IF($B21="","",E21-I21)</f>
        <v>449800</v>
      </c>
    </row>
    <row r="22" customFormat="false" ht="15" hidden="false" customHeight="false" outlineLevel="0" collapsed="false">
      <c r="A22" s="28" t="str">
        <f aca="false">IF($B22="","","スタジオピッコーネ／ピッコーネクラブ")</f>
        <v>スタジオピッコーネ／ピッコーネクラブ</v>
      </c>
      <c r="B22" s="29" t="n">
        <f aca="false">IFERROR(INDEX(店舗マスタ!$B$5:$B$304,MATCH("スタジオピッコーネ／ピッコーネクラブ|3",店舗マスタ!$L$5:$L$304,0)),"")</f>
        <v>32573200</v>
      </c>
      <c r="C22" s="28" t="str">
        <f aca="false">IF($B22="","",INDEX(店舗マスタ!$C$5:$C$304,MATCH($B22,店舗マスタ!$B$5:$B$304,0)))</f>
        <v>あべのハルカス近鉄本店</v>
      </c>
      <c r="D22" s="28" t="str">
        <f aca="false">IF($B22="","",INDEX(店舗マスタ!$D$5:$D$304,MATCH($B22,店舗マスタ!$B$5:$B$304,0)))</f>
        <v>スタジオピッコーネ</v>
      </c>
      <c r="E22" s="30" t="n">
        <f aca="false">IF($B22="","",INDEX(店舗マスタ!$G$5:$G$304,MATCH($B22,店舗マスタ!$B$5:$B$304,0)))</f>
        <v>3507580</v>
      </c>
      <c r="F22" s="30" t="n">
        <f aca="false">IF($B22="","",INDEX(店舗マスタ!$H$5:$H$304,MATCH($B22,店舗マスタ!$B$5:$B$304,0)))</f>
        <v>4120000</v>
      </c>
      <c r="G22" s="31" t="n">
        <f aca="false">IF($B22="","",IF(F22=0,"-",E22/F22))</f>
        <v>0.851354368932039</v>
      </c>
      <c r="H22" s="30" t="n">
        <f aca="false">IF($B22="","",E22-F22)</f>
        <v>-612420</v>
      </c>
      <c r="I22" s="30" t="n">
        <f aca="false">IF($B22="","",INDEX(店舗マスタ!$I$5:$I$304,MATCH($B22,店舗マスタ!$B$5:$B$304,0)))</f>
        <v>4003095</v>
      </c>
      <c r="J22" s="32" t="n">
        <f aca="false">IF($B22="","",IF(I22=0,"前年実績なし",E22/I22))</f>
        <v>0.876217027075301</v>
      </c>
      <c r="K22" s="30" t="n">
        <f aca="false">IF($B22="","",E22-I22)</f>
        <v>-495515</v>
      </c>
    </row>
    <row r="23" customFormat="false" ht="15" hidden="false" customHeight="false" outlineLevel="0" collapsed="false">
      <c r="A23" s="28" t="str">
        <f aca="false">IF($B23="","","スタジオピッコーネ／ピッコーネクラブ")</f>
        <v>スタジオピッコーネ／ピッコーネクラブ</v>
      </c>
      <c r="B23" s="29" t="n">
        <f aca="false">IFERROR(INDEX(店舗マスタ!$B$5:$B$304,MATCH("スタジオピッコーネ／ピッコーネクラブ|4",店舗マスタ!$L$5:$L$304,0)),"")</f>
        <v>32573400</v>
      </c>
      <c r="C23" s="28" t="str">
        <f aca="false">IF($B23="","",INDEX(店舗マスタ!$C$5:$C$304,MATCH($B23,店舗マスタ!$B$5:$B$304,0)))</f>
        <v>近鉄百貨店和歌山店</v>
      </c>
      <c r="D23" s="28" t="str">
        <f aca="false">IF($B23="","",INDEX(店舗マスタ!$D$5:$D$304,MATCH($B23,店舗マスタ!$B$5:$B$304,0)))</f>
        <v>スタジオピッコーネ・ピッコーネクラブ</v>
      </c>
      <c r="E23" s="30" t="n">
        <f aca="false">IF($B23="","",INDEX(店舗マスタ!$G$5:$G$304,MATCH($B23,店舗マスタ!$B$5:$B$304,0)))</f>
        <v>1872645</v>
      </c>
      <c r="F23" s="30" t="n">
        <f aca="false">IF($B23="","",INDEX(店舗マスタ!$H$5:$H$304,MATCH($B23,店舗マスタ!$B$5:$B$304,0)))</f>
        <v>2300000</v>
      </c>
      <c r="G23" s="31" t="n">
        <f aca="false">IF($B23="","",IF(F23=0,"-",E23/F23))</f>
        <v>0.81419347826087</v>
      </c>
      <c r="H23" s="30" t="n">
        <f aca="false">IF($B23="","",E23-F23)</f>
        <v>-427355</v>
      </c>
      <c r="I23" s="30" t="n">
        <f aca="false">IF($B23="","",INDEX(店舗マスタ!$I$5:$I$304,MATCH($B23,店舗マスタ!$B$5:$B$304,0)))</f>
        <v>2355195</v>
      </c>
      <c r="J23" s="32" t="n">
        <f aca="false">IF($B23="","",IF(I23=0,"前年実績なし",E23/I23))</f>
        <v>0.795112506607733</v>
      </c>
      <c r="K23" s="30" t="n">
        <f aca="false">IF($B23="","",E23-I23)</f>
        <v>-482550</v>
      </c>
    </row>
    <row r="24" customFormat="false" ht="15" hidden="false" customHeight="false" outlineLevel="0" collapsed="false">
      <c r="A24" s="28" t="str">
        <f aca="false">IF($B24="","","スタジオピッコーネ／ピッコーネクラブ")</f>
        <v>スタジオピッコーネ／ピッコーネクラブ</v>
      </c>
      <c r="B24" s="29" t="n">
        <f aca="false">IFERROR(INDEX(店舗マスタ!$B$5:$B$304,MATCH("スタジオピッコーネ／ピッコーネクラブ|5",店舗マスタ!$L$5:$L$304,0)),"")</f>
        <v>32573700</v>
      </c>
      <c r="C24" s="28" t="str">
        <f aca="false">IF($B24="","",INDEX(店舗マスタ!$C$5:$C$304,MATCH($B24,店舗マスタ!$B$5:$B$304,0)))</f>
        <v>近鉄百貨店上本町店</v>
      </c>
      <c r="D24" s="28" t="str">
        <f aca="false">IF($B24="","",INDEX(店舗マスタ!$D$5:$D$304,MATCH($B24,店舗マスタ!$B$5:$B$304,0)))</f>
        <v>スタジオピッコーネ・ピッコーネクラブ</v>
      </c>
      <c r="E24" s="30" t="n">
        <f aca="false">IF($B24="","",INDEX(店舗マスタ!$G$5:$G$304,MATCH($B24,店舗マスタ!$B$5:$B$304,0)))</f>
        <v>2637800</v>
      </c>
      <c r="F24" s="30" t="n">
        <f aca="false">IF($B24="","",INDEX(店舗マスタ!$H$5:$H$304,MATCH($B24,店舗マスタ!$B$5:$B$304,0)))</f>
        <v>1950000</v>
      </c>
      <c r="G24" s="31" t="n">
        <f aca="false">IF($B24="","",IF(F24=0,"-",E24/F24))</f>
        <v>1.35271794871795</v>
      </c>
      <c r="H24" s="30" t="n">
        <f aca="false">IF($B24="","",E24-F24)</f>
        <v>687800</v>
      </c>
      <c r="I24" s="30" t="n">
        <f aca="false">IF($B24="","",INDEX(店舗マスタ!$I$5:$I$304,MATCH($B24,店舗マスタ!$B$5:$B$304,0)))</f>
        <v>1931500</v>
      </c>
      <c r="J24" s="32" t="n">
        <f aca="false">IF($B24="","",IF(I24=0,"前年実績なし",E24/I24))</f>
        <v>1.36567434636293</v>
      </c>
      <c r="K24" s="30" t="n">
        <f aca="false">IF($B24="","",E24-I24)</f>
        <v>706300</v>
      </c>
    </row>
    <row r="25" customFormat="false" ht="15" hidden="false" customHeight="false" outlineLevel="0" collapsed="false">
      <c r="A25" s="28" t="str">
        <f aca="false">IF($B25="","","スタジオピッコーネ／ピッコーネクラブ")</f>
        <v>スタジオピッコーネ／ピッコーネクラブ</v>
      </c>
      <c r="B25" s="29" t="n">
        <f aca="false">IFERROR(INDEX(店舗マスタ!$B$5:$B$304,MATCH("スタジオピッコーネ／ピッコーネクラブ|6",店舗マスタ!$L$5:$L$304,0)),"")</f>
        <v>32573800</v>
      </c>
      <c r="C25" s="28" t="str">
        <f aca="false">IF($B25="","",INDEX(店舗マスタ!$C$5:$C$304,MATCH($B25,店舗マスタ!$B$5:$B$304,0)))</f>
        <v>近鉄百貨店奈良店</v>
      </c>
      <c r="D25" s="28" t="str">
        <f aca="false">IF($B25="","",INDEX(店舗マスタ!$D$5:$D$304,MATCH($B25,店舗マスタ!$B$5:$B$304,0)))</f>
        <v>スタジオピッコーネ・ピッコーネクラブ</v>
      </c>
      <c r="E25" s="30" t="n">
        <f aca="false">IF($B25="","",INDEX(店舗マスタ!$G$5:$G$304,MATCH($B25,店舗マスタ!$B$5:$B$304,0)))</f>
        <v>3204200</v>
      </c>
      <c r="F25" s="30" t="n">
        <f aca="false">IF($B25="","",INDEX(店舗マスタ!$H$5:$H$304,MATCH($B25,店舗マスタ!$B$5:$B$304,0)))</f>
        <v>3150000</v>
      </c>
      <c r="G25" s="31" t="n">
        <f aca="false">IF($B25="","",IF(F25=0,"-",E25/F25))</f>
        <v>1.01720634920635</v>
      </c>
      <c r="H25" s="30" t="n">
        <f aca="false">IF($B25="","",E25-F25)</f>
        <v>54200</v>
      </c>
      <c r="I25" s="30" t="n">
        <f aca="false">IF($B25="","",INDEX(店舗マスタ!$I$5:$I$304,MATCH($B25,店舗マスタ!$B$5:$B$304,0)))</f>
        <v>3186800</v>
      </c>
      <c r="J25" s="32" t="n">
        <f aca="false">IF($B25="","",IF(I25=0,"前年実績なし",E25/I25))</f>
        <v>1.0054600225932</v>
      </c>
      <c r="K25" s="30" t="n">
        <f aca="false">IF($B25="","",E25-I25)</f>
        <v>17400</v>
      </c>
    </row>
    <row r="26" customFormat="false" ht="15" hidden="false" customHeight="false" outlineLevel="0" collapsed="false">
      <c r="A26" s="28" t="str">
        <f aca="false">IF($B26="","","スタジオピッコーネ／ピッコーネクラブ")</f>
        <v>スタジオピッコーネ／ピッコーネクラブ</v>
      </c>
      <c r="B26" s="29" t="n">
        <f aca="false">IFERROR(INDEX(店舗マスタ!$B$5:$B$304,MATCH("スタジオピッコーネ／ピッコーネクラブ|7",店舗マスタ!$L$5:$L$304,0)),"")</f>
        <v>32573900</v>
      </c>
      <c r="C26" s="28" t="str">
        <f aca="false">IF($B26="","",INDEX(店舗マスタ!$C$5:$C$304,MATCH($B26,店舗マスタ!$B$5:$B$304,0)))</f>
        <v>近鉄百貨店橿原店</v>
      </c>
      <c r="D26" s="28" t="str">
        <f aca="false">IF($B26="","",INDEX(店舗マスタ!$D$5:$D$304,MATCH($B26,店舗マスタ!$B$5:$B$304,0)))</f>
        <v>スタジオピッコーネ</v>
      </c>
      <c r="E26" s="30" t="n">
        <f aca="false">IF($B26="","",INDEX(店舗マスタ!$G$5:$G$304,MATCH($B26,店舗マスタ!$B$5:$B$304,0)))</f>
        <v>1744500</v>
      </c>
      <c r="F26" s="30" t="n">
        <f aca="false">IF($B26="","",INDEX(店舗マスタ!$H$5:$H$304,MATCH($B26,店舗マスタ!$B$5:$B$304,0)))</f>
        <v>1880000</v>
      </c>
      <c r="G26" s="31" t="n">
        <f aca="false">IF($B26="","",IF(F26=0,"-",E26/F26))</f>
        <v>0.927925531914894</v>
      </c>
      <c r="H26" s="30" t="n">
        <f aca="false">IF($B26="","",E26-F26)</f>
        <v>-135500</v>
      </c>
      <c r="I26" s="30" t="n">
        <f aca="false">IF($B26="","",INDEX(店舗マスタ!$I$5:$I$304,MATCH($B26,店舗マスタ!$B$5:$B$304,0)))</f>
        <v>1846800</v>
      </c>
      <c r="J26" s="32" t="n">
        <f aca="false">IF($B26="","",IF(I26=0,"前年実績なし",E26/I26))</f>
        <v>0.944606887589344</v>
      </c>
      <c r="K26" s="30" t="n">
        <f aca="false">IF($B26="","",E26-I26)</f>
        <v>-102300</v>
      </c>
    </row>
    <row r="27" customFormat="false" ht="15" hidden="false" customHeight="false" outlineLevel="0" collapsed="false">
      <c r="A27" s="28" t="str">
        <f aca="false">IF($B27="","","スタジオピッコーネ／ピッコーネクラブ")</f>
        <v>スタジオピッコーネ／ピッコーネクラブ</v>
      </c>
      <c r="B27" s="29" t="n">
        <f aca="false">IFERROR(INDEX(店舗マスタ!$B$5:$B$304,MATCH("スタジオピッコーネ／ピッコーネクラブ|8",店舗マスタ!$L$5:$L$304,0)),"")</f>
        <v>32574100</v>
      </c>
      <c r="C27" s="28" t="str">
        <f aca="false">IF($B27="","",INDEX(店舗マスタ!$C$5:$C$304,MATCH($B27,店舗マスタ!$B$5:$B$304,0)))</f>
        <v>広島三越店</v>
      </c>
      <c r="D27" s="28" t="str">
        <f aca="false">IF($B27="","",INDEX(店舗マスタ!$D$5:$D$304,MATCH($B27,店舗マスタ!$B$5:$B$304,0)))</f>
        <v>スタジオピッコーネ</v>
      </c>
      <c r="E27" s="30" t="n">
        <f aca="false">IF($B27="","",INDEX(店舗マスタ!$G$5:$G$304,MATCH($B27,店舗マスタ!$B$5:$B$304,0)))</f>
        <v>1187800</v>
      </c>
      <c r="F27" s="30" t="n">
        <f aca="false">IF($B27="","",INDEX(店舗マスタ!$H$5:$H$304,MATCH($B27,店舗マスタ!$B$5:$B$304,0)))</f>
        <v>1700000</v>
      </c>
      <c r="G27" s="31" t="n">
        <f aca="false">IF($B27="","",IF(F27=0,"-",E27/F27))</f>
        <v>0.698705882352941</v>
      </c>
      <c r="H27" s="30" t="n">
        <f aca="false">IF($B27="","",E27-F27)</f>
        <v>-512200</v>
      </c>
      <c r="I27" s="30" t="n">
        <f aca="false">IF($B27="","",INDEX(店舗マスタ!$I$5:$I$304,MATCH($B27,店舗マスタ!$B$5:$B$304,0)))</f>
        <v>1274700</v>
      </c>
      <c r="J27" s="32" t="n">
        <f aca="false">IF($B27="","",IF(I27=0,"前年実績なし",E27/I27))</f>
        <v>0.931827096571742</v>
      </c>
      <c r="K27" s="30" t="n">
        <f aca="false">IF($B27="","",E27-I27)</f>
        <v>-86900</v>
      </c>
    </row>
    <row r="28" customFormat="false" ht="15" hidden="false" customHeight="false" outlineLevel="0" collapsed="false">
      <c r="A28" s="28" t="str">
        <f aca="false">IF($B28="","","スタジオピッコーネ／ピッコーネクラブ")</f>
        <v>スタジオピッコーネ／ピッコーネクラブ</v>
      </c>
      <c r="B28" s="29" t="n">
        <f aca="false">IFERROR(INDEX(店舗マスタ!$B$5:$B$304,MATCH("スタジオピッコーネ／ピッコーネクラブ|9",店舗マスタ!$L$5:$L$304,0)),"")</f>
        <v>32575700</v>
      </c>
      <c r="C28" s="28" t="str">
        <f aca="false">IF($B28="","",INDEX(店舗マスタ!$C$5:$C$304,MATCH($B28,店舗マスタ!$B$5:$B$304,0)))</f>
        <v>名古屋三越栄店</v>
      </c>
      <c r="D28" s="28" t="str">
        <f aca="false">IF($B28="","",INDEX(店舗マスタ!$D$5:$D$304,MATCH($B28,店舗マスタ!$B$5:$B$304,0)))</f>
        <v>スタジオピッコーネ</v>
      </c>
      <c r="E28" s="30" t="n">
        <f aca="false">IF($B28="","",INDEX(店舗マスタ!$G$5:$G$304,MATCH($B28,店舗マスタ!$B$5:$B$304,0)))</f>
        <v>4266900</v>
      </c>
      <c r="F28" s="30" t="n">
        <f aca="false">IF($B28="","",INDEX(店舗マスタ!$H$5:$H$304,MATCH($B28,店舗マスタ!$B$5:$B$304,0)))</f>
        <v>4200000</v>
      </c>
      <c r="G28" s="31" t="n">
        <f aca="false">IF($B28="","",IF(F28=0,"-",E28/F28))</f>
        <v>1.01592857142857</v>
      </c>
      <c r="H28" s="30" t="n">
        <f aca="false">IF($B28="","",E28-F28)</f>
        <v>66900</v>
      </c>
      <c r="I28" s="30" t="n">
        <f aca="false">IF($B28="","",INDEX(店舗マスタ!$I$5:$I$304,MATCH($B28,店舗マスタ!$B$5:$B$304,0)))</f>
        <v>4153200</v>
      </c>
      <c r="J28" s="32" t="n">
        <f aca="false">IF($B28="","",IF(I28=0,"前年実績なし",E28/I28))</f>
        <v>1.0273764807859</v>
      </c>
      <c r="K28" s="30" t="n">
        <f aca="false">IF($B28="","",E28-I28)</f>
        <v>113700</v>
      </c>
    </row>
    <row r="29" customFormat="false" ht="15" hidden="false" customHeight="false" outlineLevel="0" collapsed="false">
      <c r="A29" s="28" t="str">
        <f aca="false">IF($B29="","","スタジオピッコーネ／ピッコーネクラブ")</f>
        <v>スタジオピッコーネ／ピッコーネクラブ</v>
      </c>
      <c r="B29" s="29" t="n">
        <f aca="false">IFERROR(INDEX(店舗マスタ!$B$5:$B$304,MATCH("スタジオピッコーネ／ピッコーネクラブ|10",店舗マスタ!$L$5:$L$304,0)),"")</f>
        <v>32670200</v>
      </c>
      <c r="C29" s="28" t="str">
        <f aca="false">IF($B29="","",INDEX(店舗マスタ!$C$5:$C$304,MATCH($B29,店舗マスタ!$B$5:$B$304,0)))</f>
        <v>高島屋横浜店</v>
      </c>
      <c r="D29" s="28" t="str">
        <f aca="false">IF($B29="","",INDEX(店舗マスタ!$D$5:$D$304,MATCH($B29,店舗マスタ!$B$5:$B$304,0)))</f>
        <v>スタジオピッコーネ・ピッコーネクラブ</v>
      </c>
      <c r="E29" s="30" t="n">
        <f aca="false">IF($B29="","",INDEX(店舗マスタ!$G$5:$G$304,MATCH($B29,店舗マスタ!$B$5:$B$304,0)))</f>
        <v>3134900</v>
      </c>
      <c r="F29" s="30" t="n">
        <f aca="false">IF($B29="","",INDEX(店舗マスタ!$H$5:$H$304,MATCH($B29,店舗マスタ!$B$5:$B$304,0)))</f>
        <v>6100000</v>
      </c>
      <c r="G29" s="31" t="n">
        <f aca="false">IF($B29="","",IF(F29=0,"-",E29/F29))</f>
        <v>0.513918032786885</v>
      </c>
      <c r="H29" s="30" t="n">
        <f aca="false">IF($B29="","",E29-F29)</f>
        <v>-2965100</v>
      </c>
      <c r="I29" s="30" t="n">
        <f aca="false">IF($B29="","",INDEX(店舗マスタ!$I$5:$I$304,MATCH($B29,店舗マスタ!$B$5:$B$304,0)))</f>
        <v>3604510</v>
      </c>
      <c r="J29" s="32" t="n">
        <f aca="false">IF($B29="","",IF(I29=0,"前年実績なし",E29/I29))</f>
        <v>0.869715994684437</v>
      </c>
      <c r="K29" s="30" t="n">
        <f aca="false">IF($B29="","",E29-I29)</f>
        <v>-469610</v>
      </c>
    </row>
    <row r="30" customFormat="false" ht="15" hidden="false" customHeight="false" outlineLevel="0" collapsed="false">
      <c r="A30" s="28" t="str">
        <f aca="false">IF($B30="","","スタジオピッコーネ／ピッコーネクラブ")</f>
        <v>スタジオピッコーネ／ピッコーネクラブ</v>
      </c>
      <c r="B30" s="29" t="n">
        <f aca="false">IFERROR(INDEX(店舗マスタ!$B$5:$B$304,MATCH("スタジオピッコーネ／ピッコーネクラブ|11",店舗マスタ!$L$5:$L$304,0)),"")</f>
        <v>32670400</v>
      </c>
      <c r="C30" s="28" t="str">
        <f aca="false">IF($B30="","",INDEX(店舗マスタ!$C$5:$C$304,MATCH($B30,店舗マスタ!$B$5:$B$304,0)))</f>
        <v>高島屋高崎店</v>
      </c>
      <c r="D30" s="28" t="str">
        <f aca="false">IF($B30="","",INDEX(店舗マスタ!$D$5:$D$304,MATCH($B30,店舗マスタ!$B$5:$B$304,0)))</f>
        <v>スタジオピッコーネ・ピッコーネクラブ</v>
      </c>
      <c r="E30" s="30" t="n">
        <f aca="false">IF($B30="","",INDEX(店舗マスタ!$G$5:$G$304,MATCH($B30,店舗マスタ!$B$5:$B$304,0)))</f>
        <v>2640520</v>
      </c>
      <c r="F30" s="30" t="n">
        <f aca="false">IF($B30="","",INDEX(店舗マスタ!$H$5:$H$304,MATCH($B30,店舗マスタ!$B$5:$B$304,0)))</f>
        <v>4410000</v>
      </c>
      <c r="G30" s="31" t="n">
        <f aca="false">IF($B30="","",IF(F30=0,"-",E30/F30))</f>
        <v>0.598757369614512</v>
      </c>
      <c r="H30" s="30" t="n">
        <f aca="false">IF($B30="","",E30-F30)</f>
        <v>-1769480</v>
      </c>
      <c r="I30" s="30" t="n">
        <f aca="false">IF($B30="","",INDEX(店舗マスタ!$I$5:$I$304,MATCH($B30,店舗マスタ!$B$5:$B$304,0)))</f>
        <v>2984120</v>
      </c>
      <c r="J30" s="32" t="n">
        <f aca="false">IF($B30="","",IF(I30=0,"前年実績なし",E30/I30))</f>
        <v>0.884857177325309</v>
      </c>
      <c r="K30" s="30" t="n">
        <f aca="false">IF($B30="","",E30-I30)</f>
        <v>-343600</v>
      </c>
    </row>
    <row r="31" customFormat="false" ht="15" hidden="false" customHeight="false" outlineLevel="0" collapsed="false">
      <c r="A31" s="28" t="str">
        <f aca="false">IF($B31="","","スタジオピッコーネ／ピッコーネクラブ")</f>
        <v>スタジオピッコーネ／ピッコーネクラブ</v>
      </c>
      <c r="B31" s="29" t="n">
        <f aca="false">IFERROR(INDEX(店舗マスタ!$B$5:$B$304,MATCH("スタジオピッコーネ／ピッコーネクラブ|12",店舗マスタ!$L$5:$L$304,0)),"")</f>
        <v>32670900</v>
      </c>
      <c r="C31" s="28" t="str">
        <f aca="false">IF($B31="","",INDEX(店舗マスタ!$C$5:$C$304,MATCH($B31,店舗マスタ!$B$5:$B$304,0)))</f>
        <v>東武百貨店池袋店</v>
      </c>
      <c r="D31" s="28" t="str">
        <f aca="false">IF($B31="","",INDEX(店舗マスタ!$D$5:$D$304,MATCH($B31,店舗マスタ!$B$5:$B$304,0)))</f>
        <v>スタジオピッコーネ・ピッコーネクラブ</v>
      </c>
      <c r="E31" s="30" t="n">
        <f aca="false">IF($B31="","",INDEX(店舗マスタ!$G$5:$G$304,MATCH($B31,店舗マスタ!$B$5:$B$304,0)))</f>
        <v>5052300</v>
      </c>
      <c r="F31" s="30" t="n">
        <f aca="false">IF($B31="","",INDEX(店舗マスタ!$H$5:$H$304,MATCH($B31,店舗マスタ!$B$5:$B$304,0)))</f>
        <v>5370000</v>
      </c>
      <c r="G31" s="31" t="n">
        <f aca="false">IF($B31="","",IF(F31=0,"-",E31/F31))</f>
        <v>0.940837988826816</v>
      </c>
      <c r="H31" s="30" t="n">
        <f aca="false">IF($B31="","",E31-F31)</f>
        <v>-317700</v>
      </c>
      <c r="I31" s="30" t="n">
        <f aca="false">IF($B31="","",INDEX(店舗マスタ!$I$5:$I$304,MATCH($B31,店舗マスタ!$B$5:$B$304,0)))</f>
        <v>5057100</v>
      </c>
      <c r="J31" s="32" t="n">
        <f aca="false">IF($B31="","",IF(I31=0,"前年実績なし",E31/I31))</f>
        <v>0.999050839413893</v>
      </c>
      <c r="K31" s="30" t="n">
        <f aca="false">IF($B31="","",E31-I31)</f>
        <v>-4800</v>
      </c>
    </row>
    <row r="32" customFormat="false" ht="15" hidden="false" customHeight="false" outlineLevel="0" collapsed="false">
      <c r="A32" s="28" t="str">
        <f aca="false">IF($B32="","","スタジオピッコーネ／ピッコーネクラブ")</f>
        <v>スタジオピッコーネ／ピッコーネクラブ</v>
      </c>
      <c r="B32" s="29" t="n">
        <f aca="false">IFERROR(INDEX(店舗マスタ!$B$5:$B$304,MATCH("スタジオピッコーネ／ピッコーネクラブ|13",店舗マスタ!$L$5:$L$304,0)),"")</f>
        <v>32671400</v>
      </c>
      <c r="C32" s="28" t="str">
        <f aca="false">IF($B32="","",INDEX(店舗マスタ!$C$5:$C$304,MATCH($B32,店舗マスタ!$B$5:$B$304,0)))</f>
        <v>日本橋三越本店</v>
      </c>
      <c r="D32" s="28" t="str">
        <f aca="false">IF($B32="","",INDEX(店舗マスタ!$D$5:$D$304,MATCH($B32,店舗マスタ!$B$5:$B$304,0)))</f>
        <v>スタジオピッコーネ・ピッコーネクラブ</v>
      </c>
      <c r="E32" s="30" t="n">
        <f aca="false">IF($B32="","",INDEX(店舗マスタ!$G$5:$G$304,MATCH($B32,店舗マスタ!$B$5:$B$304,0)))</f>
        <v>4633300</v>
      </c>
      <c r="F32" s="30" t="n">
        <f aca="false">IF($B32="","",INDEX(店舗マスタ!$H$5:$H$304,MATCH($B32,店舗マスタ!$B$5:$B$304,0)))</f>
        <v>7990000</v>
      </c>
      <c r="G32" s="31" t="n">
        <f aca="false">IF($B32="","",IF(F32=0,"-",E32/F32))</f>
        <v>0.579887359198999</v>
      </c>
      <c r="H32" s="30" t="n">
        <f aca="false">IF($B32="","",E32-F32)</f>
        <v>-3356700</v>
      </c>
      <c r="I32" s="30" t="n">
        <f aca="false">IF($B32="","",INDEX(店舗マスタ!$I$5:$I$304,MATCH($B32,店舗マスタ!$B$5:$B$304,0)))</f>
        <v>5799600</v>
      </c>
      <c r="J32" s="32" t="n">
        <f aca="false">IF($B32="","",IF(I32=0,"前年実績なし",E32/I32))</f>
        <v>0.798899924132699</v>
      </c>
      <c r="K32" s="30" t="n">
        <f aca="false">IF($B32="","",E32-I32)</f>
        <v>-1166300</v>
      </c>
    </row>
    <row r="33" customFormat="false" ht="15" hidden="false" customHeight="false" outlineLevel="0" collapsed="false">
      <c r="A33" s="28" t="str">
        <f aca="false">IF($B33="","","スタジオピッコーネ／ピッコーネクラブ")</f>
        <v>スタジオピッコーネ／ピッコーネクラブ</v>
      </c>
      <c r="B33" s="29" t="n">
        <f aca="false">IFERROR(INDEX(店舗マスタ!$B$5:$B$304,MATCH("スタジオピッコーネ／ピッコーネクラブ|14",店舗マスタ!$L$5:$L$304,0)),"")</f>
        <v>32671900</v>
      </c>
      <c r="C33" s="28" t="str">
        <f aca="false">IF($B33="","",INDEX(店舗マスタ!$C$5:$C$304,MATCH($B33,店舗マスタ!$B$5:$B$304,0)))</f>
        <v>松坂屋上野店</v>
      </c>
      <c r="D33" s="28" t="str">
        <f aca="false">IF($B33="","",INDEX(店舗マスタ!$D$5:$D$304,MATCH($B33,店舗マスタ!$B$5:$B$304,0)))</f>
        <v>スタジオピッコーネ・ピッコーネクラブ</v>
      </c>
      <c r="E33" s="30" t="n">
        <f aca="false">IF($B33="","",INDEX(店舗マスタ!$G$5:$G$304,MATCH($B33,店舗マスタ!$B$5:$B$304,0)))</f>
        <v>1841920</v>
      </c>
      <c r="F33" s="30" t="n">
        <f aca="false">IF($B33="","",INDEX(店舗マスタ!$H$5:$H$304,MATCH($B33,店舗マスタ!$B$5:$B$304,0)))</f>
        <v>2050000</v>
      </c>
      <c r="G33" s="31" t="n">
        <f aca="false">IF($B33="","",IF(F33=0,"-",E33/F33))</f>
        <v>0.89849756097561</v>
      </c>
      <c r="H33" s="30" t="n">
        <f aca="false">IF($B33="","",E33-F33)</f>
        <v>-208080</v>
      </c>
      <c r="I33" s="30" t="n">
        <f aca="false">IF($B33="","",INDEX(店舗マスタ!$I$5:$I$304,MATCH($B33,店舗マスタ!$B$5:$B$304,0)))</f>
        <v>1940260</v>
      </c>
      <c r="J33" s="32" t="n">
        <f aca="false">IF($B33="","",IF(I33=0,"前年実績なし",E33/I33))</f>
        <v>0.949316071042025</v>
      </c>
      <c r="K33" s="30" t="n">
        <f aca="false">IF($B33="","",E33-I33)</f>
        <v>-98340</v>
      </c>
    </row>
    <row r="34" customFormat="false" ht="15" hidden="false" customHeight="false" outlineLevel="0" collapsed="false">
      <c r="A34" s="28" t="str">
        <f aca="false">IF($B34="","","スタジオピッコーネ／ピッコーネクラブ")</f>
        <v>スタジオピッコーネ／ピッコーネクラブ</v>
      </c>
      <c r="B34" s="29" t="n">
        <f aca="false">IFERROR(INDEX(店舗マスタ!$B$5:$B$304,MATCH("スタジオピッコーネ／ピッコーネクラブ|15",店舗マスタ!$L$5:$L$304,0)),"")</f>
        <v>32673300</v>
      </c>
      <c r="C34" s="28" t="str">
        <f aca="false">IF($B34="","",INDEX(店舗マスタ!$C$5:$C$304,MATCH($B34,店舗マスタ!$B$5:$B$304,0)))</f>
        <v>松屋銀座本店</v>
      </c>
      <c r="D34" s="28" t="str">
        <f aca="false">IF($B34="","",INDEX(店舗マスタ!$D$5:$D$304,MATCH($B34,店舗マスタ!$B$5:$B$304,0)))</f>
        <v>スタジオピッコーネ・ピッコーネクラブ</v>
      </c>
      <c r="E34" s="30" t="n">
        <f aca="false">IF($B34="","",INDEX(店舗マスタ!$G$5:$G$304,MATCH($B34,店舗マスタ!$B$5:$B$304,0)))</f>
        <v>3005230</v>
      </c>
      <c r="F34" s="30" t="n">
        <f aca="false">IF($B34="","",INDEX(店舗マスタ!$H$5:$H$304,MATCH($B34,店舗マスタ!$B$5:$B$304,0)))</f>
        <v>3050000</v>
      </c>
      <c r="G34" s="31" t="n">
        <f aca="false">IF($B34="","",IF(F34=0,"-",E34/F34))</f>
        <v>0.98532131147541</v>
      </c>
      <c r="H34" s="30" t="n">
        <f aca="false">IF($B34="","",E34-F34)</f>
        <v>-44770</v>
      </c>
      <c r="I34" s="30" t="n">
        <f aca="false">IF($B34="","",INDEX(店舗マスタ!$I$5:$I$304,MATCH($B34,店舗マスタ!$B$5:$B$304,0)))</f>
        <v>2843445</v>
      </c>
      <c r="J34" s="32" t="n">
        <f aca="false">IF($B34="","",IF(I34=0,"前年実績なし",E34/I34))</f>
        <v>1.05689753098794</v>
      </c>
      <c r="K34" s="30" t="n">
        <f aca="false">IF($B34="","",E34-I34)</f>
        <v>161785</v>
      </c>
    </row>
    <row r="35" customFormat="false" ht="15" hidden="false" customHeight="false" outlineLevel="0" collapsed="false">
      <c r="A35" s="28" t="str">
        <f aca="false">IF($B35="","","スタジオピッコーネ／ピッコーネクラブ")</f>
        <v>スタジオピッコーネ／ピッコーネクラブ</v>
      </c>
      <c r="B35" s="29" t="n">
        <f aca="false">IFERROR(INDEX(店舗マスタ!$B$5:$B$304,MATCH("スタジオピッコーネ／ピッコーネクラブ|16",店舗マスタ!$L$5:$L$304,0)),"")</f>
        <v>32674100</v>
      </c>
      <c r="C35" s="28" t="str">
        <f aca="false">IF($B35="","",INDEX(店舗マスタ!$C$5:$C$304,MATCH($B35,店舗マスタ!$B$5:$B$304,0)))</f>
        <v>東武百貨店船橋店</v>
      </c>
      <c r="D35" s="28" t="str">
        <f aca="false">IF($B35="","",INDEX(店舗マスタ!$D$5:$D$304,MATCH($B35,店舗マスタ!$B$5:$B$304,0)))</f>
        <v>スタジオピッコーネ・ピッコーネクラブ</v>
      </c>
      <c r="E35" s="30" t="n">
        <f aca="false">IF($B35="","",INDEX(店舗マスタ!$G$5:$G$304,MATCH($B35,店舗マスタ!$B$5:$B$304,0)))</f>
        <v>2155045</v>
      </c>
      <c r="F35" s="30" t="n">
        <f aca="false">IF($B35="","",INDEX(店舗マスタ!$H$5:$H$304,MATCH($B35,店舗マスタ!$B$5:$B$304,0)))</f>
        <v>1923000</v>
      </c>
      <c r="G35" s="31" t="n">
        <f aca="false">IF($B35="","",IF(F35=0,"-",E35/F35))</f>
        <v>1.12066822672907</v>
      </c>
      <c r="H35" s="30" t="n">
        <f aca="false">IF($B35="","",E35-F35)</f>
        <v>232045</v>
      </c>
      <c r="I35" s="30" t="n">
        <f aca="false">IF($B35="","",INDEX(店舗マスタ!$I$5:$I$304,MATCH($B35,店舗マスタ!$B$5:$B$304,0)))</f>
        <v>1662095</v>
      </c>
      <c r="J35" s="32" t="n">
        <f aca="false">IF($B35="","",IF(I35=0,"前年実績なし",E35/I35))</f>
        <v>1.296583528619</v>
      </c>
      <c r="K35" s="30" t="n">
        <f aca="false">IF($B35="","",E35-I35)</f>
        <v>492950</v>
      </c>
    </row>
    <row r="36" customFormat="false" ht="15" hidden="false" customHeight="false" outlineLevel="0" collapsed="false">
      <c r="A36" s="28" t="str">
        <f aca="false">IF($B36="","","スタジオピッコーネ／ピッコーネクラブ")</f>
        <v>スタジオピッコーネ／ピッコーネクラブ</v>
      </c>
      <c r="B36" s="29" t="n">
        <f aca="false">IFERROR(INDEX(店舗マスタ!$B$5:$B$304,MATCH("スタジオピッコーネ／ピッコーネクラブ|17",店舗マスタ!$L$5:$L$304,0)),"")</f>
        <v>32674500</v>
      </c>
      <c r="C36" s="28" t="str">
        <f aca="false">IF($B36="","",INDEX(店舗マスタ!$C$5:$C$304,MATCH($B36,店舗マスタ!$B$5:$B$304,0)))</f>
        <v>仙台三越</v>
      </c>
      <c r="D36" s="28" t="str">
        <f aca="false">IF($B36="","",INDEX(店舗マスタ!$D$5:$D$304,MATCH($B36,店舗マスタ!$B$5:$B$304,0)))</f>
        <v>スタジオピッコーネ・ピッコーネクラブ</v>
      </c>
      <c r="E36" s="30" t="n">
        <f aca="false">IF($B36="","",INDEX(店舗マスタ!$G$5:$G$304,MATCH($B36,店舗マスタ!$B$5:$B$304,0)))</f>
        <v>1266300</v>
      </c>
      <c r="F36" s="30" t="n">
        <f aca="false">IF($B36="","",INDEX(店舗マスタ!$H$5:$H$304,MATCH($B36,店舗マスタ!$B$5:$B$304,0)))</f>
        <v>1250000</v>
      </c>
      <c r="G36" s="31" t="n">
        <f aca="false">IF($B36="","",IF(F36=0,"-",E36/F36))</f>
        <v>1.01304</v>
      </c>
      <c r="H36" s="30" t="n">
        <f aca="false">IF($B36="","",E36-F36)</f>
        <v>16300</v>
      </c>
      <c r="I36" s="30" t="n">
        <f aca="false">IF($B36="","",INDEX(店舗マスタ!$I$5:$I$304,MATCH($B36,店舗マスタ!$B$5:$B$304,0)))</f>
        <v>948000</v>
      </c>
      <c r="J36" s="32" t="n">
        <f aca="false">IF($B36="","",IF(I36=0,"前年実績なし",E36/I36))</f>
        <v>1.33575949367089</v>
      </c>
      <c r="K36" s="30" t="n">
        <f aca="false">IF($B36="","",E36-I36)</f>
        <v>318300</v>
      </c>
    </row>
    <row r="37" customFormat="false" ht="15" hidden="false" customHeight="false" outlineLevel="0" collapsed="false">
      <c r="A37" s="28" t="str">
        <f aca="false">IF($B37="","","スタジオピッコーネ／ピッコーネクラブ")</f>
        <v>スタジオピッコーネ／ピッコーネクラブ</v>
      </c>
      <c r="B37" s="29" t="n">
        <f aca="false">IFERROR(INDEX(店舗マスタ!$B$5:$B$304,MATCH("スタジオピッコーネ／ピッコーネクラブ|18",店舗マスタ!$L$5:$L$304,0)),"")</f>
        <v>32675600</v>
      </c>
      <c r="C37" s="28" t="str">
        <f aca="false">IF($B37="","",INDEX(店舗マスタ!$C$5:$C$304,MATCH($B37,店舗マスタ!$B$5:$B$304,0)))</f>
        <v>ながの東急百貨店</v>
      </c>
      <c r="D37" s="28" t="str">
        <f aca="false">IF($B37="","",INDEX(店舗マスタ!$D$5:$D$304,MATCH($B37,店舗マスタ!$B$5:$B$304,0)))</f>
        <v>スタジオピッコーネ・ピッコーネクラブ</v>
      </c>
      <c r="E37" s="30" t="n">
        <f aca="false">IF($B37="","",INDEX(店舗マスタ!$G$5:$G$304,MATCH($B37,店舗マスタ!$B$5:$B$304,0)))</f>
        <v>2648700</v>
      </c>
      <c r="F37" s="30" t="n">
        <f aca="false">IF($B37="","",INDEX(店舗マスタ!$H$5:$H$304,MATCH($B37,店舗マスタ!$B$5:$B$304,0)))</f>
        <v>3910000</v>
      </c>
      <c r="G37" s="31" t="n">
        <f aca="false">IF($B37="","",IF(F37=0,"-",E37/F37))</f>
        <v>0.677416879795396</v>
      </c>
      <c r="H37" s="30" t="n">
        <f aca="false">IF($B37="","",E37-F37)</f>
        <v>-1261300</v>
      </c>
      <c r="I37" s="30" t="n">
        <f aca="false">IF($B37="","",INDEX(店舗マスタ!$I$5:$I$304,MATCH($B37,店舗マスタ!$B$5:$B$304,0)))</f>
        <v>3232800</v>
      </c>
      <c r="J37" s="32" t="n">
        <f aca="false">IF($B37="","",IF(I37=0,"前年実績なし",E37/I37))</f>
        <v>0.819320712694878</v>
      </c>
      <c r="K37" s="30" t="n">
        <f aca="false">IF($B37="","",E37-I37)</f>
        <v>-584100</v>
      </c>
    </row>
    <row r="38" customFormat="false" ht="15" hidden="false" customHeight="false" outlineLevel="0" collapsed="false">
      <c r="A38" s="28" t="str">
        <f aca="false">IF($B38="","","スタジオピッコーネ／ピッコーネクラブ")</f>
        <v>スタジオピッコーネ／ピッコーネクラブ</v>
      </c>
      <c r="B38" s="29" t="n">
        <f aca="false">IFERROR(INDEX(店舗マスタ!$B$5:$B$304,MATCH("スタジオピッコーネ／ピッコーネクラブ|19",店舗マスタ!$L$5:$L$304,0)),"")</f>
        <v>32675700</v>
      </c>
      <c r="C38" s="28" t="str">
        <f aca="false">IF($B38="","",INDEX(店舗マスタ!$C$5:$C$304,MATCH($B38,店舗マスタ!$B$5:$B$304,0)))</f>
        <v>静岡伊勢丹</v>
      </c>
      <c r="D38" s="28" t="str">
        <f aca="false">IF($B38="","",INDEX(店舗マスタ!$D$5:$D$304,MATCH($B38,店舗マスタ!$B$5:$B$304,0)))</f>
        <v>スタジオピッコーネ・ピッコーネクラブ</v>
      </c>
      <c r="E38" s="30" t="n">
        <f aca="false">IF($B38="","",INDEX(店舗マスタ!$G$5:$G$304,MATCH($B38,店舗マスタ!$B$5:$B$304,0)))</f>
        <v>1267300</v>
      </c>
      <c r="F38" s="30" t="n">
        <f aca="false">IF($B38="","",INDEX(店舗マスタ!$H$5:$H$304,MATCH($B38,店舗マスタ!$B$5:$B$304,0)))</f>
        <v>1260000</v>
      </c>
      <c r="G38" s="31" t="n">
        <f aca="false">IF($B38="","",IF(F38=0,"-",E38/F38))</f>
        <v>1.00579365079365</v>
      </c>
      <c r="H38" s="30" t="n">
        <f aca="false">IF($B38="","",E38-F38)</f>
        <v>7300</v>
      </c>
      <c r="I38" s="30" t="n">
        <f aca="false">IF($B38="","",INDEX(店舗マスタ!$I$5:$I$304,MATCH($B38,店舗マスタ!$B$5:$B$304,0)))</f>
        <v>910300</v>
      </c>
      <c r="J38" s="32" t="n">
        <f aca="false">IF($B38="","",IF(I38=0,"前年実績なし",E38/I38))</f>
        <v>1.39217840272438</v>
      </c>
      <c r="K38" s="30" t="n">
        <f aca="false">IF($B38="","",E38-I38)</f>
        <v>357000</v>
      </c>
    </row>
    <row r="39" customFormat="false" ht="15" hidden="false" customHeight="false" outlineLevel="0" collapsed="false">
      <c r="A39" s="28" t="str">
        <f aca="false">IF($B39="","","スタジオピッコーネ／ピッコーネクラブ")</f>
        <v>スタジオピッコーネ／ピッコーネクラブ</v>
      </c>
      <c r="B39" s="29" t="n">
        <f aca="false">IFERROR(INDEX(店舗マスタ!$B$5:$B$304,MATCH("スタジオピッコーネ／ピッコーネクラブ|20",店舗マスタ!$L$5:$L$304,0)),"")</f>
        <v>32675800</v>
      </c>
      <c r="C39" s="28" t="str">
        <f aca="false">IF($B39="","",INDEX(店舗マスタ!$C$5:$C$304,MATCH($B39,店舗マスタ!$B$5:$B$304,0)))</f>
        <v>伊勢丹立川店</v>
      </c>
      <c r="D39" s="28" t="str">
        <f aca="false">IF($B39="","",INDEX(店舗マスタ!$D$5:$D$304,MATCH($B39,店舗マスタ!$B$5:$B$304,0)))</f>
        <v>スタジオピッコーネ・ピッコーネクラブ</v>
      </c>
      <c r="E39" s="30" t="n">
        <f aca="false">IF($B39="","",INDEX(店舗マスタ!$G$5:$G$304,MATCH($B39,店舗マスタ!$B$5:$B$304,0)))</f>
        <v>1418275</v>
      </c>
      <c r="F39" s="30" t="n">
        <f aca="false">IF($B39="","",INDEX(店舗マスタ!$H$5:$H$304,MATCH($B39,店舗マスタ!$B$5:$B$304,0)))</f>
        <v>2500000</v>
      </c>
      <c r="G39" s="31" t="n">
        <f aca="false">IF($B39="","",IF(F39=0,"-",E39/F39))</f>
        <v>0.56731</v>
      </c>
      <c r="H39" s="30" t="n">
        <f aca="false">IF($B39="","",E39-F39)</f>
        <v>-1081725</v>
      </c>
      <c r="I39" s="30" t="n">
        <f aca="false">IF($B39="","",INDEX(店舗マスタ!$I$5:$I$304,MATCH($B39,店舗マスタ!$B$5:$B$304,0)))</f>
        <v>2424400</v>
      </c>
      <c r="J39" s="32" t="n">
        <f aca="false">IF($B39="","",IF(I39=0,"前年実績なし",E39/I39))</f>
        <v>0.585000412473189</v>
      </c>
      <c r="K39" s="30" t="n">
        <f aca="false">IF($B39="","",E39-I39)</f>
        <v>-1006125</v>
      </c>
    </row>
    <row r="40" customFormat="false" ht="15" hidden="false" customHeight="false" outlineLevel="0" collapsed="false">
      <c r="A40" s="28" t="str">
        <f aca="false">IF($B40="","","スタジオピッコーネ／ピッコーネクラブ")</f>
        <v>スタジオピッコーネ／ピッコーネクラブ</v>
      </c>
      <c r="B40" s="29" t="n">
        <f aca="false">IFERROR(INDEX(店舗マスタ!$B$5:$B$304,MATCH("スタジオピッコーネ／ピッコーネクラブ|21",店舗マスタ!$L$5:$L$304,0)),"")</f>
        <v>32676200</v>
      </c>
      <c r="C40" s="28" t="str">
        <f aca="false">IF($B40="","",INDEX(店舗マスタ!$C$5:$C$304,MATCH($B40,店舗マスタ!$B$5:$B$304,0)))</f>
        <v>東武宇都宮百貨店</v>
      </c>
      <c r="D40" s="28" t="str">
        <f aca="false">IF($B40="","",INDEX(店舗マスタ!$D$5:$D$304,MATCH($B40,店舗マスタ!$B$5:$B$304,0)))</f>
        <v>スタジオピッコーネ・ピッコーネクラブ</v>
      </c>
      <c r="E40" s="30" t="n">
        <f aca="false">IF($B40="","",INDEX(店舗マスタ!$G$5:$G$304,MATCH($B40,店舗マスタ!$B$5:$B$304,0)))</f>
        <v>1843700</v>
      </c>
      <c r="F40" s="30" t="n">
        <f aca="false">IF($B40="","",INDEX(店舗マスタ!$H$5:$H$304,MATCH($B40,店舗マスタ!$B$5:$B$304,0)))</f>
        <v>1450000</v>
      </c>
      <c r="G40" s="31" t="n">
        <f aca="false">IF($B40="","",IF(F40=0,"-",E40/F40))</f>
        <v>1.27151724137931</v>
      </c>
      <c r="H40" s="30" t="n">
        <f aca="false">IF($B40="","",E40-F40)</f>
        <v>393700</v>
      </c>
      <c r="I40" s="30" t="n">
        <f aca="false">IF($B40="","",INDEX(店舗マスタ!$I$5:$I$304,MATCH($B40,店舗マスタ!$B$5:$B$304,0)))</f>
        <v>1179400</v>
      </c>
      <c r="J40" s="32" t="n">
        <f aca="false">IF($B40="","",IF(I40=0,"前年実績なし",E40/I40))</f>
        <v>1.56325250127183</v>
      </c>
      <c r="K40" s="30" t="n">
        <f aca="false">IF($B40="","",E40-I40)</f>
        <v>664300</v>
      </c>
    </row>
    <row r="41" customFormat="false" ht="15" hidden="false" customHeight="false" outlineLevel="0" collapsed="false">
      <c r="A41" s="28" t="str">
        <f aca="false">IF($B41="","","スタジオピッコーネ／ピッコーネクラブ")</f>
        <v>スタジオピッコーネ／ピッコーネクラブ</v>
      </c>
      <c r="B41" s="29" t="n">
        <f aca="false">IFERROR(INDEX(店舗マスタ!$B$5:$B$304,MATCH("スタジオピッコーネ／ピッコーネクラブ|22",店舗マスタ!$L$5:$L$304,0)),"")</f>
        <v>32676300</v>
      </c>
      <c r="C41" s="28" t="str">
        <f aca="false">IF($B41="","",INDEX(店舗マスタ!$C$5:$C$304,MATCH($B41,店舗マスタ!$B$5:$B$304,0)))</f>
        <v>高島屋新宿店</v>
      </c>
      <c r="D41" s="28" t="str">
        <f aca="false">IF($B41="","",INDEX(店舗マスタ!$D$5:$D$304,MATCH($B41,店舗マスタ!$B$5:$B$304,0)))</f>
        <v>スタジオピッコーネ・ピッコーネクラブ</v>
      </c>
      <c r="E41" s="30" t="n">
        <f aca="false">IF($B41="","",INDEX(店舗マスタ!$G$5:$G$304,MATCH($B41,店舗マスタ!$B$5:$B$304,0)))</f>
        <v>3285560</v>
      </c>
      <c r="F41" s="30" t="n">
        <f aca="false">IF($B41="","",INDEX(店舗マスタ!$H$5:$H$304,MATCH($B41,店舗マスタ!$B$5:$B$304,0)))</f>
        <v>2600000</v>
      </c>
      <c r="G41" s="31" t="n">
        <f aca="false">IF($B41="","",IF(F41=0,"-",E41/F41))</f>
        <v>1.26367692307692</v>
      </c>
      <c r="H41" s="30" t="n">
        <f aca="false">IF($B41="","",E41-F41)</f>
        <v>685560</v>
      </c>
      <c r="I41" s="30" t="n">
        <f aca="false">IF($B41="","",INDEX(店舗マスタ!$I$5:$I$304,MATCH($B41,店舗マスタ!$B$5:$B$304,0)))</f>
        <v>2608290</v>
      </c>
      <c r="J41" s="32" t="n">
        <f aca="false">IF($B41="","",IF(I41=0,"前年実績なし",E41/I41))</f>
        <v>1.25966054388124</v>
      </c>
      <c r="K41" s="30" t="n">
        <f aca="false">IF($B41="","",E41-I41)</f>
        <v>677270</v>
      </c>
    </row>
    <row r="42" customFormat="false" ht="15" hidden="false" customHeight="false" outlineLevel="0" collapsed="false">
      <c r="A42" s="28" t="str">
        <f aca="false">IF($B42="","","スタジオピッコーネ／ピッコーネクラブ")</f>
        <v>スタジオピッコーネ／ピッコーネクラブ</v>
      </c>
      <c r="B42" s="29" t="n">
        <f aca="false">IFERROR(INDEX(店舗マスタ!$B$5:$B$304,MATCH("スタジオピッコーネ／ピッコーネクラブ|23",店舗マスタ!$L$5:$L$304,0)),"")</f>
        <v>32676700</v>
      </c>
      <c r="C42" s="28" t="str">
        <f aca="false">IF($B42="","",INDEX(店舗マスタ!$C$5:$C$304,MATCH($B42,店舗マスタ!$B$5:$B$304,0)))</f>
        <v>高島屋大宮店</v>
      </c>
      <c r="D42" s="28" t="str">
        <f aca="false">IF($B42="","",INDEX(店舗マスタ!$D$5:$D$304,MATCH($B42,店舗マスタ!$B$5:$B$304,0)))</f>
        <v>スタジオピッコーネ・ピッコーネクラブ</v>
      </c>
      <c r="E42" s="30" t="n">
        <f aca="false">IF($B42="","",INDEX(店舗マスタ!$G$5:$G$304,MATCH($B42,店舗マスタ!$B$5:$B$304,0)))</f>
        <v>627595</v>
      </c>
      <c r="F42" s="30" t="n">
        <f aca="false">IF($B42="","",INDEX(店舗マスタ!$H$5:$H$304,MATCH($B42,店舗マスタ!$B$5:$B$304,0)))</f>
        <v>1800000</v>
      </c>
      <c r="G42" s="31" t="n">
        <f aca="false">IF($B42="","",IF(F42=0,"-",E42/F42))</f>
        <v>0.348663888888889</v>
      </c>
      <c r="H42" s="30" t="n">
        <f aca="false">IF($B42="","",E42-F42)</f>
        <v>-1172405</v>
      </c>
      <c r="I42" s="30" t="n">
        <f aca="false">IF($B42="","",INDEX(店舗マスタ!$I$5:$I$304,MATCH($B42,店舗マスタ!$B$5:$B$304,0)))</f>
        <v>0</v>
      </c>
      <c r="J42" s="32" t="str">
        <f aca="false">IF($B42="","",IF(I42=0,"前年実績なし",E42/I42))</f>
        <v>前年実績なし</v>
      </c>
      <c r="K42" s="30" t="n">
        <f aca="false">IF($B42="","",E42-I42)</f>
        <v>627595</v>
      </c>
    </row>
    <row r="43" customFormat="false" ht="15" hidden="false" customHeight="false" outlineLevel="0" collapsed="false">
      <c r="A43" s="28" t="str">
        <f aca="false">IF($B43="","","スタジオピッコーネ／ピッコーネクラブ")</f>
        <v/>
      </c>
      <c r="B43" s="29" t="str">
        <f aca="false">IFERROR(INDEX(店舗マスタ!$B$5:$B$304,MATCH("スタジオピッコーネ／ピッコーネクラブ|24",店舗マスタ!$L$5:$L$304,0)),"")</f>
        <v/>
      </c>
      <c r="C43" s="28" t="str">
        <f aca="false">IF($B43="","",INDEX(店舗マスタ!$C$5:$C$304,MATCH($B43,店舗マスタ!$B$5:$B$304,0)))</f>
        <v/>
      </c>
      <c r="D43" s="28" t="str">
        <f aca="false">IF($B43="","",INDEX(店舗マスタ!$D$5:$D$304,MATCH($B43,店舗マスタ!$B$5:$B$304,0)))</f>
        <v/>
      </c>
      <c r="E43" s="30" t="str">
        <f aca="false">IF($B43="","",INDEX(店舗マスタ!$G$5:$G$304,MATCH($B43,店舗マスタ!$B$5:$B$304,0)))</f>
        <v/>
      </c>
      <c r="F43" s="30" t="str">
        <f aca="false">IF($B43="","",INDEX(店舗マスタ!$H$5:$H$304,MATCH($B43,店舗マスタ!$B$5:$B$304,0)))</f>
        <v/>
      </c>
      <c r="G43" s="31" t="str">
        <f aca="false">IF($B43="","",IF(F43=0,"-",E43/F43))</f>
        <v/>
      </c>
      <c r="H43" s="30" t="str">
        <f aca="false">IF($B43="","",E43-F43)</f>
        <v/>
      </c>
      <c r="I43" s="30" t="str">
        <f aca="false">IF($B43="","",INDEX(店舗マスタ!$I$5:$I$304,MATCH($B43,店舗マスタ!$B$5:$B$304,0)))</f>
        <v/>
      </c>
      <c r="J43" s="32" t="str">
        <f aca="false">IF($B43="","",IF(I43=0,"前年実績なし",E43/I43))</f>
        <v/>
      </c>
      <c r="K43" s="30" t="str">
        <f aca="false">IF($B43="","",E43-I43)</f>
        <v/>
      </c>
    </row>
    <row r="44" customFormat="false" ht="15" hidden="false" customHeight="false" outlineLevel="0" collapsed="false">
      <c r="A44" s="28" t="str">
        <f aca="false">IF($B44="","","スタジオピッコーネ／ピッコーネクラブ")</f>
        <v/>
      </c>
      <c r="B44" s="29" t="str">
        <f aca="false">IFERROR(INDEX(店舗マスタ!$B$5:$B$304,MATCH("スタジオピッコーネ／ピッコーネクラブ|25",店舗マスタ!$L$5:$L$304,0)),"")</f>
        <v/>
      </c>
      <c r="C44" s="28" t="str">
        <f aca="false">IF($B44="","",INDEX(店舗マスタ!$C$5:$C$304,MATCH($B44,店舗マスタ!$B$5:$B$304,0)))</f>
        <v/>
      </c>
      <c r="D44" s="28" t="str">
        <f aca="false">IF($B44="","",INDEX(店舗マスタ!$D$5:$D$304,MATCH($B44,店舗マスタ!$B$5:$B$304,0)))</f>
        <v/>
      </c>
      <c r="E44" s="30" t="str">
        <f aca="false">IF($B44="","",INDEX(店舗マスタ!$G$5:$G$304,MATCH($B44,店舗マスタ!$B$5:$B$304,0)))</f>
        <v/>
      </c>
      <c r="F44" s="30" t="str">
        <f aca="false">IF($B44="","",INDEX(店舗マスタ!$H$5:$H$304,MATCH($B44,店舗マスタ!$B$5:$B$304,0)))</f>
        <v/>
      </c>
      <c r="G44" s="31" t="str">
        <f aca="false">IF($B44="","",IF(F44=0,"-",E44/F44))</f>
        <v/>
      </c>
      <c r="H44" s="30" t="str">
        <f aca="false">IF($B44="","",E44-F44)</f>
        <v/>
      </c>
      <c r="I44" s="30" t="str">
        <f aca="false">IF($B44="","",INDEX(店舗マスタ!$I$5:$I$304,MATCH($B44,店舗マスタ!$B$5:$B$304,0)))</f>
        <v/>
      </c>
      <c r="J44" s="32" t="str">
        <f aca="false">IF($B44="","",IF(I44=0,"前年実績なし",E44/I44))</f>
        <v/>
      </c>
      <c r="K44" s="30" t="str">
        <f aca="false">IF($B44="","",E44-I44)</f>
        <v/>
      </c>
    </row>
    <row r="45" customFormat="false" ht="15" hidden="false" customHeight="false" outlineLevel="0" collapsed="false">
      <c r="A45" s="28" t="str">
        <f aca="false">IF($B45="","","スタジオピッコーネ／ピッコーネクラブ")</f>
        <v/>
      </c>
      <c r="B45" s="29" t="str">
        <f aca="false">IFERROR(INDEX(店舗マスタ!$B$5:$B$304,MATCH("スタジオピッコーネ／ピッコーネクラブ|26",店舗マスタ!$L$5:$L$304,0)),"")</f>
        <v/>
      </c>
      <c r="C45" s="28" t="str">
        <f aca="false">IF($B45="","",INDEX(店舗マスタ!$C$5:$C$304,MATCH($B45,店舗マスタ!$B$5:$B$304,0)))</f>
        <v/>
      </c>
      <c r="D45" s="28" t="str">
        <f aca="false">IF($B45="","",INDEX(店舗マスタ!$D$5:$D$304,MATCH($B45,店舗マスタ!$B$5:$B$304,0)))</f>
        <v/>
      </c>
      <c r="E45" s="30" t="str">
        <f aca="false">IF($B45="","",INDEX(店舗マスタ!$G$5:$G$304,MATCH($B45,店舗マスタ!$B$5:$B$304,0)))</f>
        <v/>
      </c>
      <c r="F45" s="30" t="str">
        <f aca="false">IF($B45="","",INDEX(店舗マスタ!$H$5:$H$304,MATCH($B45,店舗マスタ!$B$5:$B$304,0)))</f>
        <v/>
      </c>
      <c r="G45" s="31" t="str">
        <f aca="false">IF($B45="","",IF(F45=0,"-",E45/F45))</f>
        <v/>
      </c>
      <c r="H45" s="30" t="str">
        <f aca="false">IF($B45="","",E45-F45)</f>
        <v/>
      </c>
      <c r="I45" s="30" t="str">
        <f aca="false">IF($B45="","",INDEX(店舗マスタ!$I$5:$I$304,MATCH($B45,店舗マスタ!$B$5:$B$304,0)))</f>
        <v/>
      </c>
      <c r="J45" s="32" t="str">
        <f aca="false">IF($B45="","",IF(I45=0,"前年実績なし",E45/I45))</f>
        <v/>
      </c>
      <c r="K45" s="30" t="str">
        <f aca="false">IF($B45="","",E45-I45)</f>
        <v/>
      </c>
    </row>
    <row r="46" customFormat="false" ht="15" hidden="false" customHeight="false" outlineLevel="0" collapsed="false">
      <c r="A46" s="33" t="str">
        <f aca="false">"スタジオピッコーネ／ピッコーネクラブ　小計（"&amp;COUNT(E20:E45)&amp;"店舗）"</f>
        <v>スタジオピッコーネ／ピッコーネクラブ　小計（23店舗）</v>
      </c>
      <c r="B46" s="33"/>
      <c r="C46" s="33"/>
      <c r="D46" s="33"/>
      <c r="E46" s="34" t="n">
        <f aca="false">SUBTOTAL(9,E20:E45)</f>
        <v>58463370</v>
      </c>
      <c r="F46" s="34" t="n">
        <f aca="false">SUBTOTAL(9,F20:F45)</f>
        <v>71383000</v>
      </c>
      <c r="G46" s="35" t="n">
        <f aca="false">IF(F46=0,"-",E46/F46)</f>
        <v>0.819009708193828</v>
      </c>
      <c r="H46" s="34" t="n">
        <f aca="false">E46-F46</f>
        <v>-12919630</v>
      </c>
      <c r="I46" s="34" t="n">
        <f aca="false">SUBTOTAL(9,I20:I45)</f>
        <v>59754000</v>
      </c>
      <c r="J46" s="35" t="n">
        <f aca="false">IF(I46=0,"-",E46/I46)</f>
        <v>0.978400943869866</v>
      </c>
      <c r="K46" s="34" t="n">
        <f aca="false">E46-I46</f>
        <v>-1290630</v>
      </c>
    </row>
    <row r="47" customFormat="false" ht="15" hidden="false" customHeight="false" outlineLevel="0" collapsed="false">
      <c r="A47" s="28" t="str">
        <f aca="false">IF($B47="","","ピッコーネ")</f>
        <v>ピッコーネ</v>
      </c>
      <c r="B47" s="29" t="n">
        <f aca="false">IFERROR(INDEX(店舗マスタ!$B$5:$B$304,MATCH("ピッコーネ|1",店舗マスタ!$L$5:$L$304,0)),"")</f>
        <v>32580600</v>
      </c>
      <c r="C47" s="28" t="str">
        <f aca="false">IF($B47="","",INDEX(店舗マスタ!$C$5:$C$304,MATCH($B47,店舗マスタ!$B$5:$B$304,0)))</f>
        <v>ラポルテ芦屋店</v>
      </c>
      <c r="D47" s="28" t="str">
        <f aca="false">IF($B47="","",INDEX(店舗マスタ!$D$5:$D$304,MATCH($B47,店舗マスタ!$B$5:$B$304,0)))</f>
        <v>ピッコーネ</v>
      </c>
      <c r="E47" s="30" t="n">
        <f aca="false">IF($B47="","",INDEX(店舗マスタ!$G$5:$G$304,MATCH($B47,店舗マスタ!$B$5:$B$304,0)))</f>
        <v>3138950</v>
      </c>
      <c r="F47" s="30" t="n">
        <f aca="false">IF($B47="","",INDEX(店舗マスタ!$H$5:$H$304,MATCH($B47,店舗マスタ!$B$5:$B$304,0)))</f>
        <v>2500000</v>
      </c>
      <c r="G47" s="31" t="n">
        <f aca="false">IF($B47="","",IF(F47=0,"-",E47/F47))</f>
        <v>1.25558</v>
      </c>
      <c r="H47" s="30" t="n">
        <f aca="false">IF($B47="","",E47-F47)</f>
        <v>638950</v>
      </c>
      <c r="I47" s="30" t="n">
        <f aca="false">IF($B47="","",INDEX(店舗マスタ!$I$5:$I$304,MATCH($B47,店舗マスタ!$B$5:$B$304,0)))</f>
        <v>2031171</v>
      </c>
      <c r="J47" s="32" t="n">
        <f aca="false">IF($B47="","",IF(I47=0,"前年実績なし",E47/I47))</f>
        <v>1.54538933452673</v>
      </c>
      <c r="K47" s="30" t="n">
        <f aca="false">IF($B47="","",E47-I47)</f>
        <v>1107779</v>
      </c>
    </row>
    <row r="48" customFormat="false" ht="15" hidden="false" customHeight="false" outlineLevel="0" collapsed="false">
      <c r="A48" s="28" t="str">
        <f aca="false">IF($B48="","","ピッコーネ")</f>
        <v>ピッコーネ</v>
      </c>
      <c r="B48" s="29" t="n">
        <f aca="false">IFERROR(INDEX(店舗マスタ!$B$5:$B$304,MATCH("ピッコーネ|2",店舗マスタ!$L$5:$L$304,0)),"")</f>
        <v>32580700</v>
      </c>
      <c r="C48" s="28" t="str">
        <f aca="false">IF($B48="","",INDEX(店舗マスタ!$C$5:$C$304,MATCH($B48,店舗マスタ!$B$5:$B$304,0)))</f>
        <v>ホテルニューオータニ大阪店</v>
      </c>
      <c r="D48" s="28" t="str">
        <f aca="false">IF($B48="","",INDEX(店舗マスタ!$D$5:$D$304,MATCH($B48,店舗マスタ!$B$5:$B$304,0)))</f>
        <v>ピッコーネ</v>
      </c>
      <c r="E48" s="30" t="n">
        <f aca="false">IF($B48="","",INDEX(店舗マスタ!$G$5:$G$304,MATCH($B48,店舗マスタ!$B$5:$B$304,0)))</f>
        <v>946100</v>
      </c>
      <c r="F48" s="30" t="n">
        <f aca="false">IF($B48="","",INDEX(店舗マスタ!$H$5:$H$304,MATCH($B48,店舗マスタ!$B$5:$B$304,0)))</f>
        <v>1550000</v>
      </c>
      <c r="G48" s="31" t="n">
        <f aca="false">IF($B48="","",IF(F48=0,"-",E48/F48))</f>
        <v>0.610387096774194</v>
      </c>
      <c r="H48" s="30" t="n">
        <f aca="false">IF($B48="","",E48-F48)</f>
        <v>-603900</v>
      </c>
      <c r="I48" s="30" t="n">
        <f aca="false">IF($B48="","",INDEX(店舗マスタ!$I$5:$I$304,MATCH($B48,店舗マスタ!$B$5:$B$304,0)))</f>
        <v>1285696</v>
      </c>
      <c r="J48" s="32" t="n">
        <f aca="false">IF($B48="","",IF(I48=0,"前年実績なし",E48/I48))</f>
        <v>0.735866021205635</v>
      </c>
      <c r="K48" s="30" t="n">
        <f aca="false">IF($B48="","",E48-I48)</f>
        <v>-339596</v>
      </c>
    </row>
    <row r="49" customFormat="false" ht="15" hidden="false" customHeight="false" outlineLevel="0" collapsed="false">
      <c r="A49" s="28" t="str">
        <f aca="false">IF($B49="","","ピッコーネ")</f>
        <v>ピッコーネ</v>
      </c>
      <c r="B49" s="29" t="n">
        <f aca="false">IFERROR(INDEX(店舗マスタ!$B$5:$B$304,MATCH("ピッコーネ|3",店舗マスタ!$L$5:$L$304,0)),"")</f>
        <v>32580900</v>
      </c>
      <c r="C49" s="28" t="str">
        <f aca="false">IF($B49="","",INDEX(店舗マスタ!$C$5:$C$304,MATCH($B49,店舗マスタ!$B$5:$B$304,0)))</f>
        <v>阪急三番街店</v>
      </c>
      <c r="D49" s="28" t="str">
        <f aca="false">IF($B49="","",INDEX(店舗マスタ!$D$5:$D$304,MATCH($B49,店舗マスタ!$B$5:$B$304,0)))</f>
        <v>ピッコーネ</v>
      </c>
      <c r="E49" s="30" t="n">
        <f aca="false">IF($B49="","",INDEX(店舗マスタ!$G$5:$G$304,MATCH($B49,店舗マスタ!$B$5:$B$304,0)))</f>
        <v>6773261</v>
      </c>
      <c r="F49" s="30" t="n">
        <f aca="false">IF($B49="","",INDEX(店舗マスタ!$H$5:$H$304,MATCH($B49,店舗マスタ!$B$5:$B$304,0)))</f>
        <v>3500000</v>
      </c>
      <c r="G49" s="31" t="n">
        <f aca="false">IF($B49="","",IF(F49=0,"-",E49/F49))</f>
        <v>1.93521742857143</v>
      </c>
      <c r="H49" s="30" t="n">
        <f aca="false">IF($B49="","",E49-F49)</f>
        <v>3273261</v>
      </c>
      <c r="I49" s="30" t="n">
        <f aca="false">IF($B49="","",INDEX(店舗マスタ!$I$5:$I$304,MATCH($B49,店舗マスタ!$B$5:$B$304,0)))</f>
        <v>2378787</v>
      </c>
      <c r="J49" s="32" t="n">
        <f aca="false">IF($B49="","",IF(I49=0,"前年実績なし",E49/I49))</f>
        <v>2.84735917927919</v>
      </c>
      <c r="K49" s="30" t="n">
        <f aca="false">IF($B49="","",E49-I49)</f>
        <v>4394474</v>
      </c>
    </row>
    <row r="50" customFormat="false" ht="15" hidden="false" customHeight="false" outlineLevel="0" collapsed="false">
      <c r="A50" s="28" t="str">
        <f aca="false">IF($B50="","","ピッコーネ")</f>
        <v>ピッコーネ</v>
      </c>
      <c r="B50" s="29" t="n">
        <f aca="false">IFERROR(INDEX(店舗マスタ!$B$5:$B$304,MATCH("ピッコーネ|4",店舗マスタ!$L$5:$L$304,0)),"")</f>
        <v>32675100</v>
      </c>
      <c r="C50" s="28" t="str">
        <f aca="false">IF($B50="","",INDEX(店舗マスタ!$C$5:$C$304,MATCH($B50,店舗マスタ!$B$5:$B$304,0)))</f>
        <v>東急百貨店たまプラーザ店</v>
      </c>
      <c r="D50" s="28" t="str">
        <f aca="false">IF($B50="","",INDEX(店舗マスタ!$D$5:$D$304,MATCH($B50,店舗マスタ!$B$5:$B$304,0)))</f>
        <v>ピッコーネ</v>
      </c>
      <c r="E50" s="30" t="n">
        <f aca="false">IF($B50="","",INDEX(店舗マスタ!$G$5:$G$304,MATCH($B50,店舗マスタ!$B$5:$B$304,0)))</f>
        <v>3108900</v>
      </c>
      <c r="F50" s="30" t="n">
        <f aca="false">IF($B50="","",INDEX(店舗マスタ!$H$5:$H$304,MATCH($B50,店舗マスタ!$B$5:$B$304,0)))</f>
        <v>4800000</v>
      </c>
      <c r="G50" s="31" t="n">
        <f aca="false">IF($B50="","",IF(F50=0,"-",E50/F50))</f>
        <v>0.6476875</v>
      </c>
      <c r="H50" s="30" t="n">
        <f aca="false">IF($B50="","",E50-F50)</f>
        <v>-1691100</v>
      </c>
      <c r="I50" s="30" t="n">
        <f aca="false">IF($B50="","",INDEX(店舗マスタ!$I$5:$I$304,MATCH($B50,店舗マスタ!$B$5:$B$304,0)))</f>
        <v>4852400</v>
      </c>
      <c r="J50" s="32" t="n">
        <f aca="false">IF($B50="","",IF(I50=0,"前年実績なし",E50/I50))</f>
        <v>0.640693265188361</v>
      </c>
      <c r="K50" s="30" t="n">
        <f aca="false">IF($B50="","",E50-I50)</f>
        <v>-1743500</v>
      </c>
    </row>
    <row r="51" customFormat="false" ht="15" hidden="false" customHeight="false" outlineLevel="0" collapsed="false">
      <c r="A51" s="28" t="str">
        <f aca="false">IF($B51="","","ピッコーネ")</f>
        <v>ピッコーネ</v>
      </c>
      <c r="B51" s="29" t="n">
        <f aca="false">IFERROR(INDEX(店舗マスタ!$B$5:$B$304,MATCH("ピッコーネ|5",店舗マスタ!$L$5:$L$304,0)),"")</f>
        <v>32675300</v>
      </c>
      <c r="C51" s="28" t="str">
        <f aca="false">IF($B51="","",INDEX(店舗マスタ!$C$5:$C$304,MATCH($B51,店舗マスタ!$B$5:$B$304,0)))</f>
        <v>東急百貨店吉祥寺店</v>
      </c>
      <c r="D51" s="28" t="str">
        <f aca="false">IF($B51="","",INDEX(店舗マスタ!$D$5:$D$304,MATCH($B51,店舗マスタ!$B$5:$B$304,0)))</f>
        <v>ピッコーネ</v>
      </c>
      <c r="E51" s="30" t="n">
        <f aca="false">IF($B51="","",INDEX(店舗マスタ!$G$5:$G$304,MATCH($B51,店舗マスタ!$B$5:$B$304,0)))</f>
        <v>2224545</v>
      </c>
      <c r="F51" s="30" t="n">
        <f aca="false">IF($B51="","",INDEX(店舗マスタ!$H$5:$H$304,MATCH($B51,店舗マスタ!$B$5:$B$304,0)))</f>
        <v>3200000</v>
      </c>
      <c r="G51" s="31" t="n">
        <f aca="false">IF($B51="","",IF(F51=0,"-",E51/F51))</f>
        <v>0.6951703125</v>
      </c>
      <c r="H51" s="30" t="n">
        <f aca="false">IF($B51="","",E51-F51)</f>
        <v>-975455</v>
      </c>
      <c r="I51" s="30" t="n">
        <f aca="false">IF($B51="","",INDEX(店舗マスタ!$I$5:$I$304,MATCH($B51,店舗マスタ!$B$5:$B$304,0)))</f>
        <v>3080805</v>
      </c>
      <c r="J51" s="32" t="n">
        <f aca="false">IF($B51="","",IF(I51=0,"前年実績なし",E51/I51))</f>
        <v>0.722066148295657</v>
      </c>
      <c r="K51" s="30" t="n">
        <f aca="false">IF($B51="","",E51-I51)</f>
        <v>-856260</v>
      </c>
    </row>
    <row r="52" customFormat="false" ht="15" hidden="false" customHeight="false" outlineLevel="0" collapsed="false">
      <c r="A52" s="28" t="str">
        <f aca="false">IF($B52="","","ピッコーネ")</f>
        <v/>
      </c>
      <c r="B52" s="29" t="str">
        <f aca="false">IFERROR(INDEX(店舗マスタ!$B$5:$B$304,MATCH("ピッコーネ|6",店舗マスタ!$L$5:$L$304,0)),"")</f>
        <v/>
      </c>
      <c r="C52" s="28" t="str">
        <f aca="false">IF($B52="","",INDEX(店舗マスタ!$C$5:$C$304,MATCH($B52,店舗マスタ!$B$5:$B$304,0)))</f>
        <v/>
      </c>
      <c r="D52" s="28" t="str">
        <f aca="false">IF($B52="","",INDEX(店舗マスタ!$D$5:$D$304,MATCH($B52,店舗マスタ!$B$5:$B$304,0)))</f>
        <v/>
      </c>
      <c r="E52" s="30" t="str">
        <f aca="false">IF($B52="","",INDEX(店舗マスタ!$G$5:$G$304,MATCH($B52,店舗マスタ!$B$5:$B$304,0)))</f>
        <v/>
      </c>
      <c r="F52" s="30" t="str">
        <f aca="false">IF($B52="","",INDEX(店舗マスタ!$H$5:$H$304,MATCH($B52,店舗マスタ!$B$5:$B$304,0)))</f>
        <v/>
      </c>
      <c r="G52" s="31" t="str">
        <f aca="false">IF($B52="","",IF(F52=0,"-",E52/F52))</f>
        <v/>
      </c>
      <c r="H52" s="30" t="str">
        <f aca="false">IF($B52="","",E52-F52)</f>
        <v/>
      </c>
      <c r="I52" s="30" t="str">
        <f aca="false">IF($B52="","",INDEX(店舗マスタ!$I$5:$I$304,MATCH($B52,店舗マスタ!$B$5:$B$304,0)))</f>
        <v/>
      </c>
      <c r="J52" s="32" t="str">
        <f aca="false">IF($B52="","",IF(I52=0,"前年実績なし",E52/I52))</f>
        <v/>
      </c>
      <c r="K52" s="30" t="str">
        <f aca="false">IF($B52="","",E52-I52)</f>
        <v/>
      </c>
    </row>
    <row r="53" customFormat="false" ht="15" hidden="false" customHeight="false" outlineLevel="0" collapsed="false">
      <c r="A53" s="28" t="str">
        <f aca="false">IF($B53="","","ピッコーネ")</f>
        <v/>
      </c>
      <c r="B53" s="29" t="str">
        <f aca="false">IFERROR(INDEX(店舗マスタ!$B$5:$B$304,MATCH("ピッコーネ|7",店舗マスタ!$L$5:$L$304,0)),"")</f>
        <v/>
      </c>
      <c r="C53" s="28" t="str">
        <f aca="false">IF($B53="","",INDEX(店舗マスタ!$C$5:$C$304,MATCH($B53,店舗マスタ!$B$5:$B$304,0)))</f>
        <v/>
      </c>
      <c r="D53" s="28" t="str">
        <f aca="false">IF($B53="","",INDEX(店舗マスタ!$D$5:$D$304,MATCH($B53,店舗マスタ!$B$5:$B$304,0)))</f>
        <v/>
      </c>
      <c r="E53" s="30" t="str">
        <f aca="false">IF($B53="","",INDEX(店舗マスタ!$G$5:$G$304,MATCH($B53,店舗マスタ!$B$5:$B$304,0)))</f>
        <v/>
      </c>
      <c r="F53" s="30" t="str">
        <f aca="false">IF($B53="","",INDEX(店舗マスタ!$H$5:$H$304,MATCH($B53,店舗マスタ!$B$5:$B$304,0)))</f>
        <v/>
      </c>
      <c r="G53" s="31" t="str">
        <f aca="false">IF($B53="","",IF(F53=0,"-",E53/F53))</f>
        <v/>
      </c>
      <c r="H53" s="30" t="str">
        <f aca="false">IF($B53="","",E53-F53)</f>
        <v/>
      </c>
      <c r="I53" s="30" t="str">
        <f aca="false">IF($B53="","",INDEX(店舗マスタ!$I$5:$I$304,MATCH($B53,店舗マスタ!$B$5:$B$304,0)))</f>
        <v/>
      </c>
      <c r="J53" s="32" t="str">
        <f aca="false">IF($B53="","",IF(I53=0,"前年実績なし",E53/I53))</f>
        <v/>
      </c>
      <c r="K53" s="30" t="str">
        <f aca="false">IF($B53="","",E53-I53)</f>
        <v/>
      </c>
    </row>
    <row r="54" customFormat="false" ht="15" hidden="false" customHeight="false" outlineLevel="0" collapsed="false">
      <c r="A54" s="28" t="str">
        <f aca="false">IF($B54="","","ピッコーネ")</f>
        <v/>
      </c>
      <c r="B54" s="29" t="str">
        <f aca="false">IFERROR(INDEX(店舗マスタ!$B$5:$B$304,MATCH("ピッコーネ|8",店舗マスタ!$L$5:$L$304,0)),"")</f>
        <v/>
      </c>
      <c r="C54" s="28" t="str">
        <f aca="false">IF($B54="","",INDEX(店舗マスタ!$C$5:$C$304,MATCH($B54,店舗マスタ!$B$5:$B$304,0)))</f>
        <v/>
      </c>
      <c r="D54" s="28" t="str">
        <f aca="false">IF($B54="","",INDEX(店舗マスタ!$D$5:$D$304,MATCH($B54,店舗マスタ!$B$5:$B$304,0)))</f>
        <v/>
      </c>
      <c r="E54" s="30" t="str">
        <f aca="false">IF($B54="","",INDEX(店舗マスタ!$G$5:$G$304,MATCH($B54,店舗マスタ!$B$5:$B$304,0)))</f>
        <v/>
      </c>
      <c r="F54" s="30" t="str">
        <f aca="false">IF($B54="","",INDEX(店舗マスタ!$H$5:$H$304,MATCH($B54,店舗マスタ!$B$5:$B$304,0)))</f>
        <v/>
      </c>
      <c r="G54" s="31" t="str">
        <f aca="false">IF($B54="","",IF(F54=0,"-",E54/F54))</f>
        <v/>
      </c>
      <c r="H54" s="30" t="str">
        <f aca="false">IF($B54="","",E54-F54)</f>
        <v/>
      </c>
      <c r="I54" s="30" t="str">
        <f aca="false">IF($B54="","",INDEX(店舗マスタ!$I$5:$I$304,MATCH($B54,店舗マスタ!$B$5:$B$304,0)))</f>
        <v/>
      </c>
      <c r="J54" s="32" t="str">
        <f aca="false">IF($B54="","",IF(I54=0,"前年実績なし",E54/I54))</f>
        <v/>
      </c>
      <c r="K54" s="30" t="str">
        <f aca="false">IF($B54="","",E54-I54)</f>
        <v/>
      </c>
    </row>
    <row r="55" customFormat="false" ht="15" hidden="false" customHeight="false" outlineLevel="0" collapsed="false">
      <c r="A55" s="33" t="str">
        <f aca="false">"ピッコーネ　小計（"&amp;COUNT(E47:E54)&amp;"店舗）"</f>
        <v>ピッコーネ　小計（5店舗）</v>
      </c>
      <c r="B55" s="33"/>
      <c r="C55" s="33"/>
      <c r="D55" s="33"/>
      <c r="E55" s="34" t="n">
        <f aca="false">SUBTOTAL(9,E47:E54)</f>
        <v>16191756</v>
      </c>
      <c r="F55" s="34" t="n">
        <f aca="false">SUBTOTAL(9,F47:F54)</f>
        <v>15550000</v>
      </c>
      <c r="G55" s="35" t="n">
        <f aca="false">IF(F55=0,"-",E55/F55)</f>
        <v>1.04127048231511</v>
      </c>
      <c r="H55" s="34" t="n">
        <f aca="false">E55-F55</f>
        <v>641756</v>
      </c>
      <c r="I55" s="34" t="n">
        <f aca="false">SUBTOTAL(9,I47:I54)</f>
        <v>13628859</v>
      </c>
      <c r="J55" s="35" t="n">
        <f aca="false">IF(I55=0,"-",E55/I55)</f>
        <v>1.18804927103582</v>
      </c>
      <c r="K55" s="34" t="n">
        <f aca="false">E55-I55</f>
        <v>2562897</v>
      </c>
    </row>
    <row r="56" customFormat="false" ht="15" hidden="false" customHeight="false" outlineLevel="0" collapsed="false">
      <c r="A56" s="28" t="str">
        <f aca="false">IF($B56="","","複合（アルチビオ＋ピッコーネ系）")</f>
        <v>複合（アルチビオ＋ピッコーネ系）</v>
      </c>
      <c r="B56" s="29" t="n">
        <f aca="false">IFERROR(INDEX(店舗マスタ!$B$5:$B$304,MATCH("複合（アルチビオ＋ピッコーネ系）|1",店舗マスタ!$L$5:$L$304,0)),"")</f>
        <v>32570700</v>
      </c>
      <c r="C56" s="28" t="str">
        <f aca="false">IF($B56="","",INDEX(店舗マスタ!$C$5:$C$304,MATCH($B56,店舗マスタ!$B$5:$B$304,0)))</f>
        <v>西宮阪急店</v>
      </c>
      <c r="D56" s="28" t="str">
        <f aca="false">IF($B56="","",INDEX(店舗マスタ!$D$5:$D$304,MATCH($B56,店舗マスタ!$B$5:$B$304,0)))</f>
        <v>ピッコーネクラブ・アルチビオ</v>
      </c>
      <c r="E56" s="30" t="n">
        <f aca="false">IF($B56="","",INDEX(店舗マスタ!$G$5:$G$304,MATCH($B56,店舗マスタ!$B$5:$B$304,0)))</f>
        <v>3113117</v>
      </c>
      <c r="F56" s="30" t="n">
        <f aca="false">IF($B56="","",INDEX(店舗マスタ!$H$5:$H$304,MATCH($B56,店舗マスタ!$B$5:$B$304,0)))</f>
        <v>2820000</v>
      </c>
      <c r="G56" s="31" t="n">
        <f aca="false">IF($B56="","",IF(F56=0,"-",E56/F56))</f>
        <v>1.10394219858156</v>
      </c>
      <c r="H56" s="30" t="n">
        <f aca="false">IF($B56="","",E56-F56)</f>
        <v>293117</v>
      </c>
      <c r="I56" s="30" t="n">
        <f aca="false">IF($B56="","",INDEX(店舗マスタ!$I$5:$I$304,MATCH($B56,店舗マスタ!$B$5:$B$304,0)))</f>
        <v>1836100</v>
      </c>
      <c r="J56" s="32" t="n">
        <f aca="false">IF($B56="","",IF(I56=0,"前年実績なし",E56/I56))</f>
        <v>1.6955051467785</v>
      </c>
      <c r="K56" s="30" t="n">
        <f aca="false">IF($B56="","",E56-I56)</f>
        <v>1277017</v>
      </c>
    </row>
    <row r="57" customFormat="false" ht="15" hidden="false" customHeight="false" outlineLevel="0" collapsed="false">
      <c r="A57" s="28" t="str">
        <f aca="false">IF($B57="","","複合（アルチビオ＋ピッコーネ系）")</f>
        <v>複合（アルチビオ＋ピッコーネ系）</v>
      </c>
      <c r="B57" s="29" t="n">
        <f aca="false">IFERROR(INDEX(店舗マスタ!$B$5:$B$304,MATCH("複合（アルチビオ＋ピッコーネ系）|2",店舗マスタ!$L$5:$L$304,0)),"")</f>
        <v>32570800</v>
      </c>
      <c r="C57" s="28" t="str">
        <f aca="false">IF($B57="","",INDEX(店舗マスタ!$C$5:$C$304,MATCH($B57,店舗マスタ!$B$5:$B$304,0)))</f>
        <v>高島屋京都店</v>
      </c>
      <c r="D57" s="28" t="str">
        <f aca="false">IF($B57="","",INDEX(店舗マスタ!$D$5:$D$304,MATCH($B57,店舗マスタ!$B$5:$B$304,0)))</f>
        <v>アルチビオ・ピッコーネクラブ</v>
      </c>
      <c r="E57" s="30" t="n">
        <f aca="false">IF($B57="","",INDEX(店舗マスタ!$G$5:$G$304,MATCH($B57,店舗マスタ!$B$5:$B$304,0)))</f>
        <v>2791782</v>
      </c>
      <c r="F57" s="30" t="n">
        <f aca="false">IF($B57="","",INDEX(店舗マスタ!$H$5:$H$304,MATCH($B57,店舗マスタ!$B$5:$B$304,0)))</f>
        <v>2782000</v>
      </c>
      <c r="G57" s="31" t="n">
        <f aca="false">IF($B57="","",IF(F57=0,"-",E57/F57))</f>
        <v>1.00351617541337</v>
      </c>
      <c r="H57" s="30" t="n">
        <f aca="false">IF($B57="","",E57-F57)</f>
        <v>9782</v>
      </c>
      <c r="I57" s="30" t="n">
        <f aca="false">IF($B57="","",INDEX(店舗マスタ!$I$5:$I$304,MATCH($B57,店舗マスタ!$B$5:$B$304,0)))</f>
        <v>2122155</v>
      </c>
      <c r="J57" s="32" t="n">
        <f aca="false">IF($B57="","",IF(I57=0,"前年実績なし",E57/I57))</f>
        <v>1.31554104200683</v>
      </c>
      <c r="K57" s="30" t="n">
        <f aca="false">IF($B57="","",E57-I57)</f>
        <v>669627</v>
      </c>
    </row>
    <row r="58" customFormat="false" ht="15" hidden="false" customHeight="false" outlineLevel="0" collapsed="false">
      <c r="A58" s="28" t="str">
        <f aca="false">IF($B58="","","複合（アルチビオ＋ピッコーネ系）")</f>
        <v>複合（アルチビオ＋ピッコーネ系）</v>
      </c>
      <c r="B58" s="29" t="n">
        <f aca="false">IFERROR(INDEX(店舗マスタ!$B$5:$B$304,MATCH("複合（アルチビオ＋ピッコーネ系）|3",店舗マスタ!$L$5:$L$304,0)),"")</f>
        <v>32572200</v>
      </c>
      <c r="C58" s="28" t="str">
        <f aca="false">IF($B58="","",INDEX(店舗マスタ!$C$5:$C$304,MATCH($B58,店舗マスタ!$B$5:$B$304,0)))</f>
        <v>松坂屋名古屋店</v>
      </c>
      <c r="D58" s="28" t="str">
        <f aca="false">IF($B58="","",INDEX(店舗マスタ!$D$5:$D$304,MATCH($B58,店舗マスタ!$B$5:$B$304,0)))</f>
        <v>アルチビオ・ピッコーネクラブ</v>
      </c>
      <c r="E58" s="30" t="n">
        <f aca="false">IF($B58="","",INDEX(店舗マスタ!$G$5:$G$304,MATCH($B58,店舗マスタ!$B$5:$B$304,0)))</f>
        <v>3842428</v>
      </c>
      <c r="F58" s="30" t="n">
        <f aca="false">IF($B58="","",INDEX(店舗マスタ!$H$5:$H$304,MATCH($B58,店舗マスタ!$B$5:$B$304,0)))</f>
        <v>6627000</v>
      </c>
      <c r="G58" s="31" t="n">
        <f aca="false">IF($B58="","",IF(F58=0,"-",E58/F58))</f>
        <v>0.579814093858458</v>
      </c>
      <c r="H58" s="30" t="n">
        <f aca="false">IF($B58="","",E58-F58)</f>
        <v>-2784572</v>
      </c>
      <c r="I58" s="30" t="n">
        <f aca="false">IF($B58="","",INDEX(店舗マスタ!$I$5:$I$304,MATCH($B58,店舗マスタ!$B$5:$B$304,0)))</f>
        <v>6146895</v>
      </c>
      <c r="J58" s="32" t="n">
        <f aca="false">IF($B58="","",IF(I58=0,"前年実績なし",E58/I58))</f>
        <v>0.625100640241943</v>
      </c>
      <c r="K58" s="30" t="n">
        <f aca="false">IF($B58="","",E58-I58)</f>
        <v>-2304467</v>
      </c>
    </row>
    <row r="59" customFormat="false" ht="15" hidden="false" customHeight="false" outlineLevel="0" collapsed="false">
      <c r="A59" s="28" t="str">
        <f aca="false">IF($B59="","","複合（アルチビオ＋ピッコーネ系）")</f>
        <v>複合（アルチビオ＋ピッコーネ系）</v>
      </c>
      <c r="B59" s="29" t="n">
        <f aca="false">IFERROR(INDEX(店舗マスタ!$B$5:$B$304,MATCH("複合（アルチビオ＋ピッコーネ系）|4",店舗マスタ!$L$5:$L$304,0)),"")</f>
        <v>32573300</v>
      </c>
      <c r="C59" s="28" t="str">
        <f aca="false">IF($B59="","",INDEX(店舗マスタ!$C$5:$C$304,MATCH($B59,店舗マスタ!$B$5:$B$304,0)))</f>
        <v>あべのハルカス近鉄本店</v>
      </c>
      <c r="D59" s="28" t="str">
        <f aca="false">IF($B59="","",INDEX(店舗マスタ!$D$5:$D$304,MATCH($B59,店舗マスタ!$B$5:$B$304,0)))</f>
        <v>アルチビオ・ピッコ</v>
      </c>
      <c r="E59" s="30" t="n">
        <f aca="false">IF($B59="","",INDEX(店舗マスタ!$G$5:$G$304,MATCH($B59,店舗マスタ!$B$5:$B$304,0)))</f>
        <v>1647880</v>
      </c>
      <c r="F59" s="30" t="n">
        <f aca="false">IF($B59="","",INDEX(店舗マスタ!$H$5:$H$304,MATCH($B59,店舗マスタ!$B$5:$B$304,0)))</f>
        <v>2207000</v>
      </c>
      <c r="G59" s="31" t="n">
        <f aca="false">IF($B59="","",IF(F59=0,"-",E59/F59))</f>
        <v>0.74666062528319</v>
      </c>
      <c r="H59" s="30" t="n">
        <f aca="false">IF($B59="","",E59-F59)</f>
        <v>-559120</v>
      </c>
      <c r="I59" s="30" t="n">
        <f aca="false">IF($B59="","",INDEX(店舗マスタ!$I$5:$I$304,MATCH($B59,店舗マスタ!$B$5:$B$304,0)))</f>
        <v>1610900</v>
      </c>
      <c r="J59" s="32" t="n">
        <f aca="false">IF($B59="","",IF(I59=0,"前年実績なし",E59/I59))</f>
        <v>1.02295611149047</v>
      </c>
      <c r="K59" s="30" t="n">
        <f aca="false">IF($B59="","",E59-I59)</f>
        <v>36980</v>
      </c>
    </row>
    <row r="60" customFormat="false" ht="15" hidden="false" customHeight="false" outlineLevel="0" collapsed="false">
      <c r="A60" s="28" t="str">
        <f aca="false">IF($B60="","","複合（アルチビオ＋ピッコーネ系）")</f>
        <v>複合（アルチビオ＋ピッコーネ系）</v>
      </c>
      <c r="B60" s="29" t="n">
        <f aca="false">IFERROR(INDEX(店舗マスタ!$B$5:$B$304,MATCH("複合（アルチビオ＋ピッコーネ系）|5",店舗マスタ!$L$5:$L$304,0)),"")</f>
        <v>32671500</v>
      </c>
      <c r="C60" s="28" t="str">
        <f aca="false">IF($B60="","",INDEX(店舗マスタ!$C$5:$C$304,MATCH($B60,店舗マスタ!$B$5:$B$304,0)))</f>
        <v>札幌三越</v>
      </c>
      <c r="D60" s="28" t="str">
        <f aca="false">IF($B60="","",INDEX(店舗マスタ!$D$5:$D$304,MATCH($B60,店舗マスタ!$B$5:$B$304,0)))</f>
        <v>ピッコーネ・アルチビオ</v>
      </c>
      <c r="E60" s="30" t="n">
        <f aca="false">IF($B60="","",INDEX(店舗マスタ!$G$5:$G$304,MATCH($B60,店舗マスタ!$B$5:$B$304,0)))</f>
        <v>2572970</v>
      </c>
      <c r="F60" s="30" t="n">
        <f aca="false">IF($B60="","",INDEX(店舗マスタ!$H$5:$H$304,MATCH($B60,店舗マスタ!$B$5:$B$304,0)))</f>
        <v>3404000</v>
      </c>
      <c r="G60" s="31" t="n">
        <f aca="false">IF($B60="","",IF(F60=0,"-",E60/F60))</f>
        <v>0.755866627497062</v>
      </c>
      <c r="H60" s="30" t="n">
        <f aca="false">IF($B60="","",E60-F60)</f>
        <v>-831030</v>
      </c>
      <c r="I60" s="30" t="n">
        <f aca="false">IF($B60="","",INDEX(店舗マスタ!$I$5:$I$304,MATCH($B60,店舗マスタ!$B$5:$B$304,0)))</f>
        <v>3225660</v>
      </c>
      <c r="J60" s="32" t="n">
        <f aca="false">IF($B60="","",IF(I60=0,"前年実績なし",E60/I60))</f>
        <v>0.797656913623879</v>
      </c>
      <c r="K60" s="30" t="n">
        <f aca="false">IF($B60="","",E60-I60)</f>
        <v>-652690</v>
      </c>
    </row>
    <row r="61" customFormat="false" ht="15" hidden="false" customHeight="false" outlineLevel="0" collapsed="false">
      <c r="A61" s="28" t="str">
        <f aca="false">IF($B61="","","複合（アルチビオ＋ピッコーネ系）")</f>
        <v/>
      </c>
      <c r="B61" s="29" t="str">
        <f aca="false">IFERROR(INDEX(店舗マスタ!$B$5:$B$304,MATCH("複合（アルチビオ＋ピッコーネ系）|6",店舗マスタ!$L$5:$L$304,0)),"")</f>
        <v/>
      </c>
      <c r="C61" s="28" t="str">
        <f aca="false">IF($B61="","",INDEX(店舗マスタ!$C$5:$C$304,MATCH($B61,店舗マスタ!$B$5:$B$304,0)))</f>
        <v/>
      </c>
      <c r="D61" s="28" t="str">
        <f aca="false">IF($B61="","",INDEX(店舗マスタ!$D$5:$D$304,MATCH($B61,店舗マスタ!$B$5:$B$304,0)))</f>
        <v/>
      </c>
      <c r="E61" s="30" t="str">
        <f aca="false">IF($B61="","",INDEX(店舗マスタ!$G$5:$G$304,MATCH($B61,店舗マスタ!$B$5:$B$304,0)))</f>
        <v/>
      </c>
      <c r="F61" s="30" t="str">
        <f aca="false">IF($B61="","",INDEX(店舗マスタ!$H$5:$H$304,MATCH($B61,店舗マスタ!$B$5:$B$304,0)))</f>
        <v/>
      </c>
      <c r="G61" s="31" t="str">
        <f aca="false">IF($B61="","",IF(F61=0,"-",E61/F61))</f>
        <v/>
      </c>
      <c r="H61" s="30" t="str">
        <f aca="false">IF($B61="","",E61-F61)</f>
        <v/>
      </c>
      <c r="I61" s="30" t="str">
        <f aca="false">IF($B61="","",INDEX(店舗マスタ!$I$5:$I$304,MATCH($B61,店舗マスタ!$B$5:$B$304,0)))</f>
        <v/>
      </c>
      <c r="J61" s="32" t="str">
        <f aca="false">IF($B61="","",IF(I61=0,"前年実績なし",E61/I61))</f>
        <v/>
      </c>
      <c r="K61" s="30" t="str">
        <f aca="false">IF($B61="","",E61-I61)</f>
        <v/>
      </c>
    </row>
    <row r="62" customFormat="false" ht="15" hidden="false" customHeight="false" outlineLevel="0" collapsed="false">
      <c r="A62" s="28" t="str">
        <f aca="false">IF($B62="","","複合（アルチビオ＋ピッコーネ系）")</f>
        <v/>
      </c>
      <c r="B62" s="29" t="str">
        <f aca="false">IFERROR(INDEX(店舗マスタ!$B$5:$B$304,MATCH("複合（アルチビオ＋ピッコーネ系）|7",店舗マスタ!$L$5:$L$304,0)),"")</f>
        <v/>
      </c>
      <c r="C62" s="28" t="str">
        <f aca="false">IF($B62="","",INDEX(店舗マスタ!$C$5:$C$304,MATCH($B62,店舗マスタ!$B$5:$B$304,0)))</f>
        <v/>
      </c>
      <c r="D62" s="28" t="str">
        <f aca="false">IF($B62="","",INDEX(店舗マスタ!$D$5:$D$304,MATCH($B62,店舗マスタ!$B$5:$B$304,0)))</f>
        <v/>
      </c>
      <c r="E62" s="30" t="str">
        <f aca="false">IF($B62="","",INDEX(店舗マスタ!$G$5:$G$304,MATCH($B62,店舗マスタ!$B$5:$B$304,0)))</f>
        <v/>
      </c>
      <c r="F62" s="30" t="str">
        <f aca="false">IF($B62="","",INDEX(店舗マスタ!$H$5:$H$304,MATCH($B62,店舗マスタ!$B$5:$B$304,0)))</f>
        <v/>
      </c>
      <c r="G62" s="31" t="str">
        <f aca="false">IF($B62="","",IF(F62=0,"-",E62/F62))</f>
        <v/>
      </c>
      <c r="H62" s="30" t="str">
        <f aca="false">IF($B62="","",E62-F62)</f>
        <v/>
      </c>
      <c r="I62" s="30" t="str">
        <f aca="false">IF($B62="","",INDEX(店舗マスタ!$I$5:$I$304,MATCH($B62,店舗マスタ!$B$5:$B$304,0)))</f>
        <v/>
      </c>
      <c r="J62" s="32" t="str">
        <f aca="false">IF($B62="","",IF(I62=0,"前年実績なし",E62/I62))</f>
        <v/>
      </c>
      <c r="K62" s="30" t="str">
        <f aca="false">IF($B62="","",E62-I62)</f>
        <v/>
      </c>
    </row>
    <row r="63" customFormat="false" ht="15" hidden="false" customHeight="false" outlineLevel="0" collapsed="false">
      <c r="A63" s="28" t="str">
        <f aca="false">IF($B63="","","複合（アルチビオ＋ピッコーネ系）")</f>
        <v/>
      </c>
      <c r="B63" s="29" t="str">
        <f aca="false">IFERROR(INDEX(店舗マスタ!$B$5:$B$304,MATCH("複合（アルチビオ＋ピッコーネ系）|8",店舗マスタ!$L$5:$L$304,0)),"")</f>
        <v/>
      </c>
      <c r="C63" s="28" t="str">
        <f aca="false">IF($B63="","",INDEX(店舗マスタ!$C$5:$C$304,MATCH($B63,店舗マスタ!$B$5:$B$304,0)))</f>
        <v/>
      </c>
      <c r="D63" s="28" t="str">
        <f aca="false">IF($B63="","",INDEX(店舗マスタ!$D$5:$D$304,MATCH($B63,店舗マスタ!$B$5:$B$304,0)))</f>
        <v/>
      </c>
      <c r="E63" s="30" t="str">
        <f aca="false">IF($B63="","",INDEX(店舗マスタ!$G$5:$G$304,MATCH($B63,店舗マスタ!$B$5:$B$304,0)))</f>
        <v/>
      </c>
      <c r="F63" s="30" t="str">
        <f aca="false">IF($B63="","",INDEX(店舗マスタ!$H$5:$H$304,MATCH($B63,店舗マスタ!$B$5:$B$304,0)))</f>
        <v/>
      </c>
      <c r="G63" s="31" t="str">
        <f aca="false">IF($B63="","",IF(F63=0,"-",E63/F63))</f>
        <v/>
      </c>
      <c r="H63" s="30" t="str">
        <f aca="false">IF($B63="","",E63-F63)</f>
        <v/>
      </c>
      <c r="I63" s="30" t="str">
        <f aca="false">IF($B63="","",INDEX(店舗マスタ!$I$5:$I$304,MATCH($B63,店舗マスタ!$B$5:$B$304,0)))</f>
        <v/>
      </c>
      <c r="J63" s="32" t="str">
        <f aca="false">IF($B63="","",IF(I63=0,"前年実績なし",E63/I63))</f>
        <v/>
      </c>
      <c r="K63" s="30" t="str">
        <f aca="false">IF($B63="","",E63-I63)</f>
        <v/>
      </c>
    </row>
    <row r="64" customFormat="false" ht="15" hidden="false" customHeight="false" outlineLevel="0" collapsed="false">
      <c r="A64" s="33" t="str">
        <f aca="false">"複合（アルチビオ＋ピッコーネ系）　小計（"&amp;COUNT(E56:E63)&amp;"店舗）"</f>
        <v>複合（アルチビオ＋ピッコーネ系）　小計（5店舗）</v>
      </c>
      <c r="B64" s="33"/>
      <c r="C64" s="33"/>
      <c r="D64" s="33"/>
      <c r="E64" s="34" t="n">
        <f aca="false">SUBTOTAL(9,E56:E63)</f>
        <v>13968177</v>
      </c>
      <c r="F64" s="34" t="n">
        <f aca="false">SUBTOTAL(9,F56:F63)</f>
        <v>17840000</v>
      </c>
      <c r="G64" s="35" t="n">
        <f aca="false">IF(F64=0,"-",E64/F64)</f>
        <v>0.782969562780269</v>
      </c>
      <c r="H64" s="34" t="n">
        <f aca="false">E64-F64</f>
        <v>-3871823</v>
      </c>
      <c r="I64" s="34" t="n">
        <f aca="false">SUBTOTAL(9,I56:I63)</f>
        <v>14941710</v>
      </c>
      <c r="J64" s="35" t="n">
        <f aca="false">IF(I64=0,"-",E64/I64)</f>
        <v>0.934844606139458</v>
      </c>
      <c r="K64" s="34" t="n">
        <f aca="false">E64-I64</f>
        <v>-973533</v>
      </c>
    </row>
    <row r="65" customFormat="false" ht="15" hidden="false" customHeight="false" outlineLevel="0" collapsed="false">
      <c r="A65" s="12" t="str">
        <f aca="false">"総合計（"&amp;COUNT(E5:E64)-4&amp;"店舗）"</f>
        <v>総合計（44店舗）</v>
      </c>
      <c r="B65" s="12"/>
      <c r="C65" s="12"/>
      <c r="D65" s="12"/>
      <c r="E65" s="14" t="n">
        <f aca="false">SUBTOTAL(9,E5:E64)</f>
        <v>110138004</v>
      </c>
      <c r="F65" s="14" t="n">
        <f aca="false">SUBTOTAL(9,F5:F64)</f>
        <v>131627000</v>
      </c>
      <c r="G65" s="15" t="n">
        <f aca="false">IF(F65=0,"-",E65/F65)</f>
        <v>0.836743251764456</v>
      </c>
      <c r="H65" s="14" t="n">
        <f aca="false">E65-F65</f>
        <v>-21488996</v>
      </c>
      <c r="I65" s="14" t="n">
        <f aca="false">SUBTOTAL(9,I5:I64)</f>
        <v>112449780</v>
      </c>
      <c r="J65" s="15" t="n">
        <f aca="false">IF(I65=0,"-",E65/I65)</f>
        <v>0.979441702776119</v>
      </c>
      <c r="K65" s="14" t="n">
        <f aca="false">E65-I65</f>
        <v>-2311776</v>
      </c>
    </row>
  </sheetData>
  <mergeCells count="5">
    <mergeCell ref="A19:D19"/>
    <mergeCell ref="A46:D46"/>
    <mergeCell ref="A55:D55"/>
    <mergeCell ref="A64:D64"/>
    <mergeCell ref="A65:D65"/>
  </mergeCells>
  <conditionalFormatting sqref="A5:A18">
    <cfRule type="expression" priority="2" aboveAverage="0" equalAverage="0" bottom="0" percent="0" rank="0" text="" dxfId="3">
      <formula>$B5&lt;&gt;""</formula>
    </cfRule>
  </conditionalFormatting>
  <conditionalFormatting sqref="G5:G18">
    <cfRule type="dataBar" priority="3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{39843E12-52C7-4D56-A89D-DBED2019EC25}</x14:id>
        </ext>
      </extLst>
    </cfRule>
  </conditionalFormatting>
  <conditionalFormatting sqref="J5:J18">
    <cfRule type="dataBar" priority="4">
      <dataBar showValue="1" minLength="10" maxLength="90">
        <cfvo type="num" val="0"/>
        <cfvo type="num" val="1"/>
        <color rgb="FFA9D18E"/>
      </dataBar>
      <extLst>
        <ext xmlns:x14="http://schemas.microsoft.com/office/spreadsheetml/2009/9/main" uri="{B025F937-C7B1-47D3-B67F-A62EFF666E3E}">
          <x14:id>{E5A9DB6F-77CE-484F-B990-59F949DB4FC7}</x14:id>
        </ext>
      </extLst>
    </cfRule>
  </conditionalFormatting>
  <conditionalFormatting sqref="A20:A45">
    <cfRule type="expression" priority="5" aboveAverage="0" equalAverage="0" bottom="0" percent="0" rank="0" text="" dxfId="4">
      <formula>$B20&lt;&gt;""</formula>
    </cfRule>
  </conditionalFormatting>
  <conditionalFormatting sqref="G20:G45">
    <cfRule type="dataBar" priority="6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{9F98C360-1FF1-40C4-86EF-996579D182D3}</x14:id>
        </ext>
      </extLst>
    </cfRule>
  </conditionalFormatting>
  <conditionalFormatting sqref="J20:J45">
    <cfRule type="dataBar" priority="7">
      <dataBar showValue="1" minLength="10" maxLength="90">
        <cfvo type="num" val="0"/>
        <cfvo type="num" val="1"/>
        <color rgb="FFA9D18E"/>
      </dataBar>
      <extLst>
        <ext xmlns:x14="http://schemas.microsoft.com/office/spreadsheetml/2009/9/main" uri="{B025F937-C7B1-47D3-B67F-A62EFF666E3E}">
          <x14:id>{331052CA-D575-4950-847C-B3A9E19B8087}</x14:id>
        </ext>
      </extLst>
    </cfRule>
  </conditionalFormatting>
  <conditionalFormatting sqref="A47:A54">
    <cfRule type="expression" priority="8" aboveAverage="0" equalAverage="0" bottom="0" percent="0" rank="0" text="" dxfId="5">
      <formula>$B47&lt;&gt;""</formula>
    </cfRule>
  </conditionalFormatting>
  <conditionalFormatting sqref="G47:G54">
    <cfRule type="dataBar" priority="9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{5E775A26-29C6-4F74-9B3A-8196E9909640}</x14:id>
        </ext>
      </extLst>
    </cfRule>
  </conditionalFormatting>
  <conditionalFormatting sqref="J47:J54">
    <cfRule type="dataBar" priority="10">
      <dataBar showValue="1" minLength="10" maxLength="90">
        <cfvo type="num" val="0"/>
        <cfvo type="num" val="1"/>
        <color rgb="FFA9D18E"/>
      </dataBar>
      <extLst>
        <ext xmlns:x14="http://schemas.microsoft.com/office/spreadsheetml/2009/9/main" uri="{B025F937-C7B1-47D3-B67F-A62EFF666E3E}">
          <x14:id>{2C72EBE1-5750-46FF-A629-C09DDE9D3FEC}</x14:id>
        </ext>
      </extLst>
    </cfRule>
  </conditionalFormatting>
  <conditionalFormatting sqref="A56:A63">
    <cfRule type="expression" priority="11" aboveAverage="0" equalAverage="0" bottom="0" percent="0" rank="0" text="" dxfId="6">
      <formula>$B56&lt;&gt;""</formula>
    </cfRule>
  </conditionalFormatting>
  <conditionalFormatting sqref="G56:G63">
    <cfRule type="dataBar" priority="12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{32EACC60-F7FD-4193-8330-3143C1E2B480}</x14:id>
        </ext>
      </extLst>
    </cfRule>
  </conditionalFormatting>
  <conditionalFormatting sqref="J56:J63">
    <cfRule type="dataBar" priority="13">
      <dataBar showValue="1" minLength="10" maxLength="90">
        <cfvo type="num" val="0"/>
        <cfvo type="num" val="1"/>
        <color rgb="FFA9D18E"/>
      </dataBar>
      <extLst>
        <ext xmlns:x14="http://schemas.microsoft.com/office/spreadsheetml/2009/9/main" uri="{B025F937-C7B1-47D3-B67F-A62EFF666E3E}">
          <x14:id>{B25DBB21-5BB7-4960-9FA4-C09A5FC17FD6}</x14:id>
        </ext>
      </extLst>
    </cfRule>
  </conditionalFormatting>
  <conditionalFormatting sqref="A5:K64">
    <cfRule type="expression" priority="14" aboveAverage="0" equalAverage="0" bottom="0" percent="0" rank="0" text="" dxfId="7">
      <formula>AND($B5&lt;&gt;"",ISNUMBER($B5))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9843E12-52C7-4D56-A89D-DBED2019EC25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G5:G18</xm:sqref>
        </x14:conditionalFormatting>
        <x14:conditionalFormatting xmlns:xm="http://schemas.microsoft.com/office/excel/2006/main">
          <x14:cfRule type="dataBar" id="{E5A9DB6F-77CE-484F-B990-59F949DB4FC7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A9D18E"/>
              <x14:axisColor rgb="FF000000"/>
            </x14:dataBar>
          </x14:cfRule>
          <xm:sqref>J5:J18</xm:sqref>
        </x14:conditionalFormatting>
        <x14:conditionalFormatting xmlns:xm="http://schemas.microsoft.com/office/excel/2006/main">
          <x14:cfRule type="dataBar" id="{9F98C360-1FF1-40C4-86EF-996579D182D3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G20:G45</xm:sqref>
        </x14:conditionalFormatting>
        <x14:conditionalFormatting xmlns:xm="http://schemas.microsoft.com/office/excel/2006/main">
          <x14:cfRule type="dataBar" id="{331052CA-D575-4950-847C-B3A9E19B8087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A9D18E"/>
              <x14:axisColor rgb="FF000000"/>
            </x14:dataBar>
          </x14:cfRule>
          <xm:sqref>J20:J45</xm:sqref>
        </x14:conditionalFormatting>
        <x14:conditionalFormatting xmlns:xm="http://schemas.microsoft.com/office/excel/2006/main">
          <x14:cfRule type="dataBar" id="{5E775A26-29C6-4F74-9B3A-8196E990964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G47:G54</xm:sqref>
        </x14:conditionalFormatting>
        <x14:conditionalFormatting xmlns:xm="http://schemas.microsoft.com/office/excel/2006/main">
          <x14:cfRule type="dataBar" id="{2C72EBE1-5750-46FF-A629-C09DDE9D3FEC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A9D18E"/>
              <x14:axisColor rgb="FF000000"/>
            </x14:dataBar>
          </x14:cfRule>
          <xm:sqref>J47:J54</xm:sqref>
        </x14:conditionalFormatting>
        <x14:conditionalFormatting xmlns:xm="http://schemas.microsoft.com/office/excel/2006/main">
          <x14:cfRule type="dataBar" id="{32EACC60-F7FD-4193-8330-3143C1E2B48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G56:G63</xm:sqref>
        </x14:conditionalFormatting>
        <x14:conditionalFormatting xmlns:xm="http://schemas.microsoft.com/office/excel/2006/main">
          <x14:cfRule type="dataBar" id="{B25DBB21-5BB7-4960-9FA4-C09A5FC17FD6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A9D18E"/>
              <x14:axisColor rgb="FF000000"/>
            </x14:dataBar>
          </x14:cfRule>
          <xm:sqref>J56:J63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7" min="6" style="0" width="14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2" min="11" style="0" width="14"/>
    <col collapsed="false" customWidth="true" hidden="false" outlineLevel="0" max="13" min="13" style="0" width="9"/>
  </cols>
  <sheetData>
    <row r="1" customFormat="false" ht="19.4" hidden="false" customHeight="false" outlineLevel="0" collapsed="false">
      <c r="A1" s="1" t="str">
        <f aca="false">取込チェック!$H$3</f>
        <v>POS売上 予算・前年対比（2026年9月度／前年同月 2025年9月）</v>
      </c>
    </row>
    <row r="2" customFormat="false" ht="15" hidden="false" customHeight="false" outlineLevel="0" collapsed="false">
      <c r="A2" s="2" t="s">
        <v>60</v>
      </c>
    </row>
    <row r="4" customFormat="false" ht="43.5" hidden="false" customHeight="true" outlineLevel="0" collapsed="false">
      <c r="A4" s="4" t="s">
        <v>52</v>
      </c>
      <c r="B4" s="36" t="s">
        <v>12</v>
      </c>
      <c r="C4" s="37" t="s">
        <v>13</v>
      </c>
      <c r="D4" s="38" t="s">
        <v>14</v>
      </c>
      <c r="E4" s="39" t="s">
        <v>61</v>
      </c>
      <c r="F4" s="4" t="s">
        <v>62</v>
      </c>
      <c r="G4" s="4" t="s">
        <v>63</v>
      </c>
      <c r="H4" s="4" t="s">
        <v>7</v>
      </c>
      <c r="I4" s="4" t="s">
        <v>64</v>
      </c>
      <c r="J4" s="4" t="s">
        <v>10</v>
      </c>
      <c r="K4" s="40" t="s">
        <v>65</v>
      </c>
      <c r="L4" s="41" t="s">
        <v>66</v>
      </c>
      <c r="M4" s="18" t="s">
        <v>21</v>
      </c>
    </row>
    <row r="5" customFormat="false" ht="15" hidden="false" customHeight="false" outlineLevel="0" collapsed="false">
      <c r="A5" s="30" t="str">
        <f aca="false">IFERROR(INDEX(店舗マスタ!$C$5:$C$304,MATCH(1,店舗マスタ!$O$5:$O$304,0)),"")</f>
        <v>高島屋大阪店</v>
      </c>
      <c r="B5" s="30" t="n">
        <f aca="false">IF($A5="","",SUMIFS(店舗マスタ!$G$5:$G$304,店舗マスタ!$C$5:$C$304,$A5,店舗マスタ!$E$5:$E$304,"アルチビオ"))</f>
        <v>2048565</v>
      </c>
      <c r="C5" s="30" t="n">
        <f aca="false">IF($A5="","",SUMIFS(店舗マスタ!$G$5:$G$304,店舗マスタ!$C$5:$C$304,$A5,店舗マスタ!$E$5:$E$304,"スタジオピッコーネ／ピッコーネクラブ"))</f>
        <v>3137700</v>
      </c>
      <c r="D5" s="30" t="n">
        <f aca="false">IF($A5="","",SUMIFS(店舗マスタ!$G$5:$G$304,店舗マスタ!$C$5:$C$304,$A5,店舗マスタ!$E$5:$E$304,"ピッコーネ"))</f>
        <v>0</v>
      </c>
      <c r="E5" s="30" t="n">
        <f aca="false">IF($A5="","",SUMIFS(店舗マスタ!$G$5:$G$304,店舗マスタ!$C$5:$C$304,$A5,店舗マスタ!$E$5:$E$304,"複合（アルチビオ＋ピッコーネ系）"))</f>
        <v>0</v>
      </c>
      <c r="F5" s="30" t="n">
        <f aca="false">IF($A5="","",SUM(B5:E5))</f>
        <v>5186265</v>
      </c>
      <c r="G5" s="30" t="n">
        <f aca="false">IF($A5="","",SUMIFS(店舗マスタ!$H$5:$H$304,店舗マスタ!$C$5:$C$304,$A5))</f>
        <v>6470000</v>
      </c>
      <c r="H5" s="31" t="n">
        <f aca="false">IF($A5="","",IF(G5=0,"-",F5/G5))</f>
        <v>0.801586553323029</v>
      </c>
      <c r="I5" s="30" t="n">
        <f aca="false">IF($A5="","",SUMIFS(店舗マスタ!$I$5:$I$304,店舗マスタ!$C$5:$C$304,$A5))</f>
        <v>6273090</v>
      </c>
      <c r="J5" s="32" t="n">
        <f aca="false">IF($A5="","",IF(I5=0,"前年実績なし",F5/I5))</f>
        <v>0.826748061959895</v>
      </c>
      <c r="K5" s="30" t="n">
        <f aca="false">IF(OR($A5="",取込チェック!$K$3=0),"",SUMIFS(店舗マスタ!$P$5:$P$304,店舗マスタ!$C$5:$C$304,$A5))</f>
        <v>5097535</v>
      </c>
      <c r="L5" s="30" t="n">
        <f aca="false">IF(K5="","",F5-K5)</f>
        <v>88730</v>
      </c>
      <c r="M5" s="31" t="n">
        <f aca="false">IF(L5="","",IF(F5=0,"-",L5/F5))</f>
        <v>0.0171086514090584</v>
      </c>
    </row>
    <row r="6" customFormat="false" ht="15" hidden="false" customHeight="false" outlineLevel="0" collapsed="false">
      <c r="A6" s="30" t="str">
        <f aca="false">IFERROR(INDEX(店舗マスタ!$C$5:$C$304,MATCH(2,店舗マスタ!$O$5:$O$304,0)),"")</f>
        <v>西宮阪急店</v>
      </c>
      <c r="B6" s="30" t="n">
        <f aca="false">IF($A6="","",SUMIFS(店舗マスタ!$G$5:$G$304,店舗マスタ!$C$5:$C$304,$A6,店舗マスタ!$E$5:$E$304,"アルチビオ"))</f>
        <v>0</v>
      </c>
      <c r="C6" s="30" t="n">
        <f aca="false">IF($A6="","",SUMIFS(店舗マスタ!$G$5:$G$304,店舗マスタ!$C$5:$C$304,$A6,店舗マスタ!$E$5:$E$304,"スタジオピッコーネ／ピッコーネクラブ"))</f>
        <v>0</v>
      </c>
      <c r="D6" s="30" t="n">
        <f aca="false">IF($A6="","",SUMIFS(店舗マスタ!$G$5:$G$304,店舗マスタ!$C$5:$C$304,$A6,店舗マスタ!$E$5:$E$304,"ピッコーネ"))</f>
        <v>0</v>
      </c>
      <c r="E6" s="30" t="n">
        <f aca="false">IF($A6="","",SUMIFS(店舗マスタ!$G$5:$G$304,店舗マスタ!$C$5:$C$304,$A6,店舗マスタ!$E$5:$E$304,"複合（アルチビオ＋ピッコーネ系）"))</f>
        <v>3113117</v>
      </c>
      <c r="F6" s="30" t="n">
        <f aca="false">IF($A6="","",SUM(B6:E6))</f>
        <v>3113117</v>
      </c>
      <c r="G6" s="30" t="n">
        <f aca="false">IF($A6="","",SUMIFS(店舗マスタ!$H$5:$H$304,店舗マスタ!$C$5:$C$304,$A6))</f>
        <v>2820000</v>
      </c>
      <c r="H6" s="31" t="n">
        <f aca="false">IF($A6="","",IF(G6=0,"-",F6/G6))</f>
        <v>1.10394219858156</v>
      </c>
      <c r="I6" s="30" t="n">
        <f aca="false">IF($A6="","",SUMIFS(店舗マスタ!$I$5:$I$304,店舗マスタ!$C$5:$C$304,$A6))</f>
        <v>1836100</v>
      </c>
      <c r="J6" s="32" t="n">
        <f aca="false">IF($A6="","",IF(I6=0,"前年実績なし",F6/I6))</f>
        <v>1.6955051467785</v>
      </c>
      <c r="K6" s="30" t="n">
        <f aca="false">IF(OR($A6="",取込チェック!$K$3=0),"",SUMIFS(店舗マスタ!$P$5:$P$304,店舗マスタ!$C$5:$C$304,$A6))</f>
        <v>2262257</v>
      </c>
      <c r="L6" s="30" t="n">
        <f aca="false">IF(K6="","",F6-K6)</f>
        <v>850860</v>
      </c>
      <c r="M6" s="31" t="n">
        <f aca="false">IF(L6="","",IF(F6=0,"-",L6/F6))</f>
        <v>0.273314494765214</v>
      </c>
    </row>
    <row r="7" customFormat="false" ht="15" hidden="false" customHeight="false" outlineLevel="0" collapsed="false">
      <c r="A7" s="30" t="str">
        <f aca="false">IFERROR(INDEX(店舗マスタ!$C$5:$C$304,MATCH(3,店舗マスタ!$O$5:$O$304,0)),"")</f>
        <v>高島屋京都店</v>
      </c>
      <c r="B7" s="30" t="n">
        <f aca="false">IF($A7="","",SUMIFS(店舗マスタ!$G$5:$G$304,店舗マスタ!$C$5:$C$304,$A7,店舗マスタ!$E$5:$E$304,"アルチビオ"))</f>
        <v>0</v>
      </c>
      <c r="C7" s="30" t="n">
        <f aca="false">IF($A7="","",SUMIFS(店舗マスタ!$G$5:$G$304,店舗マスタ!$C$5:$C$304,$A7,店舗マスタ!$E$5:$E$304,"スタジオピッコーネ／ピッコーネクラブ"))</f>
        <v>0</v>
      </c>
      <c r="D7" s="30" t="n">
        <f aca="false">IF($A7="","",SUMIFS(店舗マスタ!$G$5:$G$304,店舗マスタ!$C$5:$C$304,$A7,店舗マスタ!$E$5:$E$304,"ピッコーネ"))</f>
        <v>0</v>
      </c>
      <c r="E7" s="30" t="n">
        <f aca="false">IF($A7="","",SUMIFS(店舗マスタ!$G$5:$G$304,店舗マスタ!$C$5:$C$304,$A7,店舗マスタ!$E$5:$E$304,"複合（アルチビオ＋ピッコーネ系）"))</f>
        <v>2791782</v>
      </c>
      <c r="F7" s="30" t="n">
        <f aca="false">IF($A7="","",SUM(B7:E7))</f>
        <v>2791782</v>
      </c>
      <c r="G7" s="30" t="n">
        <f aca="false">IF($A7="","",SUMIFS(店舗マスタ!$H$5:$H$304,店舗マスタ!$C$5:$C$304,$A7))</f>
        <v>2782000</v>
      </c>
      <c r="H7" s="31" t="n">
        <f aca="false">IF($A7="","",IF(G7=0,"-",F7/G7))</f>
        <v>1.00351617541337</v>
      </c>
      <c r="I7" s="30" t="n">
        <f aca="false">IF($A7="","",SUMIFS(店舗マスタ!$I$5:$I$304,店舗マスタ!$C$5:$C$304,$A7))</f>
        <v>2122155</v>
      </c>
      <c r="J7" s="32" t="n">
        <f aca="false">IF($A7="","",IF(I7=0,"前年実績なし",F7/I7))</f>
        <v>1.31554104200683</v>
      </c>
      <c r="K7" s="30" t="n">
        <f aca="false">IF(OR($A7="",取込チェック!$K$3=0),"",SUMIFS(店舗マスタ!$P$5:$P$304,店舗マスタ!$C$5:$C$304,$A7))</f>
        <v>1985522</v>
      </c>
      <c r="L7" s="30" t="n">
        <f aca="false">IF(K7="","",F7-K7)</f>
        <v>806260</v>
      </c>
      <c r="M7" s="31" t="n">
        <f aca="false">IF(L7="","",IF(F7=0,"-",L7/F7))</f>
        <v>0.288797621017687</v>
      </c>
    </row>
    <row r="8" customFormat="false" ht="15" hidden="false" customHeight="false" outlineLevel="0" collapsed="false">
      <c r="A8" s="30" t="str">
        <f aca="false">IFERROR(INDEX(店舗マスタ!$C$5:$C$304,MATCH(4,店舗マスタ!$O$5:$O$304,0)),"")</f>
        <v>ジェイアール名古屋タカシマヤ店</v>
      </c>
      <c r="B8" s="30" t="n">
        <f aca="false">IF($A8="","",SUMIFS(店舗マスタ!$G$5:$G$304,店舗マスタ!$C$5:$C$304,$A8,店舗マスタ!$E$5:$E$304,"アルチビオ"))</f>
        <v>3250690</v>
      </c>
      <c r="C8" s="30" t="n">
        <f aca="false">IF($A8="","",SUMIFS(店舗マスタ!$G$5:$G$304,店舗マスタ!$C$5:$C$304,$A8,店舗マスタ!$E$5:$E$304,"スタジオピッコーネ／ピッコーネクラブ"))</f>
        <v>0</v>
      </c>
      <c r="D8" s="30" t="n">
        <f aca="false">IF($A8="","",SUMIFS(店舗マスタ!$G$5:$G$304,店舗マスタ!$C$5:$C$304,$A8,店舗マスタ!$E$5:$E$304,"ピッコーネ"))</f>
        <v>0</v>
      </c>
      <c r="E8" s="30" t="n">
        <f aca="false">IF($A8="","",SUMIFS(店舗マスタ!$G$5:$G$304,店舗マスタ!$C$5:$C$304,$A8,店舗マスタ!$E$5:$E$304,"複合（アルチビオ＋ピッコーネ系）"))</f>
        <v>0</v>
      </c>
      <c r="F8" s="30" t="n">
        <f aca="false">IF($A8="","",SUM(B8:E8))</f>
        <v>3250690</v>
      </c>
      <c r="G8" s="30" t="n">
        <f aca="false">IF($A8="","",SUMIFS(店舗マスタ!$H$5:$H$304,店舗マスタ!$C$5:$C$304,$A8))</f>
        <v>3681000</v>
      </c>
      <c r="H8" s="31" t="n">
        <f aca="false">IF($A8="","",IF(G8=0,"-",F8/G8))</f>
        <v>0.883099701168161</v>
      </c>
      <c r="I8" s="30" t="n">
        <f aca="false">IF($A8="","",SUMIFS(店舗マスタ!$I$5:$I$304,店舗マスタ!$C$5:$C$304,$A8))</f>
        <v>3216380</v>
      </c>
      <c r="J8" s="32" t="n">
        <f aca="false">IF($A8="","",IF(I8=0,"前年実績なし",F8/I8))</f>
        <v>1.01066727190195</v>
      </c>
      <c r="K8" s="30" t="n">
        <f aca="false">IF(OR($A8="",取込チェック!$K$3=0),"",SUMIFS(店舗マスタ!$P$5:$P$304,店舗マスタ!$C$5:$C$304,$A8))</f>
        <v>2783500</v>
      </c>
      <c r="L8" s="30" t="n">
        <f aca="false">IF(K8="","",F8-K8)</f>
        <v>467190</v>
      </c>
      <c r="M8" s="31" t="n">
        <f aca="false">IF(L8="","",IF(F8=0,"-",L8/F8))</f>
        <v>0.143720256314813</v>
      </c>
    </row>
    <row r="9" customFormat="false" ht="15" hidden="false" customHeight="false" outlineLevel="0" collapsed="false">
      <c r="A9" s="30" t="str">
        <f aca="false">IFERROR(INDEX(店舗マスタ!$C$5:$C$304,MATCH(5,店舗マスタ!$O$5:$O$304,0)),"")</f>
        <v>松坂屋名古屋店</v>
      </c>
      <c r="B9" s="30" t="n">
        <f aca="false">IF($A9="","",SUMIFS(店舗マスタ!$G$5:$G$304,店舗マスタ!$C$5:$C$304,$A9,店舗マスタ!$E$5:$E$304,"アルチビオ"))</f>
        <v>0</v>
      </c>
      <c r="C9" s="30" t="n">
        <f aca="false">IF($A9="","",SUMIFS(店舗マスタ!$G$5:$G$304,店舗マスタ!$C$5:$C$304,$A9,店舗マスタ!$E$5:$E$304,"スタジオピッコーネ／ピッコーネクラブ"))</f>
        <v>0</v>
      </c>
      <c r="D9" s="30" t="n">
        <f aca="false">IF($A9="","",SUMIFS(店舗マスタ!$G$5:$G$304,店舗マスタ!$C$5:$C$304,$A9,店舗マスタ!$E$5:$E$304,"ピッコーネ"))</f>
        <v>0</v>
      </c>
      <c r="E9" s="30" t="n">
        <f aca="false">IF($A9="","",SUMIFS(店舗マスタ!$G$5:$G$304,店舗マスタ!$C$5:$C$304,$A9,店舗マスタ!$E$5:$E$304,"複合（アルチビオ＋ピッコーネ系）"))</f>
        <v>3842428</v>
      </c>
      <c r="F9" s="30" t="n">
        <f aca="false">IF($A9="","",SUM(B9:E9))</f>
        <v>3842428</v>
      </c>
      <c r="G9" s="30" t="n">
        <f aca="false">IF($A9="","",SUMIFS(店舗マスタ!$H$5:$H$304,店舗マスタ!$C$5:$C$304,$A9))</f>
        <v>6627000</v>
      </c>
      <c r="H9" s="31" t="n">
        <f aca="false">IF($A9="","",IF(G9=0,"-",F9/G9))</f>
        <v>0.579814093858458</v>
      </c>
      <c r="I9" s="30" t="n">
        <f aca="false">IF($A9="","",SUMIFS(店舗マスタ!$I$5:$I$304,店舗マスタ!$C$5:$C$304,$A9))</f>
        <v>6146895</v>
      </c>
      <c r="J9" s="32" t="n">
        <f aca="false">IF($A9="","",IF(I9=0,"前年実績なし",F9/I9))</f>
        <v>0.625100640241943</v>
      </c>
      <c r="K9" s="30" t="n">
        <f aca="false">IF(OR($A9="",取込チェック!$K$3=0),"",SUMIFS(店舗マスタ!$P$5:$P$304,店舗マスタ!$C$5:$C$304,$A9))</f>
        <v>2779498</v>
      </c>
      <c r="L9" s="30" t="n">
        <f aca="false">IF(K9="","",F9-K9)</f>
        <v>1062930</v>
      </c>
      <c r="M9" s="31" t="n">
        <f aca="false">IF(L9="","",IF(F9=0,"-",L9/F9))</f>
        <v>0.276629776797379</v>
      </c>
    </row>
    <row r="10" customFormat="false" ht="15" hidden="false" customHeight="false" outlineLevel="0" collapsed="false">
      <c r="A10" s="30" t="str">
        <f aca="false">IFERROR(INDEX(店舗マスタ!$C$5:$C$304,MATCH(6,店舗マスタ!$O$5:$O$304,0)),"")</f>
        <v>大丸福岡天神店</v>
      </c>
      <c r="B10" s="30" t="n">
        <f aca="false">IF($A10="","",SUMIFS(店舗マスタ!$G$5:$G$304,店舗マスタ!$C$5:$C$304,$A10,店舗マスタ!$E$5:$E$304,"アルチビオ"))</f>
        <v>0</v>
      </c>
      <c r="C10" s="30" t="n">
        <f aca="false">IF($A10="","",SUMIFS(店舗マスタ!$G$5:$G$304,店舗マスタ!$C$5:$C$304,$A10,店舗マスタ!$E$5:$E$304,"スタジオピッコーネ／ピッコーネクラブ"))</f>
        <v>2083600</v>
      </c>
      <c r="D10" s="30" t="n">
        <f aca="false">IF($A10="","",SUMIFS(店舗マスタ!$G$5:$G$304,店舗マスタ!$C$5:$C$304,$A10,店舗マスタ!$E$5:$E$304,"ピッコーネ"))</f>
        <v>0</v>
      </c>
      <c r="E10" s="30" t="n">
        <f aca="false">IF($A10="","",SUMIFS(店舗マスタ!$G$5:$G$304,店舗マスタ!$C$5:$C$304,$A10,店舗マスタ!$E$5:$E$304,"複合（アルチビオ＋ピッコーネ系）"))</f>
        <v>0</v>
      </c>
      <c r="F10" s="30" t="n">
        <f aca="false">IF($A10="","",SUM(B10:E10))</f>
        <v>2083600</v>
      </c>
      <c r="G10" s="30" t="n">
        <f aca="false">IF($A10="","",SUMIFS(店舗マスタ!$H$5:$H$304,店舗マスタ!$C$5:$C$304,$A10))</f>
        <v>2100000</v>
      </c>
      <c r="H10" s="31" t="n">
        <f aca="false">IF($A10="","",IF(G10=0,"-",F10/G10))</f>
        <v>0.992190476190476</v>
      </c>
      <c r="I10" s="30" t="n">
        <f aca="false">IF($A10="","",SUMIFS(店舗マスタ!$I$5:$I$304,店舗マスタ!$C$5:$C$304,$A10))</f>
        <v>1633800</v>
      </c>
      <c r="J10" s="32" t="n">
        <f aca="false">IF($A10="","",IF(I10=0,"前年実績なし",F10/I10))</f>
        <v>1.27530909536051</v>
      </c>
      <c r="K10" s="30" t="n">
        <f aca="false">IF(OR($A10="",取込チェック!$K$3=0),"",SUMIFS(店舗マスタ!$P$5:$P$304,店舗マスタ!$C$5:$C$304,$A10))</f>
        <v>1681900</v>
      </c>
      <c r="L10" s="30" t="n">
        <f aca="false">IF(K10="","",F10-K10)</f>
        <v>401700</v>
      </c>
      <c r="M10" s="31" t="n">
        <f aca="false">IF(L10="","",IF(F10=0,"-",L10/F10))</f>
        <v>0.192791322710693</v>
      </c>
    </row>
    <row r="11" customFormat="false" ht="15" hidden="false" customHeight="false" outlineLevel="0" collapsed="false">
      <c r="A11" s="30" t="str">
        <f aca="false">IFERROR(INDEX(店舗マスタ!$C$5:$C$304,MATCH(7,店舗マスタ!$O$5:$O$304,0)),"")</f>
        <v>あべのハルカス近鉄本店</v>
      </c>
      <c r="B11" s="30" t="n">
        <f aca="false">IF($A11="","",SUMIFS(店舗マスタ!$G$5:$G$304,店舗マスタ!$C$5:$C$304,$A11,店舗マスタ!$E$5:$E$304,"アルチビオ"))</f>
        <v>0</v>
      </c>
      <c r="C11" s="30" t="n">
        <f aca="false">IF($A11="","",SUMIFS(店舗マスタ!$G$5:$G$304,店舗マスタ!$C$5:$C$304,$A11,店舗マスタ!$E$5:$E$304,"スタジオピッコーネ／ピッコーネクラブ"))</f>
        <v>3507580</v>
      </c>
      <c r="D11" s="30" t="n">
        <f aca="false">IF($A11="","",SUMIFS(店舗マスタ!$G$5:$G$304,店舗マスタ!$C$5:$C$304,$A11,店舗マスタ!$E$5:$E$304,"ピッコーネ"))</f>
        <v>0</v>
      </c>
      <c r="E11" s="30" t="n">
        <f aca="false">IF($A11="","",SUMIFS(店舗マスタ!$G$5:$G$304,店舗マスタ!$C$5:$C$304,$A11,店舗マスタ!$E$5:$E$304,"複合（アルチビオ＋ピッコーネ系）"))</f>
        <v>1647880</v>
      </c>
      <c r="F11" s="30" t="n">
        <f aca="false">IF($A11="","",SUM(B11:E11))</f>
        <v>5155460</v>
      </c>
      <c r="G11" s="30" t="n">
        <f aca="false">IF($A11="","",SUMIFS(店舗マスタ!$H$5:$H$304,店舗マスタ!$C$5:$C$304,$A11))</f>
        <v>6327000</v>
      </c>
      <c r="H11" s="31" t="n">
        <f aca="false">IF($A11="","",IF(G11=0,"-",F11/G11))</f>
        <v>0.814834834834835</v>
      </c>
      <c r="I11" s="30" t="n">
        <f aca="false">IF($A11="","",SUMIFS(店舗マスタ!$I$5:$I$304,店舗マスタ!$C$5:$C$304,$A11))</f>
        <v>5613995</v>
      </c>
      <c r="J11" s="32" t="n">
        <f aca="false">IF($A11="","",IF(I11=0,"前年実績なし",F11/I11))</f>
        <v>0.918322869899243</v>
      </c>
      <c r="K11" s="30" t="n">
        <f aca="false">IF(OR($A11="",取込チェック!$K$3=0),"",SUMIFS(店舗マスタ!$P$5:$P$304,店舗マスタ!$C$5:$C$304,$A11))</f>
        <v>4667120</v>
      </c>
      <c r="L11" s="30" t="n">
        <f aca="false">IF(K11="","",F11-K11)</f>
        <v>488340</v>
      </c>
      <c r="M11" s="31" t="n">
        <f aca="false">IF(L11="","",IF(F11=0,"-",L11/F11))</f>
        <v>0.0947228763291733</v>
      </c>
    </row>
    <row r="12" customFormat="false" ht="15" hidden="false" customHeight="false" outlineLevel="0" collapsed="false">
      <c r="A12" s="30" t="str">
        <f aca="false">IFERROR(INDEX(店舗マスタ!$C$5:$C$304,MATCH(8,店舗マスタ!$O$5:$O$304,0)),"")</f>
        <v>近鉄百貨店和歌山店</v>
      </c>
      <c r="B12" s="30" t="n">
        <f aca="false">IF($A12="","",SUMIFS(店舗マスタ!$G$5:$G$304,店舗マスタ!$C$5:$C$304,$A12,店舗マスタ!$E$5:$E$304,"アルチビオ"))</f>
        <v>0</v>
      </c>
      <c r="C12" s="30" t="n">
        <f aca="false">IF($A12="","",SUMIFS(店舗マスタ!$G$5:$G$304,店舗マスタ!$C$5:$C$304,$A12,店舗マスタ!$E$5:$E$304,"スタジオピッコーネ／ピッコーネクラブ"))</f>
        <v>1872645</v>
      </c>
      <c r="D12" s="30" t="n">
        <f aca="false">IF($A12="","",SUMIFS(店舗マスタ!$G$5:$G$304,店舗マスタ!$C$5:$C$304,$A12,店舗マスタ!$E$5:$E$304,"ピッコーネ"))</f>
        <v>0</v>
      </c>
      <c r="E12" s="30" t="n">
        <f aca="false">IF($A12="","",SUMIFS(店舗マスタ!$G$5:$G$304,店舗マスタ!$C$5:$C$304,$A12,店舗マスタ!$E$5:$E$304,"複合（アルチビオ＋ピッコーネ系）"))</f>
        <v>0</v>
      </c>
      <c r="F12" s="30" t="n">
        <f aca="false">IF($A12="","",SUM(B12:E12))</f>
        <v>1872645</v>
      </c>
      <c r="G12" s="30" t="n">
        <f aca="false">IF($A12="","",SUMIFS(店舗マスタ!$H$5:$H$304,店舗マスタ!$C$5:$C$304,$A12))</f>
        <v>2300000</v>
      </c>
      <c r="H12" s="31" t="n">
        <f aca="false">IF($A12="","",IF(G12=0,"-",F12/G12))</f>
        <v>0.81419347826087</v>
      </c>
      <c r="I12" s="30" t="n">
        <f aca="false">IF($A12="","",SUMIFS(店舗マスタ!$I$5:$I$304,店舗マスタ!$C$5:$C$304,$A12))</f>
        <v>2355195</v>
      </c>
      <c r="J12" s="32" t="n">
        <f aca="false">IF($A12="","",IF(I12=0,"前年実績なし",F12/I12))</f>
        <v>0.795112506607733</v>
      </c>
      <c r="K12" s="30" t="n">
        <f aca="false">IF(OR($A12="",取込チェック!$K$3=0),"",SUMIFS(店舗マスタ!$P$5:$P$304,店舗マスタ!$C$5:$C$304,$A12))</f>
        <v>1742245</v>
      </c>
      <c r="L12" s="30" t="n">
        <f aca="false">IF(K12="","",F12-K12)</f>
        <v>130400</v>
      </c>
      <c r="M12" s="31" t="n">
        <f aca="false">IF(L12="","",IF(F12=0,"-",L12/F12))</f>
        <v>0.0696341271303424</v>
      </c>
    </row>
    <row r="13" customFormat="false" ht="15" hidden="false" customHeight="false" outlineLevel="0" collapsed="false">
      <c r="A13" s="30" t="str">
        <f aca="false">IFERROR(INDEX(店舗マスタ!$C$5:$C$304,MATCH(9,店舗マスタ!$O$5:$O$304,0)),"")</f>
        <v>近鉄百貨店上本町店</v>
      </c>
      <c r="B13" s="30" t="n">
        <f aca="false">IF($A13="","",SUMIFS(店舗マスタ!$G$5:$G$304,店舗マスタ!$C$5:$C$304,$A13,店舗マスタ!$E$5:$E$304,"アルチビオ"))</f>
        <v>0</v>
      </c>
      <c r="C13" s="30" t="n">
        <f aca="false">IF($A13="","",SUMIFS(店舗マスタ!$G$5:$G$304,店舗マスタ!$C$5:$C$304,$A13,店舗マスタ!$E$5:$E$304,"スタジオピッコーネ／ピッコーネクラブ"))</f>
        <v>2637800</v>
      </c>
      <c r="D13" s="30" t="n">
        <f aca="false">IF($A13="","",SUMIFS(店舗マスタ!$G$5:$G$304,店舗マスタ!$C$5:$C$304,$A13,店舗マスタ!$E$5:$E$304,"ピッコーネ"))</f>
        <v>0</v>
      </c>
      <c r="E13" s="30" t="n">
        <f aca="false">IF($A13="","",SUMIFS(店舗マスタ!$G$5:$G$304,店舗マスタ!$C$5:$C$304,$A13,店舗マスタ!$E$5:$E$304,"複合（アルチビオ＋ピッコーネ系）"))</f>
        <v>0</v>
      </c>
      <c r="F13" s="30" t="n">
        <f aca="false">IF($A13="","",SUM(B13:E13))</f>
        <v>2637800</v>
      </c>
      <c r="G13" s="30" t="n">
        <f aca="false">IF($A13="","",SUMIFS(店舗マスタ!$H$5:$H$304,店舗マスタ!$C$5:$C$304,$A13))</f>
        <v>1950000</v>
      </c>
      <c r="H13" s="31" t="n">
        <f aca="false">IF($A13="","",IF(G13=0,"-",F13/G13))</f>
        <v>1.35271794871795</v>
      </c>
      <c r="I13" s="30" t="n">
        <f aca="false">IF($A13="","",SUMIFS(店舗マスタ!$I$5:$I$304,店舗マスタ!$C$5:$C$304,$A13))</f>
        <v>1931500</v>
      </c>
      <c r="J13" s="32" t="n">
        <f aca="false">IF($A13="","",IF(I13=0,"前年実績なし",F13/I13))</f>
        <v>1.36567434636293</v>
      </c>
      <c r="K13" s="30" t="n">
        <f aca="false">IF(OR($A13="",取込チェック!$K$3=0),"",SUMIFS(店舗マスタ!$P$5:$P$304,店舗マスタ!$C$5:$C$304,$A13))</f>
        <v>2566400</v>
      </c>
      <c r="L13" s="30" t="n">
        <f aca="false">IF(K13="","",F13-K13)</f>
        <v>71400</v>
      </c>
      <c r="M13" s="31" t="n">
        <f aca="false">IF(L13="","",IF(F13=0,"-",L13/F13))</f>
        <v>0.0270680112214724</v>
      </c>
    </row>
    <row r="14" customFormat="false" ht="15" hidden="false" customHeight="false" outlineLevel="0" collapsed="false">
      <c r="A14" s="30" t="str">
        <f aca="false">IFERROR(INDEX(店舗マスタ!$C$5:$C$304,MATCH(10,店舗マスタ!$O$5:$O$304,0)),"")</f>
        <v>近鉄百貨店奈良店</v>
      </c>
      <c r="B14" s="30" t="n">
        <f aca="false">IF($A14="","",SUMIFS(店舗マスタ!$G$5:$G$304,店舗マスタ!$C$5:$C$304,$A14,店舗マスタ!$E$5:$E$304,"アルチビオ"))</f>
        <v>0</v>
      </c>
      <c r="C14" s="30" t="n">
        <f aca="false">IF($A14="","",SUMIFS(店舗マスタ!$G$5:$G$304,店舗マスタ!$C$5:$C$304,$A14,店舗マスタ!$E$5:$E$304,"スタジオピッコーネ／ピッコーネクラブ"))</f>
        <v>3204200</v>
      </c>
      <c r="D14" s="30" t="n">
        <f aca="false">IF($A14="","",SUMIFS(店舗マスタ!$G$5:$G$304,店舗マスタ!$C$5:$C$304,$A14,店舗マスタ!$E$5:$E$304,"ピッコーネ"))</f>
        <v>0</v>
      </c>
      <c r="E14" s="30" t="n">
        <f aca="false">IF($A14="","",SUMIFS(店舗マスタ!$G$5:$G$304,店舗マスタ!$C$5:$C$304,$A14,店舗マスタ!$E$5:$E$304,"複合（アルチビオ＋ピッコーネ系）"))</f>
        <v>0</v>
      </c>
      <c r="F14" s="30" t="n">
        <f aca="false">IF($A14="","",SUM(B14:E14))</f>
        <v>3204200</v>
      </c>
      <c r="G14" s="30" t="n">
        <f aca="false">IF($A14="","",SUMIFS(店舗マスタ!$H$5:$H$304,店舗マスタ!$C$5:$C$304,$A14))</f>
        <v>3150000</v>
      </c>
      <c r="H14" s="31" t="n">
        <f aca="false">IF($A14="","",IF(G14=0,"-",F14/G14))</f>
        <v>1.01720634920635</v>
      </c>
      <c r="I14" s="30" t="n">
        <f aca="false">IF($A14="","",SUMIFS(店舗マスタ!$I$5:$I$304,店舗マスタ!$C$5:$C$304,$A14))</f>
        <v>3186800</v>
      </c>
      <c r="J14" s="32" t="n">
        <f aca="false">IF($A14="","",IF(I14=0,"前年実績なし",F14/I14))</f>
        <v>1.0054600225932</v>
      </c>
      <c r="K14" s="30" t="n">
        <f aca="false">IF(OR($A14="",取込チェック!$K$3=0),"",SUMIFS(店舗マスタ!$P$5:$P$304,店舗マスタ!$C$5:$C$304,$A14))</f>
        <v>2538670</v>
      </c>
      <c r="L14" s="30" t="n">
        <f aca="false">IF(K14="","",F14-K14)</f>
        <v>665530</v>
      </c>
      <c r="M14" s="31" t="n">
        <f aca="false">IF(L14="","",IF(F14=0,"-",L14/F14))</f>
        <v>0.207705511516135</v>
      </c>
    </row>
    <row r="15" customFormat="false" ht="15" hidden="false" customHeight="false" outlineLevel="0" collapsed="false">
      <c r="A15" s="30" t="str">
        <f aca="false">IFERROR(INDEX(店舗マスタ!$C$5:$C$304,MATCH(11,店舗マスタ!$O$5:$O$304,0)),"")</f>
        <v>近鉄百貨店橿原店</v>
      </c>
      <c r="B15" s="30" t="n">
        <f aca="false">IF($A15="","",SUMIFS(店舗マスタ!$G$5:$G$304,店舗マスタ!$C$5:$C$304,$A15,店舗マスタ!$E$5:$E$304,"アルチビオ"))</f>
        <v>0</v>
      </c>
      <c r="C15" s="30" t="n">
        <f aca="false">IF($A15="","",SUMIFS(店舗マスタ!$G$5:$G$304,店舗マスタ!$C$5:$C$304,$A15,店舗マスタ!$E$5:$E$304,"スタジオピッコーネ／ピッコーネクラブ"))</f>
        <v>1744500</v>
      </c>
      <c r="D15" s="30" t="n">
        <f aca="false">IF($A15="","",SUMIFS(店舗マスタ!$G$5:$G$304,店舗マスタ!$C$5:$C$304,$A15,店舗マスタ!$E$5:$E$304,"ピッコーネ"))</f>
        <v>0</v>
      </c>
      <c r="E15" s="30" t="n">
        <f aca="false">IF($A15="","",SUMIFS(店舗マスタ!$G$5:$G$304,店舗マスタ!$C$5:$C$304,$A15,店舗マスタ!$E$5:$E$304,"複合（アルチビオ＋ピッコーネ系）"))</f>
        <v>0</v>
      </c>
      <c r="F15" s="30" t="n">
        <f aca="false">IF($A15="","",SUM(B15:E15))</f>
        <v>1744500</v>
      </c>
      <c r="G15" s="30" t="n">
        <f aca="false">IF($A15="","",SUMIFS(店舗マスタ!$H$5:$H$304,店舗マスタ!$C$5:$C$304,$A15))</f>
        <v>1880000</v>
      </c>
      <c r="H15" s="31" t="n">
        <f aca="false">IF($A15="","",IF(G15=0,"-",F15/G15))</f>
        <v>0.927925531914894</v>
      </c>
      <c r="I15" s="30" t="n">
        <f aca="false">IF($A15="","",SUMIFS(店舗マスタ!$I$5:$I$304,店舗マスタ!$C$5:$C$304,$A15))</f>
        <v>1846800</v>
      </c>
      <c r="J15" s="32" t="n">
        <f aca="false">IF($A15="","",IF(I15=0,"前年実績なし",F15/I15))</f>
        <v>0.944606887589344</v>
      </c>
      <c r="K15" s="30" t="n">
        <f aca="false">IF(OR($A15="",取込チェック!$K$3=0),"",SUMIFS(店舗マスタ!$P$5:$P$304,店舗マスタ!$C$5:$C$304,$A15))</f>
        <v>1039100</v>
      </c>
      <c r="L15" s="30" t="n">
        <f aca="false">IF(K15="","",F15-K15)</f>
        <v>705400</v>
      </c>
      <c r="M15" s="31" t="n">
        <f aca="false">IF(L15="","",IF(F15=0,"-",L15/F15))</f>
        <v>0.404356549154486</v>
      </c>
    </row>
    <row r="16" customFormat="false" ht="15" hidden="false" customHeight="false" outlineLevel="0" collapsed="false">
      <c r="A16" s="30" t="str">
        <f aca="false">IFERROR(INDEX(店舗マスタ!$C$5:$C$304,MATCH(12,店舗マスタ!$O$5:$O$304,0)),"")</f>
        <v>広島三越店</v>
      </c>
      <c r="B16" s="30" t="n">
        <f aca="false">IF($A16="","",SUMIFS(店舗マスタ!$G$5:$G$304,店舗マスタ!$C$5:$C$304,$A16,店舗マスタ!$E$5:$E$304,"アルチビオ"))</f>
        <v>0</v>
      </c>
      <c r="C16" s="30" t="n">
        <f aca="false">IF($A16="","",SUMIFS(店舗マスタ!$G$5:$G$304,店舗マスタ!$C$5:$C$304,$A16,店舗マスタ!$E$5:$E$304,"スタジオピッコーネ／ピッコーネクラブ"))</f>
        <v>1187800</v>
      </c>
      <c r="D16" s="30" t="n">
        <f aca="false">IF($A16="","",SUMIFS(店舗マスタ!$G$5:$G$304,店舗マスタ!$C$5:$C$304,$A16,店舗マスタ!$E$5:$E$304,"ピッコーネ"))</f>
        <v>0</v>
      </c>
      <c r="E16" s="30" t="n">
        <f aca="false">IF($A16="","",SUMIFS(店舗マスタ!$G$5:$G$304,店舗マスタ!$C$5:$C$304,$A16,店舗マスタ!$E$5:$E$304,"複合（アルチビオ＋ピッコーネ系）"))</f>
        <v>0</v>
      </c>
      <c r="F16" s="30" t="n">
        <f aca="false">IF($A16="","",SUM(B16:E16))</f>
        <v>1187800</v>
      </c>
      <c r="G16" s="30" t="n">
        <f aca="false">IF($A16="","",SUMIFS(店舗マスタ!$H$5:$H$304,店舗マスタ!$C$5:$C$304,$A16))</f>
        <v>1700000</v>
      </c>
      <c r="H16" s="31" t="n">
        <f aca="false">IF($A16="","",IF(G16=0,"-",F16/G16))</f>
        <v>0.698705882352941</v>
      </c>
      <c r="I16" s="30" t="n">
        <f aca="false">IF($A16="","",SUMIFS(店舗マスタ!$I$5:$I$304,店舗マスタ!$C$5:$C$304,$A16))</f>
        <v>1274700</v>
      </c>
      <c r="J16" s="32" t="n">
        <f aca="false">IF($A16="","",IF(I16=0,"前年実績なし",F16/I16))</f>
        <v>0.931827096571742</v>
      </c>
      <c r="K16" s="30" t="n">
        <f aca="false">IF(OR($A16="",取込チェック!$K$3=0),"",SUMIFS(店舗マスタ!$P$5:$P$304,店舗マスタ!$C$5:$C$304,$A16))</f>
        <v>819800</v>
      </c>
      <c r="L16" s="30" t="n">
        <f aca="false">IF(K16="","",F16-K16)</f>
        <v>368000</v>
      </c>
      <c r="M16" s="31" t="n">
        <f aca="false">IF(L16="","",IF(F16=0,"-",L16/F16))</f>
        <v>0.309816467418757</v>
      </c>
    </row>
    <row r="17" customFormat="false" ht="15" hidden="false" customHeight="false" outlineLevel="0" collapsed="false">
      <c r="A17" s="30" t="str">
        <f aca="false">IFERROR(INDEX(店舗マスタ!$C$5:$C$304,MATCH(13,店舗マスタ!$O$5:$O$304,0)),"")</f>
        <v>名古屋三越栄店</v>
      </c>
      <c r="B17" s="30" t="n">
        <f aca="false">IF($A17="","",SUMIFS(店舗マスタ!$G$5:$G$304,店舗マスタ!$C$5:$C$304,$A17,店舗マスタ!$E$5:$E$304,"アルチビオ"))</f>
        <v>0</v>
      </c>
      <c r="C17" s="30" t="n">
        <f aca="false">IF($A17="","",SUMIFS(店舗マスタ!$G$5:$G$304,店舗マスタ!$C$5:$C$304,$A17,店舗マスタ!$E$5:$E$304,"スタジオピッコーネ／ピッコーネクラブ"))</f>
        <v>4266900</v>
      </c>
      <c r="D17" s="30" t="n">
        <f aca="false">IF($A17="","",SUMIFS(店舗マスタ!$G$5:$G$304,店舗マスタ!$C$5:$C$304,$A17,店舗マスタ!$E$5:$E$304,"ピッコーネ"))</f>
        <v>0</v>
      </c>
      <c r="E17" s="30" t="n">
        <f aca="false">IF($A17="","",SUMIFS(店舗マスタ!$G$5:$G$304,店舗マスタ!$C$5:$C$304,$A17,店舗マスタ!$E$5:$E$304,"複合（アルチビオ＋ピッコーネ系）"))</f>
        <v>0</v>
      </c>
      <c r="F17" s="30" t="n">
        <f aca="false">IF($A17="","",SUM(B17:E17))</f>
        <v>4266900</v>
      </c>
      <c r="G17" s="30" t="n">
        <f aca="false">IF($A17="","",SUMIFS(店舗マスタ!$H$5:$H$304,店舗マスタ!$C$5:$C$304,$A17))</f>
        <v>4200000</v>
      </c>
      <c r="H17" s="31" t="n">
        <f aca="false">IF($A17="","",IF(G17=0,"-",F17/G17))</f>
        <v>1.01592857142857</v>
      </c>
      <c r="I17" s="30" t="n">
        <f aca="false">IF($A17="","",SUMIFS(店舗マスタ!$I$5:$I$304,店舗マスタ!$C$5:$C$304,$A17))</f>
        <v>4153200</v>
      </c>
      <c r="J17" s="32" t="n">
        <f aca="false">IF($A17="","",IF(I17=0,"前年実績なし",F17/I17))</f>
        <v>1.0273764807859</v>
      </c>
      <c r="K17" s="30" t="n">
        <f aca="false">IF(OR($A17="",取込チェック!$K$3=0),"",SUMIFS(店舗マスタ!$P$5:$P$304,店舗マスタ!$C$5:$C$304,$A17))</f>
        <v>4185000</v>
      </c>
      <c r="L17" s="30" t="n">
        <f aca="false">IF(K17="","",F17-K17)</f>
        <v>81900</v>
      </c>
      <c r="M17" s="31" t="n">
        <f aca="false">IF(L17="","",IF(F17=0,"-",L17/F17))</f>
        <v>0.0191942628137524</v>
      </c>
    </row>
    <row r="18" customFormat="false" ht="15" hidden="false" customHeight="false" outlineLevel="0" collapsed="false">
      <c r="A18" s="30" t="str">
        <f aca="false">IFERROR(INDEX(店舗マスタ!$C$5:$C$304,MATCH(14,店舗マスタ!$O$5:$O$304,0)),"")</f>
        <v>ハービスPLAZA店</v>
      </c>
      <c r="B18" s="30" t="n">
        <f aca="false">IF($A18="","",SUMIFS(店舗マスタ!$G$5:$G$304,店舗マスタ!$C$5:$C$304,$A18,店舗マスタ!$E$5:$E$304,"アルチビオ"))</f>
        <v>2922845</v>
      </c>
      <c r="C18" s="30" t="n">
        <f aca="false">IF($A18="","",SUMIFS(店舗マスタ!$G$5:$G$304,店舗マスタ!$C$5:$C$304,$A18,店舗マスタ!$E$5:$E$304,"スタジオピッコーネ／ピッコーネクラブ"))</f>
        <v>0</v>
      </c>
      <c r="D18" s="30" t="n">
        <f aca="false">IF($A18="","",SUMIFS(店舗マスタ!$G$5:$G$304,店舗マスタ!$C$5:$C$304,$A18,店舗マスタ!$E$5:$E$304,"ピッコーネ"))</f>
        <v>0</v>
      </c>
      <c r="E18" s="30" t="n">
        <f aca="false">IF($A18="","",SUMIFS(店舗マスタ!$G$5:$G$304,店舗マスタ!$C$5:$C$304,$A18,店舗マスタ!$E$5:$E$304,"複合（アルチビオ＋ピッコーネ系）"))</f>
        <v>0</v>
      </c>
      <c r="F18" s="30" t="n">
        <f aca="false">IF($A18="","",SUM(B18:E18))</f>
        <v>2922845</v>
      </c>
      <c r="G18" s="30" t="n">
        <f aca="false">IF($A18="","",SUMIFS(店舗マスタ!$H$5:$H$304,店舗マスタ!$C$5:$C$304,$A18))</f>
        <v>3613000</v>
      </c>
      <c r="H18" s="31" t="n">
        <f aca="false">IF($A18="","",IF(G18=0,"-",F18/G18))</f>
        <v>0.808980071962358</v>
      </c>
      <c r="I18" s="30" t="n">
        <f aca="false">IF($A18="","",SUMIFS(店舗マスタ!$I$5:$I$304,店舗マスタ!$C$5:$C$304,$A18))</f>
        <v>3478940</v>
      </c>
      <c r="J18" s="32" t="n">
        <f aca="false">IF($A18="","",IF(I18=0,"前年実績なし",F18/I18))</f>
        <v>0.840153897451523</v>
      </c>
      <c r="K18" s="30" t="n">
        <f aca="false">IF(OR($A18="",取込チェック!$K$3=0),"",SUMIFS(店舗マスタ!$P$5:$P$304,店舗マスタ!$C$5:$C$304,$A18))</f>
        <v>1946845</v>
      </c>
      <c r="L18" s="30" t="n">
        <f aca="false">IF(K18="","",F18-K18)</f>
        <v>976000</v>
      </c>
      <c r="M18" s="31" t="n">
        <f aca="false">IF(L18="","",IF(F18=0,"-",L18/F18))</f>
        <v>0.333921230855553</v>
      </c>
    </row>
    <row r="19" customFormat="false" ht="15" hidden="false" customHeight="false" outlineLevel="0" collapsed="false">
      <c r="A19" s="30" t="str">
        <f aca="false">IFERROR(INDEX(店舗マスタ!$C$5:$C$304,MATCH(15,店舗マスタ!$O$5:$O$304,0)),"")</f>
        <v>ラポルテ芦屋店</v>
      </c>
      <c r="B19" s="30" t="n">
        <f aca="false">IF($A19="","",SUMIFS(店舗マスタ!$G$5:$G$304,店舗マスタ!$C$5:$C$304,$A19,店舗マスタ!$E$5:$E$304,"アルチビオ"))</f>
        <v>0</v>
      </c>
      <c r="C19" s="30" t="n">
        <f aca="false">IF($A19="","",SUMIFS(店舗マスタ!$G$5:$G$304,店舗マスタ!$C$5:$C$304,$A19,店舗マスタ!$E$5:$E$304,"スタジオピッコーネ／ピッコーネクラブ"))</f>
        <v>0</v>
      </c>
      <c r="D19" s="30" t="n">
        <f aca="false">IF($A19="","",SUMIFS(店舗マスタ!$G$5:$G$304,店舗マスタ!$C$5:$C$304,$A19,店舗マスタ!$E$5:$E$304,"ピッコーネ"))</f>
        <v>3138950</v>
      </c>
      <c r="E19" s="30" t="n">
        <f aca="false">IF($A19="","",SUMIFS(店舗マスタ!$G$5:$G$304,店舗マスタ!$C$5:$C$304,$A19,店舗マスタ!$E$5:$E$304,"複合（アルチビオ＋ピッコーネ系）"))</f>
        <v>0</v>
      </c>
      <c r="F19" s="30" t="n">
        <f aca="false">IF($A19="","",SUM(B19:E19))</f>
        <v>3138950</v>
      </c>
      <c r="G19" s="30" t="n">
        <f aca="false">IF($A19="","",SUMIFS(店舗マスタ!$H$5:$H$304,店舗マスタ!$C$5:$C$304,$A19))</f>
        <v>2500000</v>
      </c>
      <c r="H19" s="31" t="n">
        <f aca="false">IF($A19="","",IF(G19=0,"-",F19/G19))</f>
        <v>1.25558</v>
      </c>
      <c r="I19" s="30" t="n">
        <f aca="false">IF($A19="","",SUMIFS(店舗マスタ!$I$5:$I$304,店舗マスタ!$C$5:$C$304,$A19))</f>
        <v>2031171</v>
      </c>
      <c r="J19" s="32" t="n">
        <f aca="false">IF($A19="","",IF(I19=0,"前年実績なし",F19/I19))</f>
        <v>1.54538933452673</v>
      </c>
      <c r="K19" s="30" t="n">
        <f aca="false">IF(OR($A19="",取込チェック!$K$3=0),"",SUMIFS(店舗マスタ!$P$5:$P$304,店舗マスタ!$C$5:$C$304,$A19))</f>
        <v>978750</v>
      </c>
      <c r="L19" s="30" t="n">
        <f aca="false">IF(K19="","",F19-K19)</f>
        <v>2160200</v>
      </c>
      <c r="M19" s="31" t="n">
        <f aca="false">IF(L19="","",IF(F19=0,"-",L19/F19))</f>
        <v>0.688191911307922</v>
      </c>
    </row>
    <row r="20" customFormat="false" ht="15" hidden="false" customHeight="false" outlineLevel="0" collapsed="false">
      <c r="A20" s="30" t="str">
        <f aca="false">IFERROR(INDEX(店舗マスタ!$C$5:$C$304,MATCH(16,店舗マスタ!$O$5:$O$304,0)),"")</f>
        <v>ホテルニューオータニ大阪店</v>
      </c>
      <c r="B20" s="30" t="n">
        <f aca="false">IF($A20="","",SUMIFS(店舗マスタ!$G$5:$G$304,店舗マスタ!$C$5:$C$304,$A20,店舗マスタ!$E$5:$E$304,"アルチビオ"))</f>
        <v>0</v>
      </c>
      <c r="C20" s="30" t="n">
        <f aca="false">IF($A20="","",SUMIFS(店舗マスタ!$G$5:$G$304,店舗マスタ!$C$5:$C$304,$A20,店舗マスタ!$E$5:$E$304,"スタジオピッコーネ／ピッコーネクラブ"))</f>
        <v>0</v>
      </c>
      <c r="D20" s="30" t="n">
        <f aca="false">IF($A20="","",SUMIFS(店舗マスタ!$G$5:$G$304,店舗マスタ!$C$5:$C$304,$A20,店舗マスタ!$E$5:$E$304,"ピッコーネ"))</f>
        <v>946100</v>
      </c>
      <c r="E20" s="30" t="n">
        <f aca="false">IF($A20="","",SUMIFS(店舗マスタ!$G$5:$G$304,店舗マスタ!$C$5:$C$304,$A20,店舗マスタ!$E$5:$E$304,"複合（アルチビオ＋ピッコーネ系）"))</f>
        <v>0</v>
      </c>
      <c r="F20" s="30" t="n">
        <f aca="false">IF($A20="","",SUM(B20:E20))</f>
        <v>946100</v>
      </c>
      <c r="G20" s="30" t="n">
        <f aca="false">IF($A20="","",SUMIFS(店舗マスタ!$H$5:$H$304,店舗マスタ!$C$5:$C$304,$A20))</f>
        <v>1550000</v>
      </c>
      <c r="H20" s="31" t="n">
        <f aca="false">IF($A20="","",IF(G20=0,"-",F20/G20))</f>
        <v>0.610387096774194</v>
      </c>
      <c r="I20" s="30" t="n">
        <f aca="false">IF($A20="","",SUMIFS(店舗マスタ!$I$5:$I$304,店舗マスタ!$C$5:$C$304,$A20))</f>
        <v>1285696</v>
      </c>
      <c r="J20" s="32" t="n">
        <f aca="false">IF($A20="","",IF(I20=0,"前年実績なし",F20/I20))</f>
        <v>0.735866021205635</v>
      </c>
      <c r="K20" s="30" t="n">
        <f aca="false">IF(OR($A20="",取込チェック!$K$3=0),"",SUMIFS(店舗マスタ!$P$5:$P$304,店舗マスタ!$C$5:$C$304,$A20))</f>
        <v>621400</v>
      </c>
      <c r="L20" s="30" t="n">
        <f aca="false">IF(K20="","",F20-K20)</f>
        <v>324700</v>
      </c>
      <c r="M20" s="31" t="n">
        <f aca="false">IF(L20="","",IF(F20=0,"-",L20/F20))</f>
        <v>0.343198393404503</v>
      </c>
    </row>
    <row r="21" customFormat="false" ht="15" hidden="false" customHeight="false" outlineLevel="0" collapsed="false">
      <c r="A21" s="30" t="str">
        <f aca="false">IFERROR(INDEX(店舗マスタ!$C$5:$C$304,MATCH(17,店舗マスタ!$O$5:$O$304,0)),"")</f>
        <v>阪急三番街店</v>
      </c>
      <c r="B21" s="30" t="n">
        <f aca="false">IF($A21="","",SUMIFS(店舗マスタ!$G$5:$G$304,店舗マスタ!$C$5:$C$304,$A21,店舗マスタ!$E$5:$E$304,"アルチビオ"))</f>
        <v>0</v>
      </c>
      <c r="C21" s="30" t="n">
        <f aca="false">IF($A21="","",SUMIFS(店舗マスタ!$G$5:$G$304,店舗マスタ!$C$5:$C$304,$A21,店舗マスタ!$E$5:$E$304,"スタジオピッコーネ／ピッコーネクラブ"))</f>
        <v>0</v>
      </c>
      <c r="D21" s="30" t="n">
        <f aca="false">IF($A21="","",SUMIFS(店舗マスタ!$G$5:$G$304,店舗マスタ!$C$5:$C$304,$A21,店舗マスタ!$E$5:$E$304,"ピッコーネ"))</f>
        <v>6773261</v>
      </c>
      <c r="E21" s="30" t="n">
        <f aca="false">IF($A21="","",SUMIFS(店舗マスタ!$G$5:$G$304,店舗マスタ!$C$5:$C$304,$A21,店舗マスタ!$E$5:$E$304,"複合（アルチビオ＋ピッコーネ系）"))</f>
        <v>0</v>
      </c>
      <c r="F21" s="30" t="n">
        <f aca="false">IF($A21="","",SUM(B21:E21))</f>
        <v>6773261</v>
      </c>
      <c r="G21" s="30" t="n">
        <f aca="false">IF($A21="","",SUMIFS(店舗マスタ!$H$5:$H$304,店舗マスタ!$C$5:$C$304,$A21))</f>
        <v>3500000</v>
      </c>
      <c r="H21" s="31" t="n">
        <f aca="false">IF($A21="","",IF(G21=0,"-",F21/G21))</f>
        <v>1.93521742857143</v>
      </c>
      <c r="I21" s="30" t="n">
        <f aca="false">IF($A21="","",SUMIFS(店舗マスタ!$I$5:$I$304,店舗マスタ!$C$5:$C$304,$A21))</f>
        <v>2378787</v>
      </c>
      <c r="J21" s="32" t="n">
        <f aca="false">IF($A21="","",IF(I21=0,"前年実績なし",F21/I21))</f>
        <v>2.84735917927919</v>
      </c>
      <c r="K21" s="30" t="n">
        <f aca="false">IF(OR($A21="",取込チェック!$K$3=0),"",SUMIFS(店舗マスタ!$P$5:$P$304,店舗マスタ!$C$5:$C$304,$A21))</f>
        <v>904121</v>
      </c>
      <c r="L21" s="30" t="n">
        <f aca="false">IF(K21="","",F21-K21)</f>
        <v>5869140</v>
      </c>
      <c r="M21" s="31" t="n">
        <f aca="false">IF(L21="","",IF(F21=0,"-",L21/F21))</f>
        <v>0.866516143405665</v>
      </c>
    </row>
    <row r="22" customFormat="false" ht="15" hidden="false" customHeight="false" outlineLevel="0" collapsed="false">
      <c r="A22" s="30" t="str">
        <f aca="false">IFERROR(INDEX(店舗マスタ!$C$5:$C$304,MATCH(18,店舗マスタ!$O$5:$O$304,0)),"")</f>
        <v>堀江店</v>
      </c>
      <c r="B22" s="30" t="n">
        <f aca="false">IF($A22="","",SUMIFS(店舗マスタ!$G$5:$G$304,店舗マスタ!$C$5:$C$304,$A22,店舗マスタ!$E$5:$E$304,"アルチビオ"))</f>
        <v>1572240</v>
      </c>
      <c r="C22" s="30" t="n">
        <f aca="false">IF($A22="","",SUMIFS(店舗マスタ!$G$5:$G$304,店舗マスタ!$C$5:$C$304,$A22,店舗マスタ!$E$5:$E$304,"スタジオピッコーネ／ピッコーネクラブ"))</f>
        <v>0</v>
      </c>
      <c r="D22" s="30" t="n">
        <f aca="false">IF($A22="","",SUMIFS(店舗マスタ!$G$5:$G$304,店舗マスタ!$C$5:$C$304,$A22,店舗マスタ!$E$5:$E$304,"ピッコーネ"))</f>
        <v>0</v>
      </c>
      <c r="E22" s="30" t="n">
        <f aca="false">IF($A22="","",SUMIFS(店舗マスタ!$G$5:$G$304,店舗マスタ!$C$5:$C$304,$A22,店舗マスタ!$E$5:$E$304,"複合（アルチビオ＋ピッコーネ系）"))</f>
        <v>0</v>
      </c>
      <c r="F22" s="30" t="n">
        <f aca="false">IF($A22="","",SUM(B22:E22))</f>
        <v>1572240</v>
      </c>
      <c r="G22" s="30" t="n">
        <f aca="false">IF($A22="","",SUMIFS(店舗マスタ!$H$5:$H$304,店舗マスタ!$C$5:$C$304,$A22))</f>
        <v>2787000</v>
      </c>
      <c r="H22" s="31" t="n">
        <f aca="false">IF($A22="","",IF(G22=0,"-",F22/G22))</f>
        <v>0.564133476856835</v>
      </c>
      <c r="I22" s="30" t="n">
        <f aca="false">IF($A22="","",SUMIFS(店舗マスタ!$I$5:$I$304,店舗マスタ!$C$5:$C$304,$A22))</f>
        <v>2688196</v>
      </c>
      <c r="J22" s="32" t="n">
        <f aca="false">IF($A22="","",IF(I22=0,"前年実績なし",F22/I22))</f>
        <v>0.584868067655781</v>
      </c>
      <c r="K22" s="30" t="n">
        <f aca="false">IF(OR($A22="",取込チェック!$K$3=0),"",SUMIFS(店舗マスタ!$P$5:$P$304,店舗マスタ!$C$5:$C$304,$A22))</f>
        <v>659140</v>
      </c>
      <c r="L22" s="30" t="n">
        <f aca="false">IF(K22="","",F22-K22)</f>
        <v>913100</v>
      </c>
      <c r="M22" s="31" t="n">
        <f aca="false">IF(L22="","",IF(F22=0,"-",L22/F22))</f>
        <v>0.58076375108126</v>
      </c>
    </row>
    <row r="23" customFormat="false" ht="15" hidden="false" customHeight="false" outlineLevel="0" collapsed="false">
      <c r="A23" s="30" t="str">
        <f aca="false">IFERROR(INDEX(店舗マスタ!$C$5:$C$304,MATCH(19,店舗マスタ!$O$5:$O$304,0)),"")</f>
        <v>高島屋横浜店</v>
      </c>
      <c r="B23" s="30" t="n">
        <f aca="false">IF($A23="","",SUMIFS(店舗マスタ!$G$5:$G$304,店舗マスタ!$C$5:$C$304,$A23,店舗マスタ!$E$5:$E$304,"アルチビオ"))</f>
        <v>1579789</v>
      </c>
      <c r="C23" s="30" t="n">
        <f aca="false">IF($A23="","",SUMIFS(店舗マスタ!$G$5:$G$304,店舗マスタ!$C$5:$C$304,$A23,店舗マスタ!$E$5:$E$304,"スタジオピッコーネ／ピッコーネクラブ"))</f>
        <v>3134900</v>
      </c>
      <c r="D23" s="30" t="n">
        <f aca="false">IF($A23="","",SUMIFS(店舗マスタ!$G$5:$G$304,店舗マスタ!$C$5:$C$304,$A23,店舗マスタ!$E$5:$E$304,"ピッコーネ"))</f>
        <v>0</v>
      </c>
      <c r="E23" s="30" t="n">
        <f aca="false">IF($A23="","",SUMIFS(店舗マスタ!$G$5:$G$304,店舗マスタ!$C$5:$C$304,$A23,店舗マスタ!$E$5:$E$304,"複合（アルチビオ＋ピッコーネ系）"))</f>
        <v>0</v>
      </c>
      <c r="F23" s="30" t="n">
        <f aca="false">IF($A23="","",SUM(B23:E23))</f>
        <v>4714689</v>
      </c>
      <c r="G23" s="30" t="n">
        <f aca="false">IF($A23="","",SUMIFS(店舗マスタ!$H$5:$H$304,店舗マスタ!$C$5:$C$304,$A23))</f>
        <v>8000000</v>
      </c>
      <c r="H23" s="31" t="n">
        <f aca="false">IF($A23="","",IF(G23=0,"-",F23/G23))</f>
        <v>0.589336125</v>
      </c>
      <c r="I23" s="30" t="n">
        <f aca="false">IF($A23="","",SUMIFS(店舗マスタ!$I$5:$I$304,店舗マスタ!$C$5:$C$304,$A23))</f>
        <v>5087540</v>
      </c>
      <c r="J23" s="32" t="n">
        <f aca="false">IF($A23="","",IF(I23=0,"前年実績なし",F23/I23))</f>
        <v>0.926712910365324</v>
      </c>
      <c r="K23" s="30" t="n">
        <f aca="false">IF(OR($A23="",取込チェック!$K$3=0),"",SUMIFS(店舗マスタ!$P$5:$P$304,店舗マスタ!$C$5:$C$304,$A23))</f>
        <v>4241289</v>
      </c>
      <c r="L23" s="30" t="n">
        <f aca="false">IF(K23="","",F23-K23)</f>
        <v>473400</v>
      </c>
      <c r="M23" s="31" t="n">
        <f aca="false">IF(L23="","",IF(F23=0,"-",L23/F23))</f>
        <v>0.100409592233973</v>
      </c>
    </row>
    <row r="24" customFormat="false" ht="15" hidden="false" customHeight="false" outlineLevel="0" collapsed="false">
      <c r="A24" s="30" t="str">
        <f aca="false">IFERROR(INDEX(店舗マスタ!$C$5:$C$304,MATCH(20,店舗マスタ!$O$5:$O$304,0)),"")</f>
        <v>高島屋高崎店</v>
      </c>
      <c r="B24" s="30" t="n">
        <f aca="false">IF($A24="","",SUMIFS(店舗マスタ!$G$5:$G$304,店舗マスタ!$C$5:$C$304,$A24,店舗マスタ!$E$5:$E$304,"アルチビオ"))</f>
        <v>1117980</v>
      </c>
      <c r="C24" s="30" t="n">
        <f aca="false">IF($A24="","",SUMIFS(店舗マスタ!$G$5:$G$304,店舗マスタ!$C$5:$C$304,$A24,店舗マスタ!$E$5:$E$304,"スタジオピッコーネ／ピッコーネクラブ"))</f>
        <v>2640520</v>
      </c>
      <c r="D24" s="30" t="n">
        <f aca="false">IF($A24="","",SUMIFS(店舗マスタ!$G$5:$G$304,店舗マスタ!$C$5:$C$304,$A24,店舗マスタ!$E$5:$E$304,"ピッコーネ"))</f>
        <v>0</v>
      </c>
      <c r="E24" s="30" t="n">
        <f aca="false">IF($A24="","",SUMIFS(店舗マスタ!$G$5:$G$304,店舗マスタ!$C$5:$C$304,$A24,店舗マスタ!$E$5:$E$304,"複合（アルチビオ＋ピッコーネ系）"))</f>
        <v>0</v>
      </c>
      <c r="F24" s="30" t="n">
        <f aca="false">IF($A24="","",SUM(B24:E24))</f>
        <v>3758500</v>
      </c>
      <c r="G24" s="30" t="n">
        <f aca="false">IF($A24="","",SUMIFS(店舗マスタ!$H$5:$H$304,店舗マスタ!$C$5:$C$304,$A24))</f>
        <v>5659000</v>
      </c>
      <c r="H24" s="31" t="n">
        <f aca="false">IF($A24="","",IF(G24=0,"-",F24/G24))</f>
        <v>0.664163279731401</v>
      </c>
      <c r="I24" s="30" t="n">
        <f aca="false">IF($A24="","",SUMIFS(店舗マスタ!$I$5:$I$304,店舗マスタ!$C$5:$C$304,$A24))</f>
        <v>4116260</v>
      </c>
      <c r="J24" s="32" t="n">
        <f aca="false">IF($A24="","",IF(I24=0,"前年実績なし",F24/I24))</f>
        <v>0.913086151020587</v>
      </c>
      <c r="K24" s="30" t="n">
        <f aca="false">IF(OR($A24="",取込チェック!$K$3=0),"",SUMIFS(店舗マスタ!$P$5:$P$304,店舗マスタ!$C$5:$C$304,$A24))</f>
        <v>3375800</v>
      </c>
      <c r="L24" s="30" t="n">
        <f aca="false">IF(K24="","",F24-K24)</f>
        <v>382700</v>
      </c>
      <c r="M24" s="31" t="n">
        <f aca="false">IF(L24="","",IF(F24=0,"-",L24/F24))</f>
        <v>0.101822535586005</v>
      </c>
    </row>
    <row r="25" customFormat="false" ht="15" hidden="false" customHeight="false" outlineLevel="0" collapsed="false">
      <c r="A25" s="30" t="str">
        <f aca="false">IFERROR(INDEX(店舗マスタ!$C$5:$C$304,MATCH(21,店舗マスタ!$O$5:$O$304,0)),"")</f>
        <v>高島屋新宿店</v>
      </c>
      <c r="B25" s="30" t="n">
        <f aca="false">IF($A25="","",SUMIFS(店舗マスタ!$G$5:$G$304,店舗マスタ!$C$5:$C$304,$A25,店舗マスタ!$E$5:$E$304,"アルチビオ"))</f>
        <v>2991974</v>
      </c>
      <c r="C25" s="30" t="n">
        <f aca="false">IF($A25="","",SUMIFS(店舗マスタ!$G$5:$G$304,店舗マスタ!$C$5:$C$304,$A25,店舗マスタ!$E$5:$E$304,"スタジオピッコーネ／ピッコーネクラブ"))</f>
        <v>3285560</v>
      </c>
      <c r="D25" s="30" t="n">
        <f aca="false">IF($A25="","",SUMIFS(店舗マスタ!$G$5:$G$304,店舗マスタ!$C$5:$C$304,$A25,店舗マスタ!$E$5:$E$304,"ピッコーネ"))</f>
        <v>0</v>
      </c>
      <c r="E25" s="30" t="n">
        <f aca="false">IF($A25="","",SUMIFS(店舗マスタ!$G$5:$G$304,店舗マスタ!$C$5:$C$304,$A25,店舗マスタ!$E$5:$E$304,"複合（アルチビオ＋ピッコーネ系）"))</f>
        <v>0</v>
      </c>
      <c r="F25" s="30" t="n">
        <f aca="false">IF($A25="","",SUM(B25:E25))</f>
        <v>6277534</v>
      </c>
      <c r="G25" s="30" t="n">
        <f aca="false">IF($A25="","",SUMIFS(店舗マスタ!$H$5:$H$304,店舗マスタ!$C$5:$C$304,$A25))</f>
        <v>5171000</v>
      </c>
      <c r="H25" s="31" t="n">
        <f aca="false">IF($A25="","",IF(G25=0,"-",F25/G25))</f>
        <v>1.21398839682847</v>
      </c>
      <c r="I25" s="30" t="n">
        <f aca="false">IF($A25="","",SUMIFS(店舗マスタ!$I$5:$I$304,店舗マスタ!$C$5:$C$304,$A25))</f>
        <v>5104775</v>
      </c>
      <c r="J25" s="32" t="n">
        <f aca="false">IF($A25="","",IF(I25=0,"前年実績なし",F25/I25))</f>
        <v>1.22973764759465</v>
      </c>
      <c r="K25" s="30" t="n">
        <f aca="false">IF(OR($A25="",取込チェック!$K$3=0),"",SUMIFS(店舗マスタ!$P$5:$P$304,店舗マスタ!$C$5:$C$304,$A25))</f>
        <v>5899134</v>
      </c>
      <c r="L25" s="30" t="n">
        <f aca="false">IF(K25="","",F25-K25)</f>
        <v>378400</v>
      </c>
      <c r="M25" s="31" t="n">
        <f aca="false">IF(L25="","",IF(F25=0,"-",L25/F25))</f>
        <v>0.060278446918806</v>
      </c>
    </row>
    <row r="26" customFormat="false" ht="15" hidden="false" customHeight="false" outlineLevel="0" collapsed="false">
      <c r="A26" s="30" t="str">
        <f aca="false">IFERROR(INDEX(店舗マスタ!$C$5:$C$304,MATCH(22,店舗マスタ!$O$5:$O$304,0)),"")</f>
        <v>東武百貨店池袋店</v>
      </c>
      <c r="B26" s="30" t="n">
        <f aca="false">IF($A26="","",SUMIFS(店舗マスタ!$G$5:$G$304,店舗マスタ!$C$5:$C$304,$A26,店舗マスタ!$E$5:$E$304,"アルチビオ"))</f>
        <v>0</v>
      </c>
      <c r="C26" s="30" t="n">
        <f aca="false">IF($A26="","",SUMIFS(店舗マスタ!$G$5:$G$304,店舗マスタ!$C$5:$C$304,$A26,店舗マスタ!$E$5:$E$304,"スタジオピッコーネ／ピッコーネクラブ"))</f>
        <v>5052300</v>
      </c>
      <c r="D26" s="30" t="n">
        <f aca="false">IF($A26="","",SUMIFS(店舗マスタ!$G$5:$G$304,店舗マスタ!$C$5:$C$304,$A26,店舗マスタ!$E$5:$E$304,"ピッコーネ"))</f>
        <v>0</v>
      </c>
      <c r="E26" s="30" t="n">
        <f aca="false">IF($A26="","",SUMIFS(店舗マスタ!$G$5:$G$304,店舗マスタ!$C$5:$C$304,$A26,店舗マスタ!$E$5:$E$304,"複合（アルチビオ＋ピッコーネ系）"))</f>
        <v>0</v>
      </c>
      <c r="F26" s="30" t="n">
        <f aca="false">IF($A26="","",SUM(B26:E26))</f>
        <v>5052300</v>
      </c>
      <c r="G26" s="30" t="n">
        <f aca="false">IF($A26="","",SUMIFS(店舗マスタ!$H$5:$H$304,店舗マスタ!$C$5:$C$304,$A26))</f>
        <v>5370000</v>
      </c>
      <c r="H26" s="31" t="n">
        <f aca="false">IF($A26="","",IF(G26=0,"-",F26/G26))</f>
        <v>0.940837988826816</v>
      </c>
      <c r="I26" s="30" t="n">
        <f aca="false">IF($A26="","",SUMIFS(店舗マスタ!$I$5:$I$304,店舗マスタ!$C$5:$C$304,$A26))</f>
        <v>5057100</v>
      </c>
      <c r="J26" s="32" t="n">
        <f aca="false">IF($A26="","",IF(I26=0,"前年実績なし",F26/I26))</f>
        <v>0.999050839413893</v>
      </c>
      <c r="K26" s="30" t="n">
        <f aca="false">IF(OR($A26="",取込チェック!$K$3=0),"",SUMIFS(店舗マスタ!$P$5:$P$304,店舗マスタ!$C$5:$C$304,$A26))</f>
        <v>5052300</v>
      </c>
      <c r="L26" s="30" t="n">
        <f aca="false">IF(K26="","",F26-K26)</f>
        <v>0</v>
      </c>
      <c r="M26" s="31" t="n">
        <f aca="false">IF(L26="","",IF(F26=0,"-",L26/F26))</f>
        <v>0</v>
      </c>
    </row>
    <row r="27" customFormat="false" ht="15" hidden="false" customHeight="false" outlineLevel="0" collapsed="false">
      <c r="A27" s="30" t="str">
        <f aca="false">IFERROR(INDEX(店舗マスタ!$C$5:$C$304,MATCH(23,店舗マスタ!$O$5:$O$304,0)),"")</f>
        <v>日本橋三越本店</v>
      </c>
      <c r="B27" s="30" t="n">
        <f aca="false">IF($A27="","",SUMIFS(店舗マスタ!$G$5:$G$304,店舗マスタ!$C$5:$C$304,$A27,店舗マスタ!$E$5:$E$304,"アルチビオ"))</f>
        <v>3069240</v>
      </c>
      <c r="C27" s="30" t="n">
        <f aca="false">IF($A27="","",SUMIFS(店舗マスタ!$G$5:$G$304,店舗マスタ!$C$5:$C$304,$A27,店舗マスタ!$E$5:$E$304,"スタジオピッコーネ／ピッコーネクラブ"))</f>
        <v>4633300</v>
      </c>
      <c r="D27" s="30" t="n">
        <f aca="false">IF($A27="","",SUMIFS(店舗マスタ!$G$5:$G$304,店舗マスタ!$C$5:$C$304,$A27,店舗マスタ!$E$5:$E$304,"ピッコーネ"))</f>
        <v>0</v>
      </c>
      <c r="E27" s="30" t="n">
        <f aca="false">IF($A27="","",SUMIFS(店舗マスタ!$G$5:$G$304,店舗マスタ!$C$5:$C$304,$A27,店舗マスタ!$E$5:$E$304,"複合（アルチビオ＋ピッコーネ系）"))</f>
        <v>0</v>
      </c>
      <c r="F27" s="30" t="n">
        <f aca="false">IF($A27="","",SUM(B27:E27))</f>
        <v>7702540</v>
      </c>
      <c r="G27" s="30" t="n">
        <f aca="false">IF($A27="","",SUMIFS(店舗マスタ!$H$5:$H$304,店舗マスタ!$C$5:$C$304,$A27))</f>
        <v>10681000</v>
      </c>
      <c r="H27" s="31" t="n">
        <f aca="false">IF($A27="","",IF(G27=0,"-",F27/G27))</f>
        <v>0.721144087632244</v>
      </c>
      <c r="I27" s="30" t="n">
        <f aca="false">IF($A27="","",SUMIFS(店舗マスタ!$I$5:$I$304,店舗マスタ!$C$5:$C$304,$A27))</f>
        <v>8446700</v>
      </c>
      <c r="J27" s="32" t="n">
        <f aca="false">IF($A27="","",IF(I27=0,"前年実績なし",F27/I27))</f>
        <v>0.911899321628565</v>
      </c>
      <c r="K27" s="30" t="n">
        <f aca="false">IF(OR($A27="",取込チェック!$K$3=0),"",SUMIFS(店舗マスタ!$P$5:$P$304,店舗マスタ!$C$5:$C$304,$A27))</f>
        <v>7206400</v>
      </c>
      <c r="L27" s="30" t="n">
        <f aca="false">IF(K27="","",F27-K27)</f>
        <v>496140</v>
      </c>
      <c r="M27" s="31" t="n">
        <f aca="false">IF(L27="","",IF(F27=0,"-",L27/F27))</f>
        <v>0.064412518467934</v>
      </c>
    </row>
    <row r="28" customFormat="false" ht="15" hidden="false" customHeight="false" outlineLevel="0" collapsed="false">
      <c r="A28" s="30" t="str">
        <f aca="false">IFERROR(INDEX(店舗マスタ!$C$5:$C$304,MATCH(24,店舗マスタ!$O$5:$O$304,0)),"")</f>
        <v>札幌三越</v>
      </c>
      <c r="B28" s="30" t="n">
        <f aca="false">IF($A28="","",SUMIFS(店舗マスタ!$G$5:$G$304,店舗マスタ!$C$5:$C$304,$A28,店舗マスタ!$E$5:$E$304,"アルチビオ"))</f>
        <v>0</v>
      </c>
      <c r="C28" s="30" t="n">
        <f aca="false">IF($A28="","",SUMIFS(店舗マスタ!$G$5:$G$304,店舗マスタ!$C$5:$C$304,$A28,店舗マスタ!$E$5:$E$304,"スタジオピッコーネ／ピッコーネクラブ"))</f>
        <v>0</v>
      </c>
      <c r="D28" s="30" t="n">
        <f aca="false">IF($A28="","",SUMIFS(店舗マスタ!$G$5:$G$304,店舗マスタ!$C$5:$C$304,$A28,店舗マスタ!$E$5:$E$304,"ピッコーネ"))</f>
        <v>0</v>
      </c>
      <c r="E28" s="30" t="n">
        <f aca="false">IF($A28="","",SUMIFS(店舗マスタ!$G$5:$G$304,店舗マスタ!$C$5:$C$304,$A28,店舗マスタ!$E$5:$E$304,"複合（アルチビオ＋ピッコーネ系）"))</f>
        <v>2572970</v>
      </c>
      <c r="F28" s="30" t="n">
        <f aca="false">IF($A28="","",SUM(B28:E28))</f>
        <v>2572970</v>
      </c>
      <c r="G28" s="30" t="n">
        <f aca="false">IF($A28="","",SUMIFS(店舗マスタ!$H$5:$H$304,店舗マスタ!$C$5:$C$304,$A28))</f>
        <v>3404000</v>
      </c>
      <c r="H28" s="31" t="n">
        <f aca="false">IF($A28="","",IF(G28=0,"-",F28/G28))</f>
        <v>0.755866627497062</v>
      </c>
      <c r="I28" s="30" t="n">
        <f aca="false">IF($A28="","",SUMIFS(店舗マスタ!$I$5:$I$304,店舗マスタ!$C$5:$C$304,$A28))</f>
        <v>3225660</v>
      </c>
      <c r="J28" s="32" t="n">
        <f aca="false">IF($A28="","",IF(I28=0,"前年実績なし",F28/I28))</f>
        <v>0.797656913623879</v>
      </c>
      <c r="K28" s="30" t="n">
        <f aca="false">IF(OR($A28="",取込チェック!$K$3=0),"",SUMIFS(店舗マスタ!$P$5:$P$304,店舗マスタ!$C$5:$C$304,$A28))</f>
        <v>1960000</v>
      </c>
      <c r="L28" s="30" t="n">
        <f aca="false">IF(K28="","",F28-K28)</f>
        <v>612970</v>
      </c>
      <c r="M28" s="31" t="n">
        <f aca="false">IF(L28="","",IF(F28=0,"-",L28/F28))</f>
        <v>0.238234413926319</v>
      </c>
    </row>
    <row r="29" customFormat="false" ht="15" hidden="false" customHeight="false" outlineLevel="0" collapsed="false">
      <c r="A29" s="30" t="str">
        <f aca="false">IFERROR(INDEX(店舗マスタ!$C$5:$C$304,MATCH(25,店舗マスタ!$O$5:$O$304,0)),"")</f>
        <v>松坂屋上野店</v>
      </c>
      <c r="B29" s="30" t="n">
        <f aca="false">IF($A29="","",SUMIFS(店舗マスタ!$G$5:$G$304,店舗マスタ!$C$5:$C$304,$A29,店舗マスタ!$E$5:$E$304,"アルチビオ"))</f>
        <v>0</v>
      </c>
      <c r="C29" s="30" t="n">
        <f aca="false">IF($A29="","",SUMIFS(店舗マスタ!$G$5:$G$304,店舗マスタ!$C$5:$C$304,$A29,店舗マスタ!$E$5:$E$304,"スタジオピッコーネ／ピッコーネクラブ"))</f>
        <v>1841920</v>
      </c>
      <c r="D29" s="30" t="n">
        <f aca="false">IF($A29="","",SUMIFS(店舗マスタ!$G$5:$G$304,店舗マスタ!$C$5:$C$304,$A29,店舗マスタ!$E$5:$E$304,"ピッコーネ"))</f>
        <v>0</v>
      </c>
      <c r="E29" s="30" t="n">
        <f aca="false">IF($A29="","",SUMIFS(店舗マスタ!$G$5:$G$304,店舗マスタ!$C$5:$C$304,$A29,店舗マスタ!$E$5:$E$304,"複合（アルチビオ＋ピッコーネ系）"))</f>
        <v>0</v>
      </c>
      <c r="F29" s="30" t="n">
        <f aca="false">IF($A29="","",SUM(B29:E29))</f>
        <v>1841920</v>
      </c>
      <c r="G29" s="30" t="n">
        <f aca="false">IF($A29="","",SUMIFS(店舗マスタ!$H$5:$H$304,店舗マスタ!$C$5:$C$304,$A29))</f>
        <v>2050000</v>
      </c>
      <c r="H29" s="31" t="n">
        <f aca="false">IF($A29="","",IF(G29=0,"-",F29/G29))</f>
        <v>0.89849756097561</v>
      </c>
      <c r="I29" s="30" t="n">
        <f aca="false">IF($A29="","",SUMIFS(店舗マスタ!$I$5:$I$304,店舗マスタ!$C$5:$C$304,$A29))</f>
        <v>1940260</v>
      </c>
      <c r="J29" s="32" t="n">
        <f aca="false">IF($A29="","",IF(I29=0,"前年実績なし",F29/I29))</f>
        <v>0.949316071042025</v>
      </c>
      <c r="K29" s="30" t="n">
        <f aca="false">IF(OR($A29="",取込チェック!$K$3=0),"",SUMIFS(店舗マスタ!$P$5:$P$304,店舗マスタ!$C$5:$C$304,$A29))</f>
        <v>1797020</v>
      </c>
      <c r="L29" s="30" t="n">
        <f aca="false">IF(K29="","",F29-K29)</f>
        <v>44900</v>
      </c>
      <c r="M29" s="31" t="n">
        <f aca="false">IF(L29="","",IF(F29=0,"-",L29/F29))</f>
        <v>0.0243767373175817</v>
      </c>
    </row>
    <row r="30" customFormat="false" ht="15" hidden="false" customHeight="false" outlineLevel="0" collapsed="false">
      <c r="A30" s="30" t="str">
        <f aca="false">IFERROR(INDEX(店舗マスタ!$C$5:$C$304,MATCH(26,店舗マスタ!$O$5:$O$304,0)),"")</f>
        <v>松屋銀座本店</v>
      </c>
      <c r="B30" s="30" t="n">
        <f aca="false">IF($A30="","",SUMIFS(店舗マスタ!$G$5:$G$304,店舗マスタ!$C$5:$C$304,$A30,店舗マスタ!$E$5:$E$304,"アルチビオ"))</f>
        <v>1425313</v>
      </c>
      <c r="C30" s="30" t="n">
        <f aca="false">IF($A30="","",SUMIFS(店舗マスタ!$G$5:$G$304,店舗マスタ!$C$5:$C$304,$A30,店舗マスタ!$E$5:$E$304,"スタジオピッコーネ／ピッコーネクラブ"))</f>
        <v>3005230</v>
      </c>
      <c r="D30" s="30" t="n">
        <f aca="false">IF($A30="","",SUMIFS(店舗マスタ!$G$5:$G$304,店舗マスタ!$C$5:$C$304,$A30,店舗マスタ!$E$5:$E$304,"ピッコーネ"))</f>
        <v>0</v>
      </c>
      <c r="E30" s="30" t="n">
        <f aca="false">IF($A30="","",SUMIFS(店舗マスタ!$G$5:$G$304,店舗マスタ!$C$5:$C$304,$A30,店舗マスタ!$E$5:$E$304,"複合（アルチビオ＋ピッコーネ系）"))</f>
        <v>0</v>
      </c>
      <c r="F30" s="30" t="n">
        <f aca="false">IF($A30="","",SUM(B30:E30))</f>
        <v>4430543</v>
      </c>
      <c r="G30" s="30" t="n">
        <f aca="false">IF($A30="","",SUMIFS(店舗マスタ!$H$5:$H$304,店舗マスタ!$C$5:$C$304,$A30))</f>
        <v>5562000</v>
      </c>
      <c r="H30" s="31" t="n">
        <f aca="false">IF($A30="","",IF(G30=0,"-",F30/G30))</f>
        <v>0.79657371449119</v>
      </c>
      <c r="I30" s="30" t="n">
        <f aca="false">IF($A30="","",SUMIFS(店舗マスタ!$I$5:$I$304,店舗マスタ!$C$5:$C$304,$A30))</f>
        <v>4799390</v>
      </c>
      <c r="J30" s="32" t="n">
        <f aca="false">IF($A30="","",IF(I30=0,"前年実績なし",F30/I30))</f>
        <v>0.923147108278344</v>
      </c>
      <c r="K30" s="30" t="n">
        <f aca="false">IF(OR($A30="",取込チェック!$K$3=0),"",SUMIFS(店舗マスタ!$P$5:$P$304,店舗マスタ!$C$5:$C$304,$A30))</f>
        <v>4145363</v>
      </c>
      <c r="L30" s="30" t="n">
        <f aca="false">IF(K30="","",F30-K30)</f>
        <v>285180</v>
      </c>
      <c r="M30" s="31" t="n">
        <f aca="false">IF(L30="","",IF(F30=0,"-",L30/F30))</f>
        <v>0.0643668281743344</v>
      </c>
    </row>
    <row r="31" customFormat="false" ht="15" hidden="false" customHeight="false" outlineLevel="0" collapsed="false">
      <c r="A31" s="30" t="str">
        <f aca="false">IFERROR(INDEX(店舗マスタ!$C$5:$C$304,MATCH(27,店舗マスタ!$O$5:$O$304,0)),"")</f>
        <v>東武百貨店船橋店</v>
      </c>
      <c r="B31" s="30" t="n">
        <f aca="false">IF($A31="","",SUMIFS(店舗マスタ!$G$5:$G$304,店舗マスタ!$C$5:$C$304,$A31,店舗マスタ!$E$5:$E$304,"アルチビオ"))</f>
        <v>0</v>
      </c>
      <c r="C31" s="30" t="n">
        <f aca="false">IF($A31="","",SUMIFS(店舗マスタ!$G$5:$G$304,店舗マスタ!$C$5:$C$304,$A31,店舗マスタ!$E$5:$E$304,"スタジオピッコーネ／ピッコーネクラブ"))</f>
        <v>2155045</v>
      </c>
      <c r="D31" s="30" t="n">
        <f aca="false">IF($A31="","",SUMIFS(店舗マスタ!$G$5:$G$304,店舗マスタ!$C$5:$C$304,$A31,店舗マスタ!$E$5:$E$304,"ピッコーネ"))</f>
        <v>0</v>
      </c>
      <c r="E31" s="30" t="n">
        <f aca="false">IF($A31="","",SUMIFS(店舗マスタ!$G$5:$G$304,店舗マスタ!$C$5:$C$304,$A31,店舗マスタ!$E$5:$E$304,"複合（アルチビオ＋ピッコーネ系）"))</f>
        <v>0</v>
      </c>
      <c r="F31" s="30" t="n">
        <f aca="false">IF($A31="","",SUM(B31:E31))</f>
        <v>2155045</v>
      </c>
      <c r="G31" s="30" t="n">
        <f aca="false">IF($A31="","",SUMIFS(店舗マスタ!$H$5:$H$304,店舗マスタ!$C$5:$C$304,$A31))</f>
        <v>1923000</v>
      </c>
      <c r="H31" s="31" t="n">
        <f aca="false">IF($A31="","",IF(G31=0,"-",F31/G31))</f>
        <v>1.12066822672907</v>
      </c>
      <c r="I31" s="30" t="n">
        <f aca="false">IF($A31="","",SUMIFS(店舗マスタ!$I$5:$I$304,店舗マスタ!$C$5:$C$304,$A31))</f>
        <v>1662095</v>
      </c>
      <c r="J31" s="32" t="n">
        <f aca="false">IF($A31="","",IF(I31=0,"前年実績なし",F31/I31))</f>
        <v>1.296583528619</v>
      </c>
      <c r="K31" s="30" t="n">
        <f aca="false">IF(OR($A31="",取込チェック!$K$3=0),"",SUMIFS(店舗マスタ!$P$5:$P$304,店舗マスタ!$C$5:$C$304,$A31))</f>
        <v>2039545</v>
      </c>
      <c r="L31" s="30" t="n">
        <f aca="false">IF(K31="","",F31-K31)</f>
        <v>115500</v>
      </c>
      <c r="M31" s="31" t="n">
        <f aca="false">IF(L31="","",IF(F31=0,"-",L31/F31))</f>
        <v>0.0535951685463645</v>
      </c>
    </row>
    <row r="32" customFormat="false" ht="15" hidden="false" customHeight="false" outlineLevel="0" collapsed="false">
      <c r="A32" s="30" t="str">
        <f aca="false">IFERROR(INDEX(店舗マスタ!$C$5:$C$304,MATCH(28,店舗マスタ!$O$5:$O$304,0)),"")</f>
        <v>伊勢丹浦和店</v>
      </c>
      <c r="B32" s="30" t="n">
        <f aca="false">IF($A32="","",SUMIFS(店舗マスタ!$G$5:$G$304,店舗マスタ!$C$5:$C$304,$A32,店舗マスタ!$E$5:$E$304,"アルチビオ"))</f>
        <v>469470</v>
      </c>
      <c r="C32" s="30" t="n">
        <f aca="false">IF($A32="","",SUMIFS(店舗マスタ!$G$5:$G$304,店舗マスタ!$C$5:$C$304,$A32,店舗マスタ!$E$5:$E$304,"スタジオピッコーネ／ピッコーネクラブ"))</f>
        <v>0</v>
      </c>
      <c r="D32" s="30" t="n">
        <f aca="false">IF($A32="","",SUMIFS(店舗マスタ!$G$5:$G$304,店舗マスタ!$C$5:$C$304,$A32,店舗マスタ!$E$5:$E$304,"ピッコーネ"))</f>
        <v>0</v>
      </c>
      <c r="E32" s="30" t="n">
        <f aca="false">IF($A32="","",SUMIFS(店舗マスタ!$G$5:$G$304,店舗マスタ!$C$5:$C$304,$A32,店舗マスタ!$E$5:$E$304,"複合（アルチビオ＋ピッコーネ系）"))</f>
        <v>0</v>
      </c>
      <c r="F32" s="30" t="n">
        <f aca="false">IF($A32="","",SUM(B32:E32))</f>
        <v>469470</v>
      </c>
      <c r="G32" s="30" t="n">
        <f aca="false">IF($A32="","",SUMIFS(店舗マスタ!$H$5:$H$304,店舗マスタ!$C$5:$C$304,$A32))</f>
        <v>1100000</v>
      </c>
      <c r="H32" s="31" t="n">
        <f aca="false">IF($A32="","",IF(G32=0,"-",F32/G32))</f>
        <v>0.426790909090909</v>
      </c>
      <c r="I32" s="30" t="n">
        <f aca="false">IF($A32="","",SUMIFS(店舗マスタ!$I$5:$I$304,店舗マスタ!$C$5:$C$304,$A32))</f>
        <v>1083300</v>
      </c>
      <c r="J32" s="32" t="n">
        <f aca="false">IF($A32="","",IF(I32=0,"前年実績なし",F32/I32))</f>
        <v>0.433370257546386</v>
      </c>
      <c r="K32" s="30" t="n">
        <f aca="false">IF(OR($A32="",取込チェック!$K$3=0),"",SUMIFS(店舗マスタ!$P$5:$P$304,店舗マスタ!$C$5:$C$304,$A32))</f>
        <v>206800</v>
      </c>
      <c r="L32" s="30" t="n">
        <f aca="false">IF(K32="","",F32-K32)</f>
        <v>262670</v>
      </c>
      <c r="M32" s="31" t="n">
        <f aca="false">IF(L32="","",IF(F32=0,"-",L32/F32))</f>
        <v>0.559503269644493</v>
      </c>
    </row>
    <row r="33" customFormat="false" ht="15" hidden="false" customHeight="false" outlineLevel="0" collapsed="false">
      <c r="A33" s="30" t="str">
        <f aca="false">IFERROR(INDEX(店舗マスタ!$C$5:$C$304,MATCH(29,店舗マスタ!$O$5:$O$304,0)),"")</f>
        <v>仙台三越</v>
      </c>
      <c r="B33" s="30" t="n">
        <f aca="false">IF($A33="","",SUMIFS(店舗マスタ!$G$5:$G$304,店舗マスタ!$C$5:$C$304,$A33,店舗マスタ!$E$5:$E$304,"アルチビオ"))</f>
        <v>0</v>
      </c>
      <c r="C33" s="30" t="n">
        <f aca="false">IF($A33="","",SUMIFS(店舗マスタ!$G$5:$G$304,店舗マスタ!$C$5:$C$304,$A33,店舗マスタ!$E$5:$E$304,"スタジオピッコーネ／ピッコーネクラブ"))</f>
        <v>1266300</v>
      </c>
      <c r="D33" s="30" t="n">
        <f aca="false">IF($A33="","",SUMIFS(店舗マスタ!$G$5:$G$304,店舗マスタ!$C$5:$C$304,$A33,店舗マスタ!$E$5:$E$304,"ピッコーネ"))</f>
        <v>0</v>
      </c>
      <c r="E33" s="30" t="n">
        <f aca="false">IF($A33="","",SUMIFS(店舗マスタ!$G$5:$G$304,店舗マスタ!$C$5:$C$304,$A33,店舗マスタ!$E$5:$E$304,"複合（アルチビオ＋ピッコーネ系）"))</f>
        <v>0</v>
      </c>
      <c r="F33" s="30" t="n">
        <f aca="false">IF($A33="","",SUM(B33:E33))</f>
        <v>1266300</v>
      </c>
      <c r="G33" s="30" t="n">
        <f aca="false">IF($A33="","",SUMIFS(店舗マスタ!$H$5:$H$304,店舗マスタ!$C$5:$C$304,$A33))</f>
        <v>1250000</v>
      </c>
      <c r="H33" s="31" t="n">
        <f aca="false">IF($A33="","",IF(G33=0,"-",F33/G33))</f>
        <v>1.01304</v>
      </c>
      <c r="I33" s="30" t="n">
        <f aca="false">IF($A33="","",SUMIFS(店舗マスタ!$I$5:$I$304,店舗マスタ!$C$5:$C$304,$A33))</f>
        <v>948000</v>
      </c>
      <c r="J33" s="32" t="n">
        <f aca="false">IF($A33="","",IF(I33=0,"前年実績なし",F33/I33))</f>
        <v>1.33575949367089</v>
      </c>
      <c r="K33" s="30" t="n">
        <f aca="false">IF(OR($A33="",取込チェック!$K$3=0),"",SUMIFS(店舗マスタ!$P$5:$P$304,店舗マスタ!$C$5:$C$304,$A33))</f>
        <v>1266300</v>
      </c>
      <c r="L33" s="30" t="n">
        <f aca="false">IF(K33="","",F33-K33)</f>
        <v>0</v>
      </c>
      <c r="M33" s="31" t="n">
        <f aca="false">IF(L33="","",IF(F33=0,"-",L33/F33))</f>
        <v>0</v>
      </c>
    </row>
    <row r="34" customFormat="false" ht="15" hidden="false" customHeight="false" outlineLevel="0" collapsed="false">
      <c r="A34" s="30" t="str">
        <f aca="false">IFERROR(INDEX(店舗マスタ!$C$5:$C$304,MATCH(30,店舗マスタ!$O$5:$O$304,0)),"")</f>
        <v>東急百貨店たまプラーザ店</v>
      </c>
      <c r="B34" s="30" t="n">
        <f aca="false">IF($A34="","",SUMIFS(店舗マスタ!$G$5:$G$304,店舗マスタ!$C$5:$C$304,$A34,店舗マスタ!$E$5:$E$304,"アルチビオ"))</f>
        <v>0</v>
      </c>
      <c r="C34" s="30" t="n">
        <f aca="false">IF($A34="","",SUMIFS(店舗マスタ!$G$5:$G$304,店舗マスタ!$C$5:$C$304,$A34,店舗マスタ!$E$5:$E$304,"スタジオピッコーネ／ピッコーネクラブ"))</f>
        <v>0</v>
      </c>
      <c r="D34" s="30" t="n">
        <f aca="false">IF($A34="","",SUMIFS(店舗マスタ!$G$5:$G$304,店舗マスタ!$C$5:$C$304,$A34,店舗マスタ!$E$5:$E$304,"ピッコーネ"))</f>
        <v>3108900</v>
      </c>
      <c r="E34" s="30" t="n">
        <f aca="false">IF($A34="","",SUMIFS(店舗マスタ!$G$5:$G$304,店舗マスタ!$C$5:$C$304,$A34,店舗マスタ!$E$5:$E$304,"複合（アルチビオ＋ピッコーネ系）"))</f>
        <v>0</v>
      </c>
      <c r="F34" s="30" t="n">
        <f aca="false">IF($A34="","",SUM(B34:E34))</f>
        <v>3108900</v>
      </c>
      <c r="G34" s="30" t="n">
        <f aca="false">IF($A34="","",SUMIFS(店舗マスタ!$H$5:$H$304,店舗マスタ!$C$5:$C$304,$A34))</f>
        <v>4800000</v>
      </c>
      <c r="H34" s="31" t="n">
        <f aca="false">IF($A34="","",IF(G34=0,"-",F34/G34))</f>
        <v>0.6476875</v>
      </c>
      <c r="I34" s="30" t="n">
        <f aca="false">IF($A34="","",SUMIFS(店舗マスタ!$I$5:$I$304,店舗マスタ!$C$5:$C$304,$A34))</f>
        <v>4852400</v>
      </c>
      <c r="J34" s="32" t="n">
        <f aca="false">IF($A34="","",IF(I34=0,"前年実績なし",F34/I34))</f>
        <v>0.640693265188361</v>
      </c>
      <c r="K34" s="30" t="n">
        <f aca="false">IF(OR($A34="",取込チェック!$K$3=0),"",SUMIFS(店舗マスタ!$P$5:$P$304,店舗マスタ!$C$5:$C$304,$A34))</f>
        <v>2879800</v>
      </c>
      <c r="L34" s="30" t="n">
        <f aca="false">IF(K34="","",F34-K34)</f>
        <v>229100</v>
      </c>
      <c r="M34" s="31" t="n">
        <f aca="false">IF(L34="","",IF(F34=0,"-",L34/F34))</f>
        <v>0.0736916594293802</v>
      </c>
    </row>
    <row r="35" customFormat="false" ht="15" hidden="false" customHeight="false" outlineLevel="0" collapsed="false">
      <c r="A35" s="30" t="str">
        <f aca="false">IFERROR(INDEX(店舗マスタ!$C$5:$C$304,MATCH(31,店舗マスタ!$O$5:$O$304,0)),"")</f>
        <v>東急百貨店吉祥寺店</v>
      </c>
      <c r="B35" s="30" t="n">
        <f aca="false">IF($A35="","",SUMIFS(店舗マスタ!$G$5:$G$304,店舗マスタ!$C$5:$C$304,$A35,店舗マスタ!$E$5:$E$304,"アルチビオ"))</f>
        <v>0</v>
      </c>
      <c r="C35" s="30" t="n">
        <f aca="false">IF($A35="","",SUMIFS(店舗マスタ!$G$5:$G$304,店舗マスタ!$C$5:$C$304,$A35,店舗マスタ!$E$5:$E$304,"スタジオピッコーネ／ピッコーネクラブ"))</f>
        <v>0</v>
      </c>
      <c r="D35" s="30" t="n">
        <f aca="false">IF($A35="","",SUMIFS(店舗マスタ!$G$5:$G$304,店舗マスタ!$C$5:$C$304,$A35,店舗マスタ!$E$5:$E$304,"ピッコーネ"))</f>
        <v>2224545</v>
      </c>
      <c r="E35" s="30" t="n">
        <f aca="false">IF($A35="","",SUMIFS(店舗マスタ!$G$5:$G$304,店舗マスタ!$C$5:$C$304,$A35,店舗マスタ!$E$5:$E$304,"複合（アルチビオ＋ピッコーネ系）"))</f>
        <v>0</v>
      </c>
      <c r="F35" s="30" t="n">
        <f aca="false">IF($A35="","",SUM(B35:E35))</f>
        <v>2224545</v>
      </c>
      <c r="G35" s="30" t="n">
        <f aca="false">IF($A35="","",SUMIFS(店舗マスタ!$H$5:$H$304,店舗マスタ!$C$5:$C$304,$A35))</f>
        <v>3200000</v>
      </c>
      <c r="H35" s="31" t="n">
        <f aca="false">IF($A35="","",IF(G35=0,"-",F35/G35))</f>
        <v>0.6951703125</v>
      </c>
      <c r="I35" s="30" t="n">
        <f aca="false">IF($A35="","",SUMIFS(店舗マスタ!$I$5:$I$304,店舗マスタ!$C$5:$C$304,$A35))</f>
        <v>3080805</v>
      </c>
      <c r="J35" s="32" t="n">
        <f aca="false">IF($A35="","",IF(I35=0,"前年実績なし",F35/I35))</f>
        <v>0.722066148295657</v>
      </c>
      <c r="K35" s="30" t="n">
        <f aca="false">IF(OR($A35="",取込チェック!$K$3=0),"",SUMIFS(店舗マスタ!$P$5:$P$304,店舗マスタ!$C$5:$C$304,$A35))</f>
        <v>2102845</v>
      </c>
      <c r="L35" s="30" t="n">
        <f aca="false">IF(K35="","",F35-K35)</f>
        <v>121700</v>
      </c>
      <c r="M35" s="31" t="n">
        <f aca="false">IF(L35="","",IF(F35=0,"-",L35/F35))</f>
        <v>0.0547078166546417</v>
      </c>
    </row>
    <row r="36" customFormat="false" ht="15" hidden="false" customHeight="false" outlineLevel="0" collapsed="false">
      <c r="A36" s="30" t="str">
        <f aca="false">IFERROR(INDEX(店舗マスタ!$C$5:$C$304,MATCH(32,店舗マスタ!$O$5:$O$304,0)),"")</f>
        <v>ながの東急百貨店</v>
      </c>
      <c r="B36" s="30" t="n">
        <f aca="false">IF($A36="","",SUMIFS(店舗マスタ!$G$5:$G$304,店舗マスタ!$C$5:$C$304,$A36,店舗マスタ!$E$5:$E$304,"アルチビオ"))</f>
        <v>0</v>
      </c>
      <c r="C36" s="30" t="n">
        <f aca="false">IF($A36="","",SUMIFS(店舗マスタ!$G$5:$G$304,店舗マスタ!$C$5:$C$304,$A36,店舗マスタ!$E$5:$E$304,"スタジオピッコーネ／ピッコーネクラブ"))</f>
        <v>2648700</v>
      </c>
      <c r="D36" s="30" t="n">
        <f aca="false">IF($A36="","",SUMIFS(店舗マスタ!$G$5:$G$304,店舗マスタ!$C$5:$C$304,$A36,店舗マスタ!$E$5:$E$304,"ピッコーネ"))</f>
        <v>0</v>
      </c>
      <c r="E36" s="30" t="n">
        <f aca="false">IF($A36="","",SUMIFS(店舗マスタ!$G$5:$G$304,店舗マスタ!$C$5:$C$304,$A36,店舗マスタ!$E$5:$E$304,"複合（アルチビオ＋ピッコーネ系）"))</f>
        <v>0</v>
      </c>
      <c r="F36" s="30" t="n">
        <f aca="false">IF($A36="","",SUM(B36:E36))</f>
        <v>2648700</v>
      </c>
      <c r="G36" s="30" t="n">
        <f aca="false">IF($A36="","",SUMIFS(店舗マスタ!$H$5:$H$304,店舗マスタ!$C$5:$C$304,$A36))</f>
        <v>3910000</v>
      </c>
      <c r="H36" s="31" t="n">
        <f aca="false">IF($A36="","",IF(G36=0,"-",F36/G36))</f>
        <v>0.677416879795396</v>
      </c>
      <c r="I36" s="30" t="n">
        <f aca="false">IF($A36="","",SUMIFS(店舗マスタ!$I$5:$I$304,店舗マスタ!$C$5:$C$304,$A36))</f>
        <v>3232800</v>
      </c>
      <c r="J36" s="32" t="n">
        <f aca="false">IF($A36="","",IF(I36=0,"前年実績なし",F36/I36))</f>
        <v>0.819320712694878</v>
      </c>
      <c r="K36" s="30" t="n">
        <f aca="false">IF(OR($A36="",取込チェック!$K$3=0),"",SUMIFS(店舗マスタ!$P$5:$P$304,店舗マスタ!$C$5:$C$304,$A36))</f>
        <v>2585700</v>
      </c>
      <c r="L36" s="30" t="n">
        <f aca="false">IF(K36="","",F36-K36)</f>
        <v>63000</v>
      </c>
      <c r="M36" s="31" t="n">
        <f aca="false">IF(L36="","",IF(F36=0,"-",L36/F36))</f>
        <v>0.0237852531430513</v>
      </c>
    </row>
    <row r="37" customFormat="false" ht="15" hidden="false" customHeight="false" outlineLevel="0" collapsed="false">
      <c r="A37" s="30" t="str">
        <f aca="false">IFERROR(INDEX(店舗マスタ!$C$5:$C$304,MATCH(33,店舗マスタ!$O$5:$O$304,0)),"")</f>
        <v>静岡伊勢丹</v>
      </c>
      <c r="B37" s="30" t="n">
        <f aca="false">IF($A37="","",SUMIFS(店舗マスタ!$G$5:$G$304,店舗マスタ!$C$5:$C$304,$A37,店舗マスタ!$E$5:$E$304,"アルチビオ"))</f>
        <v>0</v>
      </c>
      <c r="C37" s="30" t="n">
        <f aca="false">IF($A37="","",SUMIFS(店舗マスタ!$G$5:$G$304,店舗マスタ!$C$5:$C$304,$A37,店舗マスタ!$E$5:$E$304,"スタジオピッコーネ／ピッコーネクラブ"))</f>
        <v>1267300</v>
      </c>
      <c r="D37" s="30" t="n">
        <f aca="false">IF($A37="","",SUMIFS(店舗マスタ!$G$5:$G$304,店舗マスタ!$C$5:$C$304,$A37,店舗マスタ!$E$5:$E$304,"ピッコーネ"))</f>
        <v>0</v>
      </c>
      <c r="E37" s="30" t="n">
        <f aca="false">IF($A37="","",SUMIFS(店舗マスタ!$G$5:$G$304,店舗マスタ!$C$5:$C$304,$A37,店舗マスタ!$E$5:$E$304,"複合（アルチビオ＋ピッコーネ系）"))</f>
        <v>0</v>
      </c>
      <c r="F37" s="30" t="n">
        <f aca="false">IF($A37="","",SUM(B37:E37))</f>
        <v>1267300</v>
      </c>
      <c r="G37" s="30" t="n">
        <f aca="false">IF($A37="","",SUMIFS(店舗マスタ!$H$5:$H$304,店舗マスタ!$C$5:$C$304,$A37))</f>
        <v>1260000</v>
      </c>
      <c r="H37" s="31" t="n">
        <f aca="false">IF($A37="","",IF(G37=0,"-",F37/G37))</f>
        <v>1.00579365079365</v>
      </c>
      <c r="I37" s="30" t="n">
        <f aca="false">IF($A37="","",SUMIFS(店舗マスタ!$I$5:$I$304,店舗マスタ!$C$5:$C$304,$A37))</f>
        <v>910300</v>
      </c>
      <c r="J37" s="32" t="n">
        <f aca="false">IF($A37="","",IF(I37=0,"前年実績なし",F37/I37))</f>
        <v>1.39217840272438</v>
      </c>
      <c r="K37" s="30" t="n">
        <f aca="false">IF(OR($A37="",取込チェック!$K$3=0),"",SUMIFS(店舗マスタ!$P$5:$P$304,店舗マスタ!$C$5:$C$304,$A37))</f>
        <v>832100</v>
      </c>
      <c r="L37" s="30" t="n">
        <f aca="false">IF(K37="","",F37-K37)</f>
        <v>435200</v>
      </c>
      <c r="M37" s="31" t="n">
        <f aca="false">IF(L37="","",IF(F37=0,"-",L37/F37))</f>
        <v>0.343407243746548</v>
      </c>
    </row>
    <row r="38" customFormat="false" ht="15" hidden="false" customHeight="false" outlineLevel="0" collapsed="false">
      <c r="A38" s="30" t="str">
        <f aca="false">IFERROR(INDEX(店舗マスタ!$C$5:$C$304,MATCH(34,店舗マスタ!$O$5:$O$304,0)),"")</f>
        <v>伊勢丹立川店</v>
      </c>
      <c r="B38" s="30" t="n">
        <f aca="false">IF($A38="","",SUMIFS(店舗マスタ!$G$5:$G$304,店舗マスタ!$C$5:$C$304,$A38,店舗マスタ!$E$5:$E$304,"アルチビオ"))</f>
        <v>0</v>
      </c>
      <c r="C38" s="30" t="n">
        <f aca="false">IF($A38="","",SUMIFS(店舗マスタ!$G$5:$G$304,店舗マスタ!$C$5:$C$304,$A38,店舗マスタ!$E$5:$E$304,"スタジオピッコーネ／ピッコーネクラブ"))</f>
        <v>1418275</v>
      </c>
      <c r="D38" s="30" t="n">
        <f aca="false">IF($A38="","",SUMIFS(店舗マスタ!$G$5:$G$304,店舗マスタ!$C$5:$C$304,$A38,店舗マスタ!$E$5:$E$304,"ピッコーネ"))</f>
        <v>0</v>
      </c>
      <c r="E38" s="30" t="n">
        <f aca="false">IF($A38="","",SUMIFS(店舗マスタ!$G$5:$G$304,店舗マスタ!$C$5:$C$304,$A38,店舗マスタ!$E$5:$E$304,"複合（アルチビオ＋ピッコーネ系）"))</f>
        <v>0</v>
      </c>
      <c r="F38" s="30" t="n">
        <f aca="false">IF($A38="","",SUM(B38:E38))</f>
        <v>1418275</v>
      </c>
      <c r="G38" s="30" t="n">
        <f aca="false">IF($A38="","",SUMIFS(店舗マスタ!$H$5:$H$304,店舗マスタ!$C$5:$C$304,$A38))</f>
        <v>2500000</v>
      </c>
      <c r="H38" s="31" t="n">
        <f aca="false">IF($A38="","",IF(G38=0,"-",F38/G38))</f>
        <v>0.56731</v>
      </c>
      <c r="I38" s="30" t="n">
        <f aca="false">IF($A38="","",SUMIFS(店舗マスタ!$I$5:$I$304,店舗マスタ!$C$5:$C$304,$A38))</f>
        <v>2424400</v>
      </c>
      <c r="J38" s="32" t="n">
        <f aca="false">IF($A38="","",IF(I38=0,"前年実績なし",F38/I38))</f>
        <v>0.585000412473189</v>
      </c>
      <c r="K38" s="30" t="n">
        <f aca="false">IF(OR($A38="",取込チェック!$K$3=0),"",SUMIFS(店舗マスタ!$P$5:$P$304,店舗マスタ!$C$5:$C$304,$A38))</f>
        <v>1380275</v>
      </c>
      <c r="L38" s="30" t="n">
        <f aca="false">IF(K38="","",F38-K38)</f>
        <v>38000</v>
      </c>
      <c r="M38" s="31" t="n">
        <f aca="false">IF(L38="","",IF(F38=0,"-",L38/F38))</f>
        <v>0.0267931113500555</v>
      </c>
    </row>
    <row r="39" customFormat="false" ht="15" hidden="false" customHeight="false" outlineLevel="0" collapsed="false">
      <c r="A39" s="30" t="str">
        <f aca="false">IFERROR(INDEX(店舗マスタ!$C$5:$C$304,MATCH(35,店舗マスタ!$O$5:$O$304,0)),"")</f>
        <v>東武宇都宮百貨店</v>
      </c>
      <c r="B39" s="30" t="n">
        <f aca="false">IF($A39="","",SUMIFS(店舗マスタ!$G$5:$G$304,店舗マスタ!$C$5:$C$304,$A39,店舗マスタ!$E$5:$E$304,"アルチビオ"))</f>
        <v>0</v>
      </c>
      <c r="C39" s="30" t="n">
        <f aca="false">IF($A39="","",SUMIFS(店舗マスタ!$G$5:$G$304,店舗マスタ!$C$5:$C$304,$A39,店舗マスタ!$E$5:$E$304,"スタジオピッコーネ／ピッコーネクラブ"))</f>
        <v>1843700</v>
      </c>
      <c r="D39" s="30" t="n">
        <f aca="false">IF($A39="","",SUMIFS(店舗マスタ!$G$5:$G$304,店舗マスタ!$C$5:$C$304,$A39,店舗マスタ!$E$5:$E$304,"ピッコーネ"))</f>
        <v>0</v>
      </c>
      <c r="E39" s="30" t="n">
        <f aca="false">IF($A39="","",SUMIFS(店舗マスタ!$G$5:$G$304,店舗マスタ!$C$5:$C$304,$A39,店舗マスタ!$E$5:$E$304,"複合（アルチビオ＋ピッコーネ系）"))</f>
        <v>0</v>
      </c>
      <c r="F39" s="30" t="n">
        <f aca="false">IF($A39="","",SUM(B39:E39))</f>
        <v>1843700</v>
      </c>
      <c r="G39" s="30" t="n">
        <f aca="false">IF($A39="","",SUMIFS(店舗マスタ!$H$5:$H$304,店舗マスタ!$C$5:$C$304,$A39))</f>
        <v>1450000</v>
      </c>
      <c r="H39" s="31" t="n">
        <f aca="false">IF($A39="","",IF(G39=0,"-",F39/G39))</f>
        <v>1.27151724137931</v>
      </c>
      <c r="I39" s="30" t="n">
        <f aca="false">IF($A39="","",SUMIFS(店舗マスタ!$I$5:$I$304,店舗マスタ!$C$5:$C$304,$A39))</f>
        <v>1179400</v>
      </c>
      <c r="J39" s="32" t="n">
        <f aca="false">IF($A39="","",IF(I39=0,"前年実績なし",F39/I39))</f>
        <v>1.56325250127183</v>
      </c>
      <c r="K39" s="30" t="n">
        <f aca="false">IF(OR($A39="",取込チェック!$K$3=0),"",SUMIFS(店舗マスタ!$P$5:$P$304,店舗マスタ!$C$5:$C$304,$A39))</f>
        <v>1540400</v>
      </c>
      <c r="L39" s="30" t="n">
        <f aca="false">IF(K39="","",F39-K39)</f>
        <v>303300</v>
      </c>
      <c r="M39" s="31" t="n">
        <f aca="false">IF(L39="","",IF(F39=0,"-",L39/F39))</f>
        <v>0.164506156099148</v>
      </c>
    </row>
    <row r="40" customFormat="false" ht="15" hidden="false" customHeight="false" outlineLevel="0" collapsed="false">
      <c r="A40" s="30" t="str">
        <f aca="false">IFERROR(INDEX(店舗マスタ!$C$5:$C$304,MATCH(36,店舗マスタ!$O$5:$O$304,0)),"")</f>
        <v>高島屋大宮店</v>
      </c>
      <c r="B40" s="30" t="n">
        <f aca="false">IF($A40="","",SUMIFS(店舗マスタ!$G$5:$G$304,店舗マスタ!$C$5:$C$304,$A40,店舗マスタ!$E$5:$E$304,"アルチビオ"))</f>
        <v>0</v>
      </c>
      <c r="C40" s="30" t="n">
        <f aca="false">IF($A40="","",SUMIFS(店舗マスタ!$G$5:$G$304,店舗マスタ!$C$5:$C$304,$A40,店舗マスタ!$E$5:$E$304,"スタジオピッコーネ／ピッコーネクラブ"))</f>
        <v>627595</v>
      </c>
      <c r="D40" s="30" t="n">
        <f aca="false">IF($A40="","",SUMIFS(店舗マスタ!$G$5:$G$304,店舗マスタ!$C$5:$C$304,$A40,店舗マスタ!$E$5:$E$304,"ピッコーネ"))</f>
        <v>0</v>
      </c>
      <c r="E40" s="30" t="n">
        <f aca="false">IF($A40="","",SUMIFS(店舗マスタ!$G$5:$G$304,店舗マスタ!$C$5:$C$304,$A40,店舗マスタ!$E$5:$E$304,"複合（アルチビオ＋ピッコーネ系）"))</f>
        <v>0</v>
      </c>
      <c r="F40" s="30" t="n">
        <f aca="false">IF($A40="","",SUM(B40:E40))</f>
        <v>627595</v>
      </c>
      <c r="G40" s="30" t="n">
        <f aca="false">IF($A40="","",SUMIFS(店舗マスタ!$H$5:$H$304,店舗マスタ!$C$5:$C$304,$A40))</f>
        <v>1800000</v>
      </c>
      <c r="H40" s="31" t="n">
        <f aca="false">IF($A40="","",IF(G40=0,"-",F40/G40))</f>
        <v>0.348663888888889</v>
      </c>
      <c r="I40" s="30" t="n">
        <f aca="false">IF($A40="","",SUMIFS(店舗マスタ!$I$5:$I$304,店舗マスタ!$C$5:$C$304,$A40))</f>
        <v>0</v>
      </c>
      <c r="J40" s="32" t="str">
        <f aca="false">IF($A40="","",IF(I40=0,"前年実績なし",F40/I40))</f>
        <v>前年実績なし</v>
      </c>
      <c r="K40" s="30" t="n">
        <f aca="false">IF(OR($A40="",取込チェック!$K$3=0),"",SUMIFS(店舗マスタ!$P$5:$P$304,店舗マスタ!$C$5:$C$304,$A40))</f>
        <v>449395</v>
      </c>
      <c r="L40" s="30" t="n">
        <f aca="false">IF(K40="","",F40-K40)</f>
        <v>178200</v>
      </c>
      <c r="M40" s="31" t="n">
        <f aca="false">IF(L40="","",IF(F40=0,"-",L40/F40))</f>
        <v>0.28394107664975</v>
      </c>
    </row>
    <row r="41" customFormat="false" ht="15" hidden="false" customHeight="false" outlineLevel="0" collapsed="false">
      <c r="A41" s="30" t="str">
        <f aca="false">IFERROR(INDEX(店舗マスタ!$C$5:$C$304,MATCH(37,店舗マスタ!$O$5:$O$304,0)),"")</f>
        <v>那須ガーデンアウトレット店</v>
      </c>
      <c r="B41" s="30" t="n">
        <f aca="false">IF($A41="","",SUMIFS(店舗マスタ!$G$5:$G$304,店舗マスタ!$C$5:$C$304,$A41,店舗マスタ!$E$5:$E$304,"アルチビオ"))</f>
        <v>1066595</v>
      </c>
      <c r="C41" s="30" t="n">
        <f aca="false">IF($A41="","",SUMIFS(店舗マスタ!$G$5:$G$304,店舗マスタ!$C$5:$C$304,$A41,店舗マスタ!$E$5:$E$304,"スタジオピッコーネ／ピッコーネクラブ"))</f>
        <v>0</v>
      </c>
      <c r="D41" s="30" t="n">
        <f aca="false">IF($A41="","",SUMIFS(店舗マスタ!$G$5:$G$304,店舗マスタ!$C$5:$C$304,$A41,店舗マスタ!$E$5:$E$304,"ピッコーネ"))</f>
        <v>0</v>
      </c>
      <c r="E41" s="30" t="n">
        <f aca="false">IF($A41="","",SUMIFS(店舗マスタ!$G$5:$G$304,店舗マスタ!$C$5:$C$304,$A41,店舗マスタ!$E$5:$E$304,"複合（アルチビオ＋ピッコーネ系）"))</f>
        <v>0</v>
      </c>
      <c r="F41" s="30" t="n">
        <f aca="false">IF($A41="","",SUM(B41:E41))</f>
        <v>1066595</v>
      </c>
      <c r="G41" s="30" t="n">
        <f aca="false">IF($A41="","",SUMIFS(店舗マスタ!$H$5:$H$304,店舗マスタ!$C$5:$C$304,$A41))</f>
        <v>2600000</v>
      </c>
      <c r="H41" s="31" t="n">
        <f aca="false">IF($A41="","",IF(G41=0,"-",F41/G41))</f>
        <v>0.410228846153846</v>
      </c>
      <c r="I41" s="30" t="n">
        <f aca="false">IF($A41="","",SUMIFS(店舗マスタ!$I$5:$I$304,店舗マスタ!$C$5:$C$304,$A41))</f>
        <v>1845195</v>
      </c>
      <c r="J41" s="32" t="n">
        <f aca="false">IF($A41="","",IF(I41=0,"前年実績なし",F41/I41))</f>
        <v>0.578039177431112</v>
      </c>
      <c r="K41" s="30" t="n">
        <f aca="false">IF(OR($A41="",取込チェック!$K$3=0),"",SUMIFS(店舗マスタ!$P$5:$P$304,店舗マスタ!$C$5:$C$304,$A41))</f>
        <v>-4655</v>
      </c>
      <c r="L41" s="30" t="n">
        <f aca="false">IF(K41="","",F41-K41)</f>
        <v>1071250</v>
      </c>
      <c r="M41" s="31" t="n">
        <f aca="false">IF(L41="","",IF(F41=0,"-",L41/F41))</f>
        <v>1.00436435573015</v>
      </c>
    </row>
    <row r="42" customFormat="false" ht="15" hidden="false" customHeight="false" outlineLevel="0" collapsed="false">
      <c r="A42" s="30" t="str">
        <f aca="false">IFERROR(INDEX(店舗マスタ!$C$5:$C$304,MATCH(38,店舗マスタ!$O$5:$O$304,0)),"")</f>
        <v/>
      </c>
      <c r="B42" s="30" t="str">
        <f aca="false">IF($A42="","",SUMIFS(店舗マスタ!$G$5:$G$304,店舗マスタ!$C$5:$C$304,$A42,店舗マスタ!$E$5:$E$304,"アルチビオ"))</f>
        <v/>
      </c>
      <c r="C42" s="30" t="str">
        <f aca="false">IF($A42="","",SUMIFS(店舗マスタ!$G$5:$G$304,店舗マスタ!$C$5:$C$304,$A42,店舗マスタ!$E$5:$E$304,"スタジオピッコーネ／ピッコーネクラブ"))</f>
        <v/>
      </c>
      <c r="D42" s="30" t="str">
        <f aca="false">IF($A42="","",SUMIFS(店舗マスタ!$G$5:$G$304,店舗マスタ!$C$5:$C$304,$A42,店舗マスタ!$E$5:$E$304,"ピッコーネ"))</f>
        <v/>
      </c>
      <c r="E42" s="30" t="str">
        <f aca="false">IF($A42="","",SUMIFS(店舗マスタ!$G$5:$G$304,店舗マスタ!$C$5:$C$304,$A42,店舗マスタ!$E$5:$E$304,"複合（アルチビオ＋ピッコーネ系）"))</f>
        <v/>
      </c>
      <c r="F42" s="30" t="str">
        <f aca="false">IF($A42="","",SUM(B42:E42))</f>
        <v/>
      </c>
      <c r="G42" s="30" t="str">
        <f aca="false">IF($A42="","",SUMIFS(店舗マスタ!$H$5:$H$304,店舗マスタ!$C$5:$C$304,$A42))</f>
        <v/>
      </c>
      <c r="H42" s="31" t="str">
        <f aca="false">IF($A42="","",IF(G42=0,"-",F42/G42))</f>
        <v/>
      </c>
      <c r="I42" s="30" t="str">
        <f aca="false">IF($A42="","",SUMIFS(店舗マスタ!$I$5:$I$304,店舗マスタ!$C$5:$C$304,$A42))</f>
        <v/>
      </c>
      <c r="J42" s="32" t="str">
        <f aca="false">IF($A42="","",IF(I42=0,"前年実績なし",F42/I42))</f>
        <v/>
      </c>
      <c r="K42" s="30" t="str">
        <f aca="false">IF(OR($A42="",取込チェック!$K$3=0),"",SUMIFS(店舗マスタ!$P$5:$P$304,店舗マスタ!$C$5:$C$304,$A42))</f>
        <v/>
      </c>
      <c r="L42" s="30" t="str">
        <f aca="false">IF(K42="","",F42-K42)</f>
        <v/>
      </c>
      <c r="M42" s="31" t="str">
        <f aca="false">IF(L42="","",IF(F42=0,"-",L42/F42))</f>
        <v/>
      </c>
    </row>
    <row r="43" customFormat="false" ht="15" hidden="false" customHeight="false" outlineLevel="0" collapsed="false">
      <c r="A43" s="30" t="str">
        <f aca="false">IFERROR(INDEX(店舗マスタ!$C$5:$C$304,MATCH(39,店舗マスタ!$O$5:$O$304,0)),"")</f>
        <v/>
      </c>
      <c r="B43" s="30" t="str">
        <f aca="false">IF($A43="","",SUMIFS(店舗マスタ!$G$5:$G$304,店舗マスタ!$C$5:$C$304,$A43,店舗マスタ!$E$5:$E$304,"アルチビオ"))</f>
        <v/>
      </c>
      <c r="C43" s="30" t="str">
        <f aca="false">IF($A43="","",SUMIFS(店舗マスタ!$G$5:$G$304,店舗マスタ!$C$5:$C$304,$A43,店舗マスタ!$E$5:$E$304,"スタジオピッコーネ／ピッコーネクラブ"))</f>
        <v/>
      </c>
      <c r="D43" s="30" t="str">
        <f aca="false">IF($A43="","",SUMIFS(店舗マスタ!$G$5:$G$304,店舗マスタ!$C$5:$C$304,$A43,店舗マスタ!$E$5:$E$304,"ピッコーネ"))</f>
        <v/>
      </c>
      <c r="E43" s="30" t="str">
        <f aca="false">IF($A43="","",SUMIFS(店舗マスタ!$G$5:$G$304,店舗マスタ!$C$5:$C$304,$A43,店舗マスタ!$E$5:$E$304,"複合（アルチビオ＋ピッコーネ系）"))</f>
        <v/>
      </c>
      <c r="F43" s="30" t="str">
        <f aca="false">IF($A43="","",SUM(B43:E43))</f>
        <v/>
      </c>
      <c r="G43" s="30" t="str">
        <f aca="false">IF($A43="","",SUMIFS(店舗マスタ!$H$5:$H$304,店舗マスタ!$C$5:$C$304,$A43))</f>
        <v/>
      </c>
      <c r="H43" s="31" t="str">
        <f aca="false">IF($A43="","",IF(G43=0,"-",F43/G43))</f>
        <v/>
      </c>
      <c r="I43" s="30" t="str">
        <f aca="false">IF($A43="","",SUMIFS(店舗マスタ!$I$5:$I$304,店舗マスタ!$C$5:$C$304,$A43))</f>
        <v/>
      </c>
      <c r="J43" s="32" t="str">
        <f aca="false">IF($A43="","",IF(I43=0,"前年実績なし",F43/I43))</f>
        <v/>
      </c>
      <c r="K43" s="30" t="str">
        <f aca="false">IF(OR($A43="",取込チェック!$K$3=0),"",SUMIFS(店舗マスタ!$P$5:$P$304,店舗マスタ!$C$5:$C$304,$A43))</f>
        <v/>
      </c>
      <c r="L43" s="30" t="str">
        <f aca="false">IF(K43="","",F43-K43)</f>
        <v/>
      </c>
      <c r="M43" s="31" t="str">
        <f aca="false">IF(L43="","",IF(F43=0,"-",L43/F43))</f>
        <v/>
      </c>
    </row>
    <row r="44" customFormat="false" ht="15" hidden="false" customHeight="false" outlineLevel="0" collapsed="false">
      <c r="A44" s="30" t="str">
        <f aca="false">IFERROR(INDEX(店舗マスタ!$C$5:$C$304,MATCH(40,店舗マスタ!$O$5:$O$304,0)),"")</f>
        <v/>
      </c>
      <c r="B44" s="30" t="str">
        <f aca="false">IF($A44="","",SUMIFS(店舗マスタ!$G$5:$G$304,店舗マスタ!$C$5:$C$304,$A44,店舗マスタ!$E$5:$E$304,"アルチビオ"))</f>
        <v/>
      </c>
      <c r="C44" s="30" t="str">
        <f aca="false">IF($A44="","",SUMIFS(店舗マスタ!$G$5:$G$304,店舗マスタ!$C$5:$C$304,$A44,店舗マスタ!$E$5:$E$304,"スタジオピッコーネ／ピッコーネクラブ"))</f>
        <v/>
      </c>
      <c r="D44" s="30" t="str">
        <f aca="false">IF($A44="","",SUMIFS(店舗マスタ!$G$5:$G$304,店舗マスタ!$C$5:$C$304,$A44,店舗マスタ!$E$5:$E$304,"ピッコーネ"))</f>
        <v/>
      </c>
      <c r="E44" s="30" t="str">
        <f aca="false">IF($A44="","",SUMIFS(店舗マスタ!$G$5:$G$304,店舗マスタ!$C$5:$C$304,$A44,店舗マスタ!$E$5:$E$304,"複合（アルチビオ＋ピッコーネ系）"))</f>
        <v/>
      </c>
      <c r="F44" s="30" t="str">
        <f aca="false">IF($A44="","",SUM(B44:E44))</f>
        <v/>
      </c>
      <c r="G44" s="30" t="str">
        <f aca="false">IF($A44="","",SUMIFS(店舗マスタ!$H$5:$H$304,店舗マスタ!$C$5:$C$304,$A44))</f>
        <v/>
      </c>
      <c r="H44" s="31" t="str">
        <f aca="false">IF($A44="","",IF(G44=0,"-",F44/G44))</f>
        <v/>
      </c>
      <c r="I44" s="30" t="str">
        <f aca="false">IF($A44="","",SUMIFS(店舗マスタ!$I$5:$I$304,店舗マスタ!$C$5:$C$304,$A44))</f>
        <v/>
      </c>
      <c r="J44" s="32" t="str">
        <f aca="false">IF($A44="","",IF(I44=0,"前年実績なし",F44/I44))</f>
        <v/>
      </c>
      <c r="K44" s="30" t="str">
        <f aca="false">IF(OR($A44="",取込チェック!$K$3=0),"",SUMIFS(店舗マスタ!$P$5:$P$304,店舗マスタ!$C$5:$C$304,$A44))</f>
        <v/>
      </c>
      <c r="L44" s="30" t="str">
        <f aca="false">IF(K44="","",F44-K44)</f>
        <v/>
      </c>
      <c r="M44" s="31" t="str">
        <f aca="false">IF(L44="","",IF(F44=0,"-",L44/F44))</f>
        <v/>
      </c>
    </row>
    <row r="45" customFormat="false" ht="15" hidden="false" customHeight="false" outlineLevel="0" collapsed="false">
      <c r="A45" s="30" t="str">
        <f aca="false">IFERROR(INDEX(店舗マスタ!$C$5:$C$304,MATCH(41,店舗マスタ!$O$5:$O$304,0)),"")</f>
        <v/>
      </c>
      <c r="B45" s="30" t="str">
        <f aca="false">IF($A45="","",SUMIFS(店舗マスタ!$G$5:$G$304,店舗マスタ!$C$5:$C$304,$A45,店舗マスタ!$E$5:$E$304,"アルチビオ"))</f>
        <v/>
      </c>
      <c r="C45" s="30" t="str">
        <f aca="false">IF($A45="","",SUMIFS(店舗マスタ!$G$5:$G$304,店舗マスタ!$C$5:$C$304,$A45,店舗マスタ!$E$5:$E$304,"スタジオピッコーネ／ピッコーネクラブ"))</f>
        <v/>
      </c>
      <c r="D45" s="30" t="str">
        <f aca="false">IF($A45="","",SUMIFS(店舗マスタ!$G$5:$G$304,店舗マスタ!$C$5:$C$304,$A45,店舗マスタ!$E$5:$E$304,"ピッコーネ"))</f>
        <v/>
      </c>
      <c r="E45" s="30" t="str">
        <f aca="false">IF($A45="","",SUMIFS(店舗マスタ!$G$5:$G$304,店舗マスタ!$C$5:$C$304,$A45,店舗マスタ!$E$5:$E$304,"複合（アルチビオ＋ピッコーネ系）"))</f>
        <v/>
      </c>
      <c r="F45" s="30" t="str">
        <f aca="false">IF($A45="","",SUM(B45:E45))</f>
        <v/>
      </c>
      <c r="G45" s="30" t="str">
        <f aca="false">IF($A45="","",SUMIFS(店舗マスタ!$H$5:$H$304,店舗マスタ!$C$5:$C$304,$A45))</f>
        <v/>
      </c>
      <c r="H45" s="31" t="str">
        <f aca="false">IF($A45="","",IF(G45=0,"-",F45/G45))</f>
        <v/>
      </c>
      <c r="I45" s="30" t="str">
        <f aca="false">IF($A45="","",SUMIFS(店舗マスタ!$I$5:$I$304,店舗マスタ!$C$5:$C$304,$A45))</f>
        <v/>
      </c>
      <c r="J45" s="32" t="str">
        <f aca="false">IF($A45="","",IF(I45=0,"前年実績なし",F45/I45))</f>
        <v/>
      </c>
      <c r="K45" s="30" t="str">
        <f aca="false">IF(OR($A45="",取込チェック!$K$3=0),"",SUMIFS(店舗マスタ!$P$5:$P$304,店舗マスタ!$C$5:$C$304,$A45))</f>
        <v/>
      </c>
      <c r="L45" s="30" t="str">
        <f aca="false">IF(K45="","",F45-K45)</f>
        <v/>
      </c>
      <c r="M45" s="31" t="str">
        <f aca="false">IF(L45="","",IF(F45=0,"-",L45/F45))</f>
        <v/>
      </c>
    </row>
    <row r="46" customFormat="false" ht="15" hidden="false" customHeight="false" outlineLevel="0" collapsed="false">
      <c r="A46" s="30" t="str">
        <f aca="false">IFERROR(INDEX(店舗マスタ!$C$5:$C$304,MATCH(42,店舗マスタ!$O$5:$O$304,0)),"")</f>
        <v/>
      </c>
      <c r="B46" s="30" t="str">
        <f aca="false">IF($A46="","",SUMIFS(店舗マスタ!$G$5:$G$304,店舗マスタ!$C$5:$C$304,$A46,店舗マスタ!$E$5:$E$304,"アルチビオ"))</f>
        <v/>
      </c>
      <c r="C46" s="30" t="str">
        <f aca="false">IF($A46="","",SUMIFS(店舗マスタ!$G$5:$G$304,店舗マスタ!$C$5:$C$304,$A46,店舗マスタ!$E$5:$E$304,"スタジオピッコーネ／ピッコーネクラブ"))</f>
        <v/>
      </c>
      <c r="D46" s="30" t="str">
        <f aca="false">IF($A46="","",SUMIFS(店舗マスタ!$G$5:$G$304,店舗マスタ!$C$5:$C$304,$A46,店舗マスタ!$E$5:$E$304,"ピッコーネ"))</f>
        <v/>
      </c>
      <c r="E46" s="30" t="str">
        <f aca="false">IF($A46="","",SUMIFS(店舗マスタ!$G$5:$G$304,店舗マスタ!$C$5:$C$304,$A46,店舗マスタ!$E$5:$E$304,"複合（アルチビオ＋ピッコーネ系）"))</f>
        <v/>
      </c>
      <c r="F46" s="30" t="str">
        <f aca="false">IF($A46="","",SUM(B46:E46))</f>
        <v/>
      </c>
      <c r="G46" s="30" t="str">
        <f aca="false">IF($A46="","",SUMIFS(店舗マスタ!$H$5:$H$304,店舗マスタ!$C$5:$C$304,$A46))</f>
        <v/>
      </c>
      <c r="H46" s="31" t="str">
        <f aca="false">IF($A46="","",IF(G46=0,"-",F46/G46))</f>
        <v/>
      </c>
      <c r="I46" s="30" t="str">
        <f aca="false">IF($A46="","",SUMIFS(店舗マスタ!$I$5:$I$304,店舗マスタ!$C$5:$C$304,$A46))</f>
        <v/>
      </c>
      <c r="J46" s="32" t="str">
        <f aca="false">IF($A46="","",IF(I46=0,"前年実績なし",F46/I46))</f>
        <v/>
      </c>
      <c r="K46" s="30" t="str">
        <f aca="false">IF(OR($A46="",取込チェック!$K$3=0),"",SUMIFS(店舗マスタ!$P$5:$P$304,店舗マスタ!$C$5:$C$304,$A46))</f>
        <v/>
      </c>
      <c r="L46" s="30" t="str">
        <f aca="false">IF(K46="","",F46-K46)</f>
        <v/>
      </c>
      <c r="M46" s="31" t="str">
        <f aca="false">IF(L46="","",IF(F46=0,"-",L46/F46))</f>
        <v/>
      </c>
    </row>
    <row r="47" customFormat="false" ht="15" hidden="false" customHeight="false" outlineLevel="0" collapsed="false">
      <c r="A47" s="42" t="str">
        <f aca="false">"合計（"&amp;COUNTIF(A5:A46,"?*")&amp;"施設）"</f>
        <v>合計（37施設）</v>
      </c>
      <c r="B47" s="42" t="n">
        <f aca="false">SUM(B5:B46)</f>
        <v>21514701</v>
      </c>
      <c r="C47" s="42" t="n">
        <f aca="false">SUM(C5:C46)</f>
        <v>58463370</v>
      </c>
      <c r="D47" s="42" t="n">
        <f aca="false">SUM(D5:D46)</f>
        <v>16191756</v>
      </c>
      <c r="E47" s="42" t="n">
        <f aca="false">SUM(E5:E46)</f>
        <v>13968177</v>
      </c>
      <c r="F47" s="42" t="n">
        <f aca="false">SUM(F5:F46)</f>
        <v>110138004</v>
      </c>
      <c r="G47" s="42" t="n">
        <f aca="false">SUM(G5:G46)</f>
        <v>131627000</v>
      </c>
      <c r="H47" s="43" t="n">
        <f aca="false">IF(G47=0,"-",F47/G47)</f>
        <v>0.836743251764456</v>
      </c>
      <c r="I47" s="42" t="n">
        <f aca="false">SUM(I5:I46)</f>
        <v>112449780</v>
      </c>
      <c r="J47" s="43" t="n">
        <f aca="false">IF(I47=0,"-",F47/I47)</f>
        <v>0.979441702776119</v>
      </c>
      <c r="K47" s="42" t="n">
        <f aca="false">SUM(K5:K46)</f>
        <v>88214614</v>
      </c>
      <c r="L47" s="42" t="n">
        <f aca="false">SUM(L5:L46)</f>
        <v>21923390</v>
      </c>
      <c r="M47" s="43" t="n">
        <f aca="false">IF(F47=0,"-",L47/F47)</f>
        <v>0.199053816155957</v>
      </c>
    </row>
    <row r="49" customFormat="false" ht="15" hidden="false" customHeight="false" outlineLevel="0" collapsed="false">
      <c r="A49" s="2" t="s">
        <v>67</v>
      </c>
    </row>
  </sheetData>
  <conditionalFormatting sqref="A5:M46">
    <cfRule type="expression" priority="2" aboveAverage="0" equalAverage="0" bottom="0" percent="0" rank="0" text="" dxfId="7">
      <formula>$A5&lt;&gt;""</formula>
    </cfRule>
  </conditionalFormatting>
  <conditionalFormatting sqref="A5:A46">
    <cfRule type="expression" priority="3" aboveAverage="0" equalAverage="0" bottom="0" percent="0" rank="0" text="" dxfId="8">
      <formula>COUNTIFS(店舗マスタ!$C$5:$C$304,$A5,店舗マスタ!$F$5:$F$304,1)&gt;1</formula>
    </cfRule>
  </conditionalFormatting>
  <conditionalFormatting sqref="H5:H46">
    <cfRule type="dataBar" priority="4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{DF989613-DC29-4297-8EFC-CC485E992565}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989613-DC29-4297-8EFC-CC485E992565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H5:H46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3.4" hidden="false" customHeight="false" outlineLevel="0" collapsed="false">
      <c r="A1" s="44" t="s">
        <v>47</v>
      </c>
      <c r="B1" s="45" t="s">
        <v>68</v>
      </c>
      <c r="C1" s="45"/>
      <c r="D1" s="45"/>
      <c r="E1" s="45"/>
      <c r="F1" s="45"/>
      <c r="G1" s="45"/>
      <c r="H1" s="45"/>
      <c r="I1" s="44" t="s">
        <v>69</v>
      </c>
    </row>
    <row r="2" customFormat="false" ht="15" hidden="false" customHeight="false" outlineLevel="0" collapsed="false">
      <c r="A2" s="44"/>
      <c r="B2" s="44" t="s">
        <v>4</v>
      </c>
      <c r="C2" s="44" t="s">
        <v>70</v>
      </c>
      <c r="D2" s="44"/>
      <c r="E2" s="44"/>
      <c r="F2" s="44" t="s">
        <v>71</v>
      </c>
      <c r="G2" s="44"/>
      <c r="H2" s="44"/>
      <c r="I2" s="44"/>
    </row>
    <row r="3" customFormat="false" ht="15" hidden="false" customHeight="false" outlineLevel="0" collapsed="false">
      <c r="A3" s="44"/>
      <c r="B3" s="44"/>
      <c r="C3" s="44" t="s">
        <v>6</v>
      </c>
      <c r="D3" s="44" t="s">
        <v>72</v>
      </c>
      <c r="E3" s="44" t="s">
        <v>73</v>
      </c>
      <c r="F3" s="44" t="s">
        <v>9</v>
      </c>
      <c r="G3" s="44" t="s">
        <v>10</v>
      </c>
      <c r="H3" s="44" t="s">
        <v>11</v>
      </c>
      <c r="I3" s="44"/>
    </row>
    <row r="4" customFormat="false" ht="15" hidden="false" customHeight="false" outlineLevel="0" collapsed="false">
      <c r="A4" s="46" t="s">
        <v>74</v>
      </c>
      <c r="B4" s="47" t="n">
        <v>6773261</v>
      </c>
      <c r="C4" s="47" t="n">
        <v>3500000</v>
      </c>
      <c r="D4" s="48" t="n">
        <v>193.5</v>
      </c>
      <c r="E4" s="47" t="n">
        <v>3273261</v>
      </c>
      <c r="F4" s="47" t="n">
        <v>2378787</v>
      </c>
      <c r="G4" s="48" t="n">
        <v>284.7</v>
      </c>
      <c r="H4" s="47" t="n">
        <v>4394474</v>
      </c>
      <c r="I4" s="49"/>
    </row>
    <row r="5" customFormat="false" ht="15" hidden="false" customHeight="false" outlineLevel="0" collapsed="false">
      <c r="A5" s="50" t="s">
        <v>75</v>
      </c>
      <c r="B5" s="51" t="n">
        <v>2637800</v>
      </c>
      <c r="C5" s="51" t="n">
        <v>1950000</v>
      </c>
      <c r="D5" s="52" t="n">
        <v>135.3</v>
      </c>
      <c r="E5" s="51" t="n">
        <v>687800</v>
      </c>
      <c r="F5" s="51" t="n">
        <v>1931500</v>
      </c>
      <c r="G5" s="52" t="n">
        <v>136.6</v>
      </c>
      <c r="H5" s="51" t="n">
        <v>706300</v>
      </c>
      <c r="I5" s="53"/>
    </row>
    <row r="6" customFormat="false" ht="15" hidden="false" customHeight="false" outlineLevel="0" collapsed="false">
      <c r="A6" s="46" t="s">
        <v>76</v>
      </c>
      <c r="B6" s="47" t="n">
        <v>1843700</v>
      </c>
      <c r="C6" s="47" t="n">
        <v>1450000</v>
      </c>
      <c r="D6" s="48" t="n">
        <v>127.2</v>
      </c>
      <c r="E6" s="47" t="n">
        <v>393700</v>
      </c>
      <c r="F6" s="47" t="n">
        <v>1179400</v>
      </c>
      <c r="G6" s="48" t="n">
        <v>156.3</v>
      </c>
      <c r="H6" s="47" t="n">
        <v>664300</v>
      </c>
      <c r="I6" s="49"/>
    </row>
    <row r="7" customFormat="false" ht="15" hidden="false" customHeight="false" outlineLevel="0" collapsed="false">
      <c r="A7" s="50" t="s">
        <v>77</v>
      </c>
      <c r="B7" s="51" t="n">
        <v>3285560</v>
      </c>
      <c r="C7" s="51" t="n">
        <v>2600000</v>
      </c>
      <c r="D7" s="52" t="n">
        <v>126.4</v>
      </c>
      <c r="E7" s="51" t="n">
        <v>685560</v>
      </c>
      <c r="F7" s="51" t="n">
        <v>2608290</v>
      </c>
      <c r="G7" s="52" t="n">
        <v>126</v>
      </c>
      <c r="H7" s="51" t="n">
        <v>677270</v>
      </c>
      <c r="I7" s="53"/>
    </row>
    <row r="8" customFormat="false" ht="15" hidden="false" customHeight="false" outlineLevel="0" collapsed="false">
      <c r="A8" s="46" t="s">
        <v>78</v>
      </c>
      <c r="B8" s="47" t="n">
        <v>3138950</v>
      </c>
      <c r="C8" s="47" t="n">
        <v>2500000</v>
      </c>
      <c r="D8" s="48" t="n">
        <v>125.6</v>
      </c>
      <c r="E8" s="47" t="n">
        <v>638950</v>
      </c>
      <c r="F8" s="47" t="n">
        <v>2031171</v>
      </c>
      <c r="G8" s="48" t="n">
        <v>154.5</v>
      </c>
      <c r="H8" s="47" t="n">
        <v>1107779</v>
      </c>
      <c r="I8" s="49"/>
    </row>
    <row r="9" customFormat="false" ht="15" hidden="false" customHeight="false" outlineLevel="0" collapsed="false">
      <c r="A9" s="50" t="s">
        <v>79</v>
      </c>
      <c r="B9" s="51" t="n">
        <v>2991974</v>
      </c>
      <c r="C9" s="51" t="n">
        <v>2571000</v>
      </c>
      <c r="D9" s="52" t="n">
        <v>116.4</v>
      </c>
      <c r="E9" s="51" t="n">
        <v>420974</v>
      </c>
      <c r="F9" s="51" t="n">
        <v>2496485</v>
      </c>
      <c r="G9" s="52" t="n">
        <v>119.8</v>
      </c>
      <c r="H9" s="51" t="n">
        <v>495489</v>
      </c>
      <c r="I9" s="53"/>
    </row>
    <row r="10" customFormat="false" ht="15" hidden="false" customHeight="false" outlineLevel="0" collapsed="false">
      <c r="A10" s="46" t="s">
        <v>80</v>
      </c>
      <c r="B10" s="47" t="n">
        <v>3069240</v>
      </c>
      <c r="C10" s="47" t="n">
        <v>2691000</v>
      </c>
      <c r="D10" s="48" t="n">
        <v>114.1</v>
      </c>
      <c r="E10" s="47" t="n">
        <v>378240</v>
      </c>
      <c r="F10" s="47" t="n">
        <v>2647100</v>
      </c>
      <c r="G10" s="48" t="n">
        <v>115.9</v>
      </c>
      <c r="H10" s="47" t="n">
        <v>422140</v>
      </c>
      <c r="I10" s="49"/>
    </row>
    <row r="11" customFormat="false" ht="15" hidden="false" customHeight="false" outlineLevel="0" collapsed="false">
      <c r="A11" s="50" t="s">
        <v>81</v>
      </c>
      <c r="B11" s="51" t="n">
        <v>2155045</v>
      </c>
      <c r="C11" s="51" t="n">
        <v>1923000</v>
      </c>
      <c r="D11" s="52" t="n">
        <v>112.1</v>
      </c>
      <c r="E11" s="51" t="n">
        <v>232045</v>
      </c>
      <c r="F11" s="51" t="n">
        <v>1662095</v>
      </c>
      <c r="G11" s="52" t="n">
        <v>129.7</v>
      </c>
      <c r="H11" s="51" t="n">
        <v>492950</v>
      </c>
      <c r="I11" s="53"/>
    </row>
    <row r="12" customFormat="false" ht="15" hidden="false" customHeight="false" outlineLevel="0" collapsed="false">
      <c r="A12" s="46" t="s">
        <v>82</v>
      </c>
      <c r="B12" s="47" t="n">
        <v>3113117</v>
      </c>
      <c r="C12" s="47" t="n">
        <v>2820000</v>
      </c>
      <c r="D12" s="48" t="n">
        <v>110.4</v>
      </c>
      <c r="E12" s="47" t="n">
        <v>293117</v>
      </c>
      <c r="F12" s="47" t="n">
        <v>1836100</v>
      </c>
      <c r="G12" s="48" t="n">
        <v>169.6</v>
      </c>
      <c r="H12" s="47" t="n">
        <v>1277017</v>
      </c>
      <c r="I12" s="49"/>
    </row>
    <row r="13" customFormat="false" ht="15" hidden="false" customHeight="false" outlineLevel="0" collapsed="false">
      <c r="A13" s="50" t="s">
        <v>83</v>
      </c>
      <c r="B13" s="51" t="n">
        <v>3204200</v>
      </c>
      <c r="C13" s="51" t="n">
        <v>3150000</v>
      </c>
      <c r="D13" s="52" t="n">
        <v>101.7</v>
      </c>
      <c r="E13" s="51" t="n">
        <v>54200</v>
      </c>
      <c r="F13" s="51" t="n">
        <v>3186800</v>
      </c>
      <c r="G13" s="52" t="n">
        <v>100.5</v>
      </c>
      <c r="H13" s="51" t="n">
        <v>17400</v>
      </c>
      <c r="I13" s="53"/>
    </row>
    <row r="14" customFormat="false" ht="15" hidden="false" customHeight="false" outlineLevel="0" collapsed="false">
      <c r="A14" s="46" t="s">
        <v>84</v>
      </c>
      <c r="B14" s="47" t="n">
        <v>4266900</v>
      </c>
      <c r="C14" s="47" t="n">
        <v>4200000</v>
      </c>
      <c r="D14" s="48" t="n">
        <v>101.6</v>
      </c>
      <c r="E14" s="47" t="n">
        <v>66900</v>
      </c>
      <c r="F14" s="47" t="n">
        <v>4153200</v>
      </c>
      <c r="G14" s="48" t="n">
        <v>102.7</v>
      </c>
      <c r="H14" s="47" t="n">
        <v>113700</v>
      </c>
      <c r="I14" s="49"/>
    </row>
    <row r="15" customFormat="false" ht="15" hidden="false" customHeight="false" outlineLevel="0" collapsed="false">
      <c r="A15" s="50" t="s">
        <v>85</v>
      </c>
      <c r="B15" s="51" t="n">
        <v>1266300</v>
      </c>
      <c r="C15" s="51" t="n">
        <v>1250000</v>
      </c>
      <c r="D15" s="52" t="n">
        <v>101.3</v>
      </c>
      <c r="E15" s="51" t="n">
        <v>16300</v>
      </c>
      <c r="F15" s="51" t="n">
        <v>948000</v>
      </c>
      <c r="G15" s="52" t="n">
        <v>133.6</v>
      </c>
      <c r="H15" s="51" t="n">
        <v>318300</v>
      </c>
      <c r="I15" s="53"/>
    </row>
    <row r="16" customFormat="false" ht="15" hidden="false" customHeight="false" outlineLevel="0" collapsed="false">
      <c r="A16" s="46" t="s">
        <v>86</v>
      </c>
      <c r="B16" s="47" t="n">
        <v>1267300</v>
      </c>
      <c r="C16" s="47" t="n">
        <v>1260000</v>
      </c>
      <c r="D16" s="48" t="n">
        <v>100.6</v>
      </c>
      <c r="E16" s="47" t="n">
        <v>7300</v>
      </c>
      <c r="F16" s="47" t="n">
        <v>910300</v>
      </c>
      <c r="G16" s="48" t="n">
        <v>139.2</v>
      </c>
      <c r="H16" s="47" t="n">
        <v>357000</v>
      </c>
      <c r="I16" s="49"/>
    </row>
    <row r="17" customFormat="false" ht="15" hidden="false" customHeight="false" outlineLevel="0" collapsed="false">
      <c r="A17" s="50" t="s">
        <v>87</v>
      </c>
      <c r="B17" s="51" t="n">
        <v>2791782</v>
      </c>
      <c r="C17" s="51" t="n">
        <v>2782000</v>
      </c>
      <c r="D17" s="52" t="n">
        <v>100.4</v>
      </c>
      <c r="E17" s="51" t="n">
        <v>9782</v>
      </c>
      <c r="F17" s="51" t="n">
        <v>2122155</v>
      </c>
      <c r="G17" s="52" t="n">
        <v>131.6</v>
      </c>
      <c r="H17" s="51" t="n">
        <v>669627</v>
      </c>
      <c r="I17" s="53"/>
    </row>
    <row r="18" customFormat="false" ht="15" hidden="false" customHeight="false" outlineLevel="0" collapsed="false">
      <c r="A18" s="46" t="s">
        <v>88</v>
      </c>
      <c r="B18" s="47" t="n">
        <v>2083600</v>
      </c>
      <c r="C18" s="47" t="n">
        <v>2100000</v>
      </c>
      <c r="D18" s="48" t="n">
        <v>99.2</v>
      </c>
      <c r="E18" s="47" t="n">
        <v>-16400</v>
      </c>
      <c r="F18" s="47" t="n">
        <v>1633800</v>
      </c>
      <c r="G18" s="48" t="n">
        <v>127.5</v>
      </c>
      <c r="H18" s="47" t="n">
        <v>449800</v>
      </c>
      <c r="I18" s="49"/>
    </row>
    <row r="19" customFormat="false" ht="15" hidden="false" customHeight="false" outlineLevel="0" collapsed="false">
      <c r="A19" s="50" t="s">
        <v>89</v>
      </c>
      <c r="B19" s="51" t="n">
        <v>3005230</v>
      </c>
      <c r="C19" s="51" t="n">
        <v>3050000</v>
      </c>
      <c r="D19" s="52" t="n">
        <v>98.5</v>
      </c>
      <c r="E19" s="51" t="n">
        <v>-44770</v>
      </c>
      <c r="F19" s="51" t="n">
        <v>2843445</v>
      </c>
      <c r="G19" s="52" t="n">
        <v>105.7</v>
      </c>
      <c r="H19" s="51" t="n">
        <v>161785</v>
      </c>
      <c r="I19" s="53"/>
    </row>
    <row r="20" customFormat="false" ht="15" hidden="false" customHeight="false" outlineLevel="0" collapsed="false">
      <c r="A20" s="46" t="s">
        <v>90</v>
      </c>
      <c r="B20" s="47" t="n">
        <v>2048565</v>
      </c>
      <c r="C20" s="47" t="n">
        <v>2150000</v>
      </c>
      <c r="D20" s="48" t="n">
        <v>95.3</v>
      </c>
      <c r="E20" s="47" t="n">
        <v>-101435</v>
      </c>
      <c r="F20" s="47" t="n">
        <v>2098500</v>
      </c>
      <c r="G20" s="48" t="n">
        <v>97.6</v>
      </c>
      <c r="H20" s="47" t="n">
        <v>-49935</v>
      </c>
      <c r="I20" s="49"/>
    </row>
    <row r="21" customFormat="false" ht="15" hidden="false" customHeight="false" outlineLevel="0" collapsed="false">
      <c r="A21" s="50" t="s">
        <v>91</v>
      </c>
      <c r="B21" s="51" t="n">
        <v>5052300</v>
      </c>
      <c r="C21" s="51" t="n">
        <v>5370000</v>
      </c>
      <c r="D21" s="52" t="n">
        <v>94.1</v>
      </c>
      <c r="E21" s="51" t="n">
        <v>-317700</v>
      </c>
      <c r="F21" s="51" t="n">
        <v>5057100</v>
      </c>
      <c r="G21" s="52" t="n">
        <v>99.9</v>
      </c>
      <c r="H21" s="51" t="n">
        <v>-4800</v>
      </c>
      <c r="I21" s="53"/>
    </row>
    <row r="22" customFormat="false" ht="15" hidden="false" customHeight="false" outlineLevel="0" collapsed="false">
      <c r="A22" s="46" t="s">
        <v>92</v>
      </c>
      <c r="B22" s="47" t="n">
        <v>1744500</v>
      </c>
      <c r="C22" s="47" t="n">
        <v>1880000</v>
      </c>
      <c r="D22" s="48" t="n">
        <v>92.8</v>
      </c>
      <c r="E22" s="47" t="n">
        <v>-135500</v>
      </c>
      <c r="F22" s="47" t="n">
        <v>1846800</v>
      </c>
      <c r="G22" s="48" t="n">
        <v>94.5</v>
      </c>
      <c r="H22" s="47" t="n">
        <v>-102300</v>
      </c>
      <c r="I22" s="49"/>
    </row>
    <row r="23" customFormat="false" ht="15" hidden="false" customHeight="false" outlineLevel="0" collapsed="false">
      <c r="A23" s="50" t="s">
        <v>93</v>
      </c>
      <c r="B23" s="51" t="n">
        <v>1841920</v>
      </c>
      <c r="C23" s="51" t="n">
        <v>2050000</v>
      </c>
      <c r="D23" s="52" t="n">
        <v>89.8</v>
      </c>
      <c r="E23" s="51" t="n">
        <v>-208080</v>
      </c>
      <c r="F23" s="51" t="n">
        <v>1940260</v>
      </c>
      <c r="G23" s="52" t="n">
        <v>94.9</v>
      </c>
      <c r="H23" s="51" t="n">
        <v>-98340</v>
      </c>
      <c r="I23" s="53"/>
    </row>
    <row r="24" customFormat="false" ht="15" hidden="false" customHeight="false" outlineLevel="0" collapsed="false">
      <c r="A24" s="46" t="s">
        <v>94</v>
      </c>
      <c r="B24" s="47" t="n">
        <v>1117980</v>
      </c>
      <c r="C24" s="47" t="n">
        <v>1249000</v>
      </c>
      <c r="D24" s="48" t="n">
        <v>89.5</v>
      </c>
      <c r="E24" s="47" t="n">
        <v>-131020</v>
      </c>
      <c r="F24" s="47" t="n">
        <v>1132140</v>
      </c>
      <c r="G24" s="48" t="n">
        <v>98.7</v>
      </c>
      <c r="H24" s="47" t="n">
        <v>-14160</v>
      </c>
      <c r="I24" s="49"/>
    </row>
    <row r="25" customFormat="false" ht="15" hidden="false" customHeight="false" outlineLevel="0" collapsed="false">
      <c r="A25" s="50" t="s">
        <v>95</v>
      </c>
      <c r="B25" s="51" t="n">
        <v>3250690</v>
      </c>
      <c r="C25" s="51" t="n">
        <v>3681000</v>
      </c>
      <c r="D25" s="52" t="n">
        <v>88.3</v>
      </c>
      <c r="E25" s="51" t="n">
        <v>-430310</v>
      </c>
      <c r="F25" s="51" t="n">
        <v>3216380</v>
      </c>
      <c r="G25" s="52" t="n">
        <v>101.1</v>
      </c>
      <c r="H25" s="51" t="n">
        <v>34310</v>
      </c>
      <c r="I25" s="53"/>
    </row>
    <row r="26" customFormat="false" ht="15" hidden="false" customHeight="false" outlineLevel="0" collapsed="false">
      <c r="A26" s="46" t="s">
        <v>96</v>
      </c>
      <c r="B26" s="47" t="n">
        <v>3507580</v>
      </c>
      <c r="C26" s="47" t="n">
        <v>4120000</v>
      </c>
      <c r="D26" s="48" t="n">
        <v>85.1</v>
      </c>
      <c r="E26" s="47" t="n">
        <v>-612420</v>
      </c>
      <c r="F26" s="47" t="n">
        <v>4003095</v>
      </c>
      <c r="G26" s="48" t="n">
        <v>87.6</v>
      </c>
      <c r="H26" s="47" t="n">
        <v>-495515</v>
      </c>
      <c r="I26" s="49"/>
    </row>
    <row r="27" customFormat="false" ht="15" hidden="false" customHeight="false" outlineLevel="0" collapsed="false">
      <c r="A27" s="50" t="s">
        <v>97</v>
      </c>
      <c r="B27" s="51" t="n">
        <v>1579789</v>
      </c>
      <c r="C27" s="51" t="n">
        <v>1900000</v>
      </c>
      <c r="D27" s="52" t="n">
        <v>83.1</v>
      </c>
      <c r="E27" s="51" t="n">
        <v>-320211</v>
      </c>
      <c r="F27" s="51" t="n">
        <v>1483030</v>
      </c>
      <c r="G27" s="52" t="n">
        <v>106.5</v>
      </c>
      <c r="H27" s="51" t="n">
        <v>96759</v>
      </c>
      <c r="I27" s="53"/>
    </row>
    <row r="28" customFormat="false" ht="15" hidden="false" customHeight="false" outlineLevel="0" collapsed="false">
      <c r="A28" s="46" t="s">
        <v>98</v>
      </c>
      <c r="B28" s="47" t="n">
        <v>1872645</v>
      </c>
      <c r="C28" s="47" t="n">
        <v>2300000</v>
      </c>
      <c r="D28" s="48" t="n">
        <v>81.4</v>
      </c>
      <c r="E28" s="47" t="n">
        <v>-427355</v>
      </c>
      <c r="F28" s="47" t="n">
        <v>2355195</v>
      </c>
      <c r="G28" s="48" t="n">
        <v>79.5</v>
      </c>
      <c r="H28" s="47" t="n">
        <v>-482550</v>
      </c>
      <c r="I28" s="49"/>
    </row>
    <row r="29" customFormat="false" ht="15" hidden="false" customHeight="false" outlineLevel="0" collapsed="false">
      <c r="A29" s="50" t="s">
        <v>99</v>
      </c>
      <c r="B29" s="51" t="n">
        <v>2922845</v>
      </c>
      <c r="C29" s="51" t="n">
        <v>3613000</v>
      </c>
      <c r="D29" s="52" t="n">
        <v>80.9</v>
      </c>
      <c r="E29" s="51" t="n">
        <v>-690155</v>
      </c>
      <c r="F29" s="51" t="n">
        <v>3478940</v>
      </c>
      <c r="G29" s="52" t="n">
        <v>84</v>
      </c>
      <c r="H29" s="51" t="n">
        <v>-556095</v>
      </c>
      <c r="I29" s="53"/>
    </row>
    <row r="30" customFormat="false" ht="15" hidden="false" customHeight="false" outlineLevel="0" collapsed="false">
      <c r="A30" s="46" t="s">
        <v>100</v>
      </c>
      <c r="B30" s="47" t="n">
        <v>2572970</v>
      </c>
      <c r="C30" s="47" t="n">
        <v>3404000</v>
      </c>
      <c r="D30" s="48" t="n">
        <v>75.6</v>
      </c>
      <c r="E30" s="47" t="n">
        <v>-831030</v>
      </c>
      <c r="F30" s="47" t="n">
        <v>3225660</v>
      </c>
      <c r="G30" s="48" t="n">
        <v>79.8</v>
      </c>
      <c r="H30" s="47" t="n">
        <v>-652690</v>
      </c>
      <c r="I30" s="49"/>
    </row>
    <row r="31" customFormat="false" ht="15" hidden="false" customHeight="false" outlineLevel="0" collapsed="false">
      <c r="A31" s="50" t="s">
        <v>101</v>
      </c>
      <c r="B31" s="51" t="n">
        <v>1647880</v>
      </c>
      <c r="C31" s="51" t="n">
        <v>2207000</v>
      </c>
      <c r="D31" s="52" t="n">
        <v>74.7</v>
      </c>
      <c r="E31" s="51" t="n">
        <v>-559120</v>
      </c>
      <c r="F31" s="51" t="n">
        <v>1610900</v>
      </c>
      <c r="G31" s="52" t="n">
        <v>102.3</v>
      </c>
      <c r="H31" s="51" t="n">
        <v>36980</v>
      </c>
      <c r="I31" s="53"/>
    </row>
    <row r="32" customFormat="false" ht="15" hidden="false" customHeight="false" outlineLevel="0" collapsed="false">
      <c r="A32" s="46" t="s">
        <v>102</v>
      </c>
      <c r="B32" s="47" t="n">
        <v>3137700</v>
      </c>
      <c r="C32" s="47" t="n">
        <v>4320000</v>
      </c>
      <c r="D32" s="48" t="n">
        <v>72.6</v>
      </c>
      <c r="E32" s="47" t="n">
        <v>-1182300</v>
      </c>
      <c r="F32" s="47" t="n">
        <v>4174590</v>
      </c>
      <c r="G32" s="48" t="n">
        <v>75.2</v>
      </c>
      <c r="H32" s="47" t="n">
        <v>-1036890</v>
      </c>
      <c r="I32" s="49"/>
    </row>
    <row r="33" customFormat="false" ht="15" hidden="false" customHeight="false" outlineLevel="0" collapsed="false">
      <c r="A33" s="50" t="s">
        <v>103</v>
      </c>
      <c r="B33" s="51" t="n">
        <v>1187800</v>
      </c>
      <c r="C33" s="51" t="n">
        <v>1700000</v>
      </c>
      <c r="D33" s="52" t="n">
        <v>69.9</v>
      </c>
      <c r="E33" s="51" t="n">
        <v>-512200</v>
      </c>
      <c r="F33" s="51" t="n">
        <v>1274700</v>
      </c>
      <c r="G33" s="52" t="n">
        <v>93.2</v>
      </c>
      <c r="H33" s="51" t="n">
        <v>-86900</v>
      </c>
      <c r="I33" s="53"/>
    </row>
    <row r="34" customFormat="false" ht="15" hidden="false" customHeight="false" outlineLevel="0" collapsed="false">
      <c r="A34" s="46" t="s">
        <v>104</v>
      </c>
      <c r="B34" s="47" t="n">
        <v>2224545</v>
      </c>
      <c r="C34" s="47" t="n">
        <v>3200000</v>
      </c>
      <c r="D34" s="48" t="n">
        <v>69.5</v>
      </c>
      <c r="E34" s="47" t="n">
        <v>-975455</v>
      </c>
      <c r="F34" s="47" t="n">
        <v>3080805</v>
      </c>
      <c r="G34" s="48" t="n">
        <v>72.2</v>
      </c>
      <c r="H34" s="47" t="n">
        <v>-856260</v>
      </c>
      <c r="I34" s="49"/>
    </row>
    <row r="35" customFormat="false" ht="15" hidden="false" customHeight="false" outlineLevel="0" collapsed="false">
      <c r="A35" s="50" t="s">
        <v>105</v>
      </c>
      <c r="B35" s="51" t="n">
        <v>2648700</v>
      </c>
      <c r="C35" s="51" t="n">
        <v>3910000</v>
      </c>
      <c r="D35" s="52" t="n">
        <v>67.7</v>
      </c>
      <c r="E35" s="51" t="n">
        <v>-1261300</v>
      </c>
      <c r="F35" s="51" t="n">
        <v>3232800</v>
      </c>
      <c r="G35" s="52" t="n">
        <v>81.9</v>
      </c>
      <c r="H35" s="51" t="n">
        <v>-584100</v>
      </c>
      <c r="I35" s="53"/>
    </row>
    <row r="36" customFormat="false" ht="15" hidden="false" customHeight="false" outlineLevel="0" collapsed="false">
      <c r="A36" s="46" t="s">
        <v>106</v>
      </c>
      <c r="B36" s="47" t="n">
        <v>3108900</v>
      </c>
      <c r="C36" s="47" t="n">
        <v>4800000</v>
      </c>
      <c r="D36" s="48" t="n">
        <v>64.8</v>
      </c>
      <c r="E36" s="47" t="n">
        <v>-1691100</v>
      </c>
      <c r="F36" s="47" t="n">
        <v>4852400</v>
      </c>
      <c r="G36" s="48" t="n">
        <v>64.1</v>
      </c>
      <c r="H36" s="47" t="n">
        <v>-1743500</v>
      </c>
      <c r="I36" s="49"/>
    </row>
    <row r="37" customFormat="false" ht="15" hidden="false" customHeight="false" outlineLevel="0" collapsed="false">
      <c r="A37" s="50" t="s">
        <v>107</v>
      </c>
      <c r="B37" s="51" t="n">
        <v>946100</v>
      </c>
      <c r="C37" s="51" t="n">
        <v>1550000</v>
      </c>
      <c r="D37" s="52" t="n">
        <v>61</v>
      </c>
      <c r="E37" s="51" t="n">
        <v>-603900</v>
      </c>
      <c r="F37" s="51" t="n">
        <v>1285696</v>
      </c>
      <c r="G37" s="52" t="n">
        <v>73.6</v>
      </c>
      <c r="H37" s="51" t="n">
        <v>-339596</v>
      </c>
      <c r="I37" s="53"/>
    </row>
    <row r="38" customFormat="false" ht="15" hidden="false" customHeight="false" outlineLevel="0" collapsed="false">
      <c r="A38" s="46" t="s">
        <v>108</v>
      </c>
      <c r="B38" s="47" t="n">
        <v>2640520</v>
      </c>
      <c r="C38" s="47" t="n">
        <v>4410000</v>
      </c>
      <c r="D38" s="48" t="n">
        <v>59.9</v>
      </c>
      <c r="E38" s="47" t="n">
        <v>-1769480</v>
      </c>
      <c r="F38" s="47" t="n">
        <v>2984120</v>
      </c>
      <c r="G38" s="48" t="n">
        <v>88.5</v>
      </c>
      <c r="H38" s="47" t="n">
        <v>-343600</v>
      </c>
      <c r="I38" s="49"/>
    </row>
    <row r="39" customFormat="false" ht="15" hidden="false" customHeight="false" outlineLevel="0" collapsed="false">
      <c r="A39" s="50" t="s">
        <v>109</v>
      </c>
      <c r="B39" s="51" t="n">
        <v>3842428</v>
      </c>
      <c r="C39" s="51" t="n">
        <v>6627000</v>
      </c>
      <c r="D39" s="52" t="n">
        <v>58</v>
      </c>
      <c r="E39" s="51" t="n">
        <v>-2784572</v>
      </c>
      <c r="F39" s="51" t="n">
        <v>6146895</v>
      </c>
      <c r="G39" s="52" t="n">
        <v>62.5</v>
      </c>
      <c r="H39" s="51" t="n">
        <v>-2304467</v>
      </c>
      <c r="I39" s="53"/>
    </row>
    <row r="40" customFormat="false" ht="15" hidden="false" customHeight="false" outlineLevel="0" collapsed="false">
      <c r="A40" s="46" t="s">
        <v>110</v>
      </c>
      <c r="B40" s="47" t="n">
        <v>4633300</v>
      </c>
      <c r="C40" s="47" t="n">
        <v>7990000</v>
      </c>
      <c r="D40" s="48" t="n">
        <v>58</v>
      </c>
      <c r="E40" s="47" t="n">
        <v>-3356700</v>
      </c>
      <c r="F40" s="47" t="n">
        <v>5799600</v>
      </c>
      <c r="G40" s="48" t="n">
        <v>79.9</v>
      </c>
      <c r="H40" s="47" t="n">
        <v>-1166300</v>
      </c>
      <c r="I40" s="49"/>
    </row>
    <row r="41" customFormat="false" ht="15" hidden="false" customHeight="false" outlineLevel="0" collapsed="false">
      <c r="A41" s="50" t="s">
        <v>111</v>
      </c>
      <c r="B41" s="51" t="n">
        <v>1425313</v>
      </c>
      <c r="C41" s="51" t="n">
        <v>2512000</v>
      </c>
      <c r="D41" s="52" t="n">
        <v>56.7</v>
      </c>
      <c r="E41" s="51" t="n">
        <v>-1086687</v>
      </c>
      <c r="F41" s="51" t="n">
        <v>1955945</v>
      </c>
      <c r="G41" s="52" t="n">
        <v>72.9</v>
      </c>
      <c r="H41" s="51" t="n">
        <v>-530632</v>
      </c>
      <c r="I41" s="53"/>
    </row>
    <row r="42" customFormat="false" ht="15" hidden="false" customHeight="false" outlineLevel="0" collapsed="false">
      <c r="A42" s="46" t="s">
        <v>112</v>
      </c>
      <c r="B42" s="47" t="n">
        <v>1418275</v>
      </c>
      <c r="C42" s="47" t="n">
        <v>2500000</v>
      </c>
      <c r="D42" s="48" t="n">
        <v>56.7</v>
      </c>
      <c r="E42" s="47" t="n">
        <v>-1081725</v>
      </c>
      <c r="F42" s="47" t="n">
        <v>2424400</v>
      </c>
      <c r="G42" s="48" t="n">
        <v>58.5</v>
      </c>
      <c r="H42" s="47" t="n">
        <v>-1006125</v>
      </c>
      <c r="I42" s="49"/>
    </row>
    <row r="43" customFormat="false" ht="15" hidden="false" customHeight="false" outlineLevel="0" collapsed="false">
      <c r="A43" s="50" t="s">
        <v>113</v>
      </c>
      <c r="B43" s="51" t="n">
        <v>1572240</v>
      </c>
      <c r="C43" s="51" t="n">
        <v>2787000</v>
      </c>
      <c r="D43" s="52" t="n">
        <v>56.4</v>
      </c>
      <c r="E43" s="51" t="n">
        <v>-1214760</v>
      </c>
      <c r="F43" s="51" t="n">
        <v>2688196</v>
      </c>
      <c r="G43" s="52" t="n">
        <v>58.5</v>
      </c>
      <c r="H43" s="51" t="n">
        <v>-1115956</v>
      </c>
      <c r="I43" s="53"/>
    </row>
    <row r="44" customFormat="false" ht="15" hidden="false" customHeight="false" outlineLevel="0" collapsed="false">
      <c r="A44" s="46" t="s">
        <v>114</v>
      </c>
      <c r="B44" s="47" t="n">
        <v>3134900</v>
      </c>
      <c r="C44" s="47" t="n">
        <v>6100000</v>
      </c>
      <c r="D44" s="48" t="n">
        <v>51.4</v>
      </c>
      <c r="E44" s="47" t="n">
        <v>-2965100</v>
      </c>
      <c r="F44" s="47" t="n">
        <v>3604510</v>
      </c>
      <c r="G44" s="48" t="n">
        <v>87</v>
      </c>
      <c r="H44" s="47" t="n">
        <v>-469610</v>
      </c>
      <c r="I44" s="49"/>
    </row>
    <row r="45" customFormat="false" ht="15" hidden="false" customHeight="false" outlineLevel="0" collapsed="false">
      <c r="A45" s="50" t="s">
        <v>115</v>
      </c>
      <c r="B45" s="51" t="n">
        <v>469470</v>
      </c>
      <c r="C45" s="51" t="n">
        <v>1100000</v>
      </c>
      <c r="D45" s="52" t="n">
        <v>42.7</v>
      </c>
      <c r="E45" s="51" t="n">
        <v>-630530</v>
      </c>
      <c r="F45" s="51" t="n">
        <v>1083300</v>
      </c>
      <c r="G45" s="52" t="n">
        <v>43.3</v>
      </c>
      <c r="H45" s="51" t="n">
        <v>-613830</v>
      </c>
      <c r="I45" s="53"/>
    </row>
    <row r="46" customFormat="false" ht="15" hidden="false" customHeight="false" outlineLevel="0" collapsed="false">
      <c r="A46" s="46" t="s">
        <v>116</v>
      </c>
      <c r="B46" s="47" t="n">
        <v>1066595</v>
      </c>
      <c r="C46" s="47" t="n">
        <v>2600000</v>
      </c>
      <c r="D46" s="48" t="n">
        <v>41</v>
      </c>
      <c r="E46" s="47" t="n">
        <v>-1533405</v>
      </c>
      <c r="F46" s="47" t="n">
        <v>1845195</v>
      </c>
      <c r="G46" s="48" t="n">
        <v>57.8</v>
      </c>
      <c r="H46" s="47" t="n">
        <v>-778600</v>
      </c>
      <c r="I46" s="49"/>
    </row>
    <row r="47" customFormat="false" ht="15" hidden="false" customHeight="false" outlineLevel="0" collapsed="false">
      <c r="A47" s="50" t="s">
        <v>117</v>
      </c>
      <c r="B47" s="51" t="n">
        <v>627595</v>
      </c>
      <c r="C47" s="51" t="n">
        <v>1800000</v>
      </c>
      <c r="D47" s="52" t="n">
        <v>34.9</v>
      </c>
      <c r="E47" s="51" t="n">
        <v>-1172405</v>
      </c>
      <c r="F47" s="52" t="n">
        <v>0</v>
      </c>
      <c r="G47" s="52" t="n">
        <v>0</v>
      </c>
      <c r="H47" s="51" t="n">
        <v>627595</v>
      </c>
      <c r="I47" s="53"/>
    </row>
    <row r="48" customFormat="false" ht="15" hidden="false" customHeight="false" outlineLevel="0" collapsed="false">
      <c r="A48" s="54" t="s">
        <v>16</v>
      </c>
      <c r="B48" s="55" t="n">
        <v>110138004</v>
      </c>
      <c r="C48" s="55" t="n">
        <v>131627000</v>
      </c>
      <c r="D48" s="56" t="n">
        <v>83.7</v>
      </c>
      <c r="E48" s="55" t="n">
        <v>-21488996</v>
      </c>
      <c r="F48" s="55" t="n">
        <v>112449780</v>
      </c>
      <c r="G48" s="56" t="n">
        <v>97.9</v>
      </c>
      <c r="H48" s="55" t="n">
        <v>-2311776</v>
      </c>
      <c r="I48" s="57"/>
    </row>
  </sheetData>
  <mergeCells count="6">
    <mergeCell ref="A1:A3"/>
    <mergeCell ref="B1:H1"/>
    <mergeCell ref="I1:I3"/>
    <mergeCell ref="B2:B3"/>
    <mergeCell ref="C2:E2"/>
    <mergeCell ref="F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3.4" hidden="false" customHeight="false" outlineLevel="0" collapsed="false">
      <c r="A1" s="44" t="s">
        <v>47</v>
      </c>
      <c r="B1" s="45" t="s">
        <v>68</v>
      </c>
      <c r="C1" s="45"/>
      <c r="D1" s="45"/>
      <c r="E1" s="45"/>
      <c r="F1" s="45"/>
      <c r="G1" s="45"/>
      <c r="H1" s="45"/>
      <c r="I1" s="44" t="s">
        <v>69</v>
      </c>
    </row>
    <row r="2" customFormat="false" ht="15" hidden="false" customHeight="false" outlineLevel="0" collapsed="false">
      <c r="A2" s="44"/>
      <c r="B2" s="44" t="s">
        <v>4</v>
      </c>
      <c r="C2" s="44" t="s">
        <v>70</v>
      </c>
      <c r="D2" s="44"/>
      <c r="E2" s="44"/>
      <c r="F2" s="44" t="s">
        <v>71</v>
      </c>
      <c r="G2" s="44"/>
      <c r="H2" s="44"/>
      <c r="I2" s="44"/>
    </row>
    <row r="3" customFormat="false" ht="15" hidden="false" customHeight="false" outlineLevel="0" collapsed="false">
      <c r="A3" s="44"/>
      <c r="B3" s="44"/>
      <c r="C3" s="44" t="s">
        <v>6</v>
      </c>
      <c r="D3" s="44" t="s">
        <v>72</v>
      </c>
      <c r="E3" s="44" t="s">
        <v>73</v>
      </c>
      <c r="F3" s="44" t="s">
        <v>9</v>
      </c>
      <c r="G3" s="44" t="s">
        <v>10</v>
      </c>
      <c r="H3" s="44" t="s">
        <v>11</v>
      </c>
      <c r="I3" s="44"/>
    </row>
    <row r="4" customFormat="false" ht="15" hidden="false" customHeight="false" outlineLevel="0" collapsed="false">
      <c r="A4" s="46" t="s">
        <v>75</v>
      </c>
      <c r="B4" s="47" t="n">
        <v>2566400</v>
      </c>
      <c r="C4" s="47" t="n">
        <v>1950000</v>
      </c>
      <c r="D4" s="48" t="n">
        <v>131.6</v>
      </c>
      <c r="E4" s="47" t="n">
        <v>616400</v>
      </c>
      <c r="F4" s="47" t="n">
        <v>1559100</v>
      </c>
      <c r="G4" s="48" t="n">
        <v>164.6</v>
      </c>
      <c r="H4" s="47" t="n">
        <v>1007300</v>
      </c>
      <c r="I4" s="49"/>
    </row>
    <row r="5" customFormat="false" ht="15" hidden="false" customHeight="false" outlineLevel="0" collapsed="false">
      <c r="A5" s="50" t="s">
        <v>77</v>
      </c>
      <c r="B5" s="51" t="n">
        <v>3285560</v>
      </c>
      <c r="C5" s="51" t="n">
        <v>2600000</v>
      </c>
      <c r="D5" s="52" t="n">
        <v>126.4</v>
      </c>
      <c r="E5" s="51" t="n">
        <v>685560</v>
      </c>
      <c r="F5" s="51" t="n">
        <v>2162590</v>
      </c>
      <c r="G5" s="52" t="n">
        <v>151.9</v>
      </c>
      <c r="H5" s="51" t="n">
        <v>1122970</v>
      </c>
      <c r="I5" s="53"/>
    </row>
    <row r="6" customFormat="false" ht="15" hidden="false" customHeight="false" outlineLevel="0" collapsed="false">
      <c r="A6" s="46" t="s">
        <v>76</v>
      </c>
      <c r="B6" s="47" t="n">
        <v>1540400</v>
      </c>
      <c r="C6" s="47" t="n">
        <v>1450000</v>
      </c>
      <c r="D6" s="48" t="n">
        <v>106.2</v>
      </c>
      <c r="E6" s="47" t="n">
        <v>90400</v>
      </c>
      <c r="F6" s="47" t="n">
        <v>988000</v>
      </c>
      <c r="G6" s="48" t="n">
        <v>155.9</v>
      </c>
      <c r="H6" s="47" t="n">
        <v>552400</v>
      </c>
      <c r="I6" s="49"/>
    </row>
    <row r="7" customFormat="false" ht="15" hidden="false" customHeight="false" outlineLevel="0" collapsed="false">
      <c r="A7" s="50" t="s">
        <v>81</v>
      </c>
      <c r="B7" s="51" t="n">
        <v>2039545</v>
      </c>
      <c r="C7" s="51" t="n">
        <v>1923000</v>
      </c>
      <c r="D7" s="52" t="n">
        <v>106.1</v>
      </c>
      <c r="E7" s="51" t="n">
        <v>116545</v>
      </c>
      <c r="F7" s="51" t="n">
        <v>1484495</v>
      </c>
      <c r="G7" s="52" t="n">
        <v>137.4</v>
      </c>
      <c r="H7" s="51" t="n">
        <v>555050</v>
      </c>
      <c r="I7" s="53"/>
    </row>
    <row r="8" customFormat="false" ht="15" hidden="false" customHeight="false" outlineLevel="0" collapsed="false">
      <c r="A8" s="46" t="s">
        <v>80</v>
      </c>
      <c r="B8" s="47" t="n">
        <v>2845200</v>
      </c>
      <c r="C8" s="47" t="n">
        <v>2691000</v>
      </c>
      <c r="D8" s="48" t="n">
        <v>105.7</v>
      </c>
      <c r="E8" s="47" t="n">
        <v>154200</v>
      </c>
      <c r="F8" s="47" t="n">
        <v>2619200</v>
      </c>
      <c r="G8" s="48" t="n">
        <v>108.6</v>
      </c>
      <c r="H8" s="47" t="n">
        <v>226000</v>
      </c>
      <c r="I8" s="49"/>
    </row>
    <row r="9" customFormat="false" ht="15" hidden="false" customHeight="false" outlineLevel="0" collapsed="false">
      <c r="A9" s="50" t="s">
        <v>79</v>
      </c>
      <c r="B9" s="51" t="n">
        <v>2613574</v>
      </c>
      <c r="C9" s="51" t="n">
        <v>2571000</v>
      </c>
      <c r="D9" s="52" t="n">
        <v>101.7</v>
      </c>
      <c r="E9" s="51" t="n">
        <v>42574</v>
      </c>
      <c r="F9" s="51" t="n">
        <v>2460585</v>
      </c>
      <c r="G9" s="52" t="n">
        <v>106.2</v>
      </c>
      <c r="H9" s="51" t="n">
        <v>152989</v>
      </c>
      <c r="I9" s="53"/>
    </row>
    <row r="10" customFormat="false" ht="15" hidden="false" customHeight="false" outlineLevel="0" collapsed="false">
      <c r="A10" s="46" t="s">
        <v>85</v>
      </c>
      <c r="B10" s="47" t="n">
        <v>1266300</v>
      </c>
      <c r="C10" s="47" t="n">
        <v>1250000</v>
      </c>
      <c r="D10" s="48" t="n">
        <v>101.3</v>
      </c>
      <c r="E10" s="47" t="n">
        <v>16300</v>
      </c>
      <c r="F10" s="47" t="n">
        <v>921000</v>
      </c>
      <c r="G10" s="48" t="n">
        <v>137.5</v>
      </c>
      <c r="H10" s="47" t="n">
        <v>345300</v>
      </c>
      <c r="I10" s="49"/>
    </row>
    <row r="11" customFormat="false" ht="15" hidden="false" customHeight="false" outlineLevel="0" collapsed="false">
      <c r="A11" s="50" t="s">
        <v>84</v>
      </c>
      <c r="B11" s="51" t="n">
        <v>4185000</v>
      </c>
      <c r="C11" s="51" t="n">
        <v>4200000</v>
      </c>
      <c r="D11" s="52" t="n">
        <v>99.6</v>
      </c>
      <c r="E11" s="51" t="n">
        <v>-15000</v>
      </c>
      <c r="F11" s="51" t="n">
        <v>3953300</v>
      </c>
      <c r="G11" s="52" t="n">
        <v>105.9</v>
      </c>
      <c r="H11" s="51" t="n">
        <v>231700</v>
      </c>
      <c r="I11" s="53"/>
    </row>
    <row r="12" customFormat="false" ht="15" hidden="false" customHeight="false" outlineLevel="0" collapsed="false">
      <c r="A12" s="46" t="s">
        <v>89</v>
      </c>
      <c r="B12" s="47" t="n">
        <v>2938030</v>
      </c>
      <c r="C12" s="47" t="n">
        <v>3050000</v>
      </c>
      <c r="D12" s="48" t="n">
        <v>96.3</v>
      </c>
      <c r="E12" s="47" t="n">
        <v>-111970</v>
      </c>
      <c r="F12" s="47" t="n">
        <v>2786545</v>
      </c>
      <c r="G12" s="48" t="n">
        <v>105.4</v>
      </c>
      <c r="H12" s="47" t="n">
        <v>151485</v>
      </c>
      <c r="I12" s="49"/>
    </row>
    <row r="13" customFormat="false" ht="15" hidden="false" customHeight="false" outlineLevel="0" collapsed="false">
      <c r="A13" s="50" t="s">
        <v>91</v>
      </c>
      <c r="B13" s="51" t="n">
        <v>5052300</v>
      </c>
      <c r="C13" s="51" t="n">
        <v>5370000</v>
      </c>
      <c r="D13" s="52" t="n">
        <v>94.1</v>
      </c>
      <c r="E13" s="51" t="n">
        <v>-317700</v>
      </c>
      <c r="F13" s="51" t="n">
        <v>4861700</v>
      </c>
      <c r="G13" s="52" t="n">
        <v>103.9</v>
      </c>
      <c r="H13" s="51" t="n">
        <v>190600</v>
      </c>
      <c r="I13" s="53"/>
    </row>
    <row r="14" customFormat="false" ht="15" hidden="false" customHeight="false" outlineLevel="0" collapsed="false">
      <c r="A14" s="46" t="s">
        <v>90</v>
      </c>
      <c r="B14" s="47" t="n">
        <v>1959835</v>
      </c>
      <c r="C14" s="47" t="n">
        <v>2150000</v>
      </c>
      <c r="D14" s="48" t="n">
        <v>91.2</v>
      </c>
      <c r="E14" s="47" t="n">
        <v>-190165</v>
      </c>
      <c r="F14" s="47" t="n">
        <v>1916000</v>
      </c>
      <c r="G14" s="48" t="n">
        <v>102.3</v>
      </c>
      <c r="H14" s="47" t="n">
        <v>43835</v>
      </c>
      <c r="I14" s="49"/>
    </row>
    <row r="15" customFormat="false" ht="15" hidden="false" customHeight="false" outlineLevel="0" collapsed="false">
      <c r="A15" s="50" t="s">
        <v>93</v>
      </c>
      <c r="B15" s="51" t="n">
        <v>1797020</v>
      </c>
      <c r="C15" s="51" t="n">
        <v>2050000</v>
      </c>
      <c r="D15" s="52" t="n">
        <v>87.7</v>
      </c>
      <c r="E15" s="51" t="n">
        <v>-252980</v>
      </c>
      <c r="F15" s="51" t="n">
        <v>1826860</v>
      </c>
      <c r="G15" s="52" t="n">
        <v>98.4</v>
      </c>
      <c r="H15" s="51" t="n">
        <v>-29840</v>
      </c>
      <c r="I15" s="53"/>
    </row>
    <row r="16" customFormat="false" ht="15" hidden="false" customHeight="false" outlineLevel="0" collapsed="false">
      <c r="A16" s="46" t="s">
        <v>96</v>
      </c>
      <c r="B16" s="47" t="n">
        <v>3507580</v>
      </c>
      <c r="C16" s="47" t="n">
        <v>4120000</v>
      </c>
      <c r="D16" s="48" t="n">
        <v>85.1</v>
      </c>
      <c r="E16" s="47" t="n">
        <v>-612420</v>
      </c>
      <c r="F16" s="47" t="n">
        <v>4003095</v>
      </c>
      <c r="G16" s="48" t="n">
        <v>87.6</v>
      </c>
      <c r="H16" s="47" t="n">
        <v>-495515</v>
      </c>
      <c r="I16" s="49"/>
    </row>
    <row r="17" customFormat="false" ht="15" hidden="false" customHeight="false" outlineLevel="0" collapsed="false">
      <c r="A17" s="50" t="s">
        <v>83</v>
      </c>
      <c r="B17" s="51" t="n">
        <v>2538670</v>
      </c>
      <c r="C17" s="51" t="n">
        <v>3150000</v>
      </c>
      <c r="D17" s="52" t="n">
        <v>80.6</v>
      </c>
      <c r="E17" s="51" t="n">
        <v>-611330</v>
      </c>
      <c r="F17" s="51" t="n">
        <v>2928400</v>
      </c>
      <c r="G17" s="52" t="n">
        <v>86.7</v>
      </c>
      <c r="H17" s="51" t="n">
        <v>-389730</v>
      </c>
      <c r="I17" s="53"/>
    </row>
    <row r="18" customFormat="false" ht="15" hidden="false" customHeight="false" outlineLevel="0" collapsed="false">
      <c r="A18" s="46" t="s">
        <v>82</v>
      </c>
      <c r="B18" s="47" t="n">
        <v>2262257</v>
      </c>
      <c r="C18" s="47" t="n">
        <v>2820000</v>
      </c>
      <c r="D18" s="48" t="n">
        <v>80.2</v>
      </c>
      <c r="E18" s="47" t="n">
        <v>-557743</v>
      </c>
      <c r="F18" s="47" t="n">
        <v>1460300</v>
      </c>
      <c r="G18" s="48" t="n">
        <v>154.9</v>
      </c>
      <c r="H18" s="47" t="n">
        <v>801957</v>
      </c>
      <c r="I18" s="49"/>
    </row>
    <row r="19" customFormat="false" ht="15" hidden="false" customHeight="false" outlineLevel="0" collapsed="false">
      <c r="A19" s="50" t="s">
        <v>88</v>
      </c>
      <c r="B19" s="51" t="n">
        <v>1681900</v>
      </c>
      <c r="C19" s="51" t="n">
        <v>2100000</v>
      </c>
      <c r="D19" s="52" t="n">
        <v>80.1</v>
      </c>
      <c r="E19" s="51" t="n">
        <v>-418100</v>
      </c>
      <c r="F19" s="51" t="n">
        <v>1430500</v>
      </c>
      <c r="G19" s="52" t="n">
        <v>117.6</v>
      </c>
      <c r="H19" s="51" t="n">
        <v>251400</v>
      </c>
      <c r="I19" s="53"/>
    </row>
    <row r="20" customFormat="false" ht="15" hidden="false" customHeight="false" outlineLevel="0" collapsed="false">
      <c r="A20" s="46" t="s">
        <v>98</v>
      </c>
      <c r="B20" s="47" t="n">
        <v>1742245</v>
      </c>
      <c r="C20" s="47" t="n">
        <v>2300000</v>
      </c>
      <c r="D20" s="48" t="n">
        <v>75.7</v>
      </c>
      <c r="E20" s="47" t="n">
        <v>-557755</v>
      </c>
      <c r="F20" s="47" t="n">
        <v>2097495</v>
      </c>
      <c r="G20" s="48" t="n">
        <v>83.1</v>
      </c>
      <c r="H20" s="47" t="n">
        <v>-355250</v>
      </c>
      <c r="I20" s="49"/>
    </row>
    <row r="21" customFormat="false" ht="15" hidden="false" customHeight="false" outlineLevel="0" collapsed="false">
      <c r="A21" s="50" t="s">
        <v>95</v>
      </c>
      <c r="B21" s="51" t="n">
        <v>2783500</v>
      </c>
      <c r="C21" s="51" t="n">
        <v>3681000</v>
      </c>
      <c r="D21" s="52" t="n">
        <v>75.6</v>
      </c>
      <c r="E21" s="51" t="n">
        <v>-897500</v>
      </c>
      <c r="F21" s="51" t="n">
        <v>3003000</v>
      </c>
      <c r="G21" s="52" t="n">
        <v>92.7</v>
      </c>
      <c r="H21" s="51" t="n">
        <v>-219500</v>
      </c>
      <c r="I21" s="53"/>
    </row>
    <row r="22" customFormat="false" ht="15" hidden="false" customHeight="false" outlineLevel="0" collapsed="false">
      <c r="A22" s="46" t="s">
        <v>102</v>
      </c>
      <c r="B22" s="47" t="n">
        <v>3137700</v>
      </c>
      <c r="C22" s="47" t="n">
        <v>4320000</v>
      </c>
      <c r="D22" s="48" t="n">
        <v>72.6</v>
      </c>
      <c r="E22" s="47" t="n">
        <v>-1182300</v>
      </c>
      <c r="F22" s="47" t="n">
        <v>4174590</v>
      </c>
      <c r="G22" s="48" t="n">
        <v>75.2</v>
      </c>
      <c r="H22" s="47" t="n">
        <v>-1036890</v>
      </c>
      <c r="I22" s="49"/>
    </row>
    <row r="23" customFormat="false" ht="15" hidden="false" customHeight="false" outlineLevel="0" collapsed="false">
      <c r="A23" s="50" t="s">
        <v>87</v>
      </c>
      <c r="B23" s="51" t="n">
        <v>1985522</v>
      </c>
      <c r="C23" s="51" t="n">
        <v>2782000</v>
      </c>
      <c r="D23" s="52" t="n">
        <v>71.4</v>
      </c>
      <c r="E23" s="51" t="n">
        <v>-796478</v>
      </c>
      <c r="F23" s="51" t="n">
        <v>1409475</v>
      </c>
      <c r="G23" s="52" t="n">
        <v>140.9</v>
      </c>
      <c r="H23" s="51" t="n">
        <v>576047</v>
      </c>
      <c r="I23" s="53"/>
    </row>
    <row r="24" customFormat="false" ht="15" hidden="false" customHeight="false" outlineLevel="0" collapsed="false">
      <c r="A24" s="46" t="s">
        <v>94</v>
      </c>
      <c r="B24" s="47" t="n">
        <v>880280</v>
      </c>
      <c r="C24" s="47" t="n">
        <v>1249000</v>
      </c>
      <c r="D24" s="48" t="n">
        <v>70.5</v>
      </c>
      <c r="E24" s="47" t="n">
        <v>-368720</v>
      </c>
      <c r="F24" s="47" t="n">
        <v>994940</v>
      </c>
      <c r="G24" s="48" t="n">
        <v>88.5</v>
      </c>
      <c r="H24" s="47" t="n">
        <v>-114660</v>
      </c>
      <c r="I24" s="49"/>
    </row>
    <row r="25" customFormat="false" ht="15" hidden="false" customHeight="false" outlineLevel="0" collapsed="false">
      <c r="A25" s="50" t="s">
        <v>105</v>
      </c>
      <c r="B25" s="51" t="n">
        <v>2585700</v>
      </c>
      <c r="C25" s="51" t="n">
        <v>3910000</v>
      </c>
      <c r="D25" s="52" t="n">
        <v>66.1</v>
      </c>
      <c r="E25" s="51" t="n">
        <v>-1324300</v>
      </c>
      <c r="F25" s="51" t="n">
        <v>3129200</v>
      </c>
      <c r="G25" s="52" t="n">
        <v>82.6</v>
      </c>
      <c r="H25" s="51" t="n">
        <v>-543500</v>
      </c>
      <c r="I25" s="53"/>
    </row>
    <row r="26" customFormat="false" ht="15" hidden="false" customHeight="false" outlineLevel="0" collapsed="false">
      <c r="A26" s="46" t="s">
        <v>86</v>
      </c>
      <c r="B26" s="47" t="n">
        <v>832100</v>
      </c>
      <c r="C26" s="47" t="n">
        <v>1260000</v>
      </c>
      <c r="D26" s="48" t="n">
        <v>66</v>
      </c>
      <c r="E26" s="47" t="n">
        <v>-427900</v>
      </c>
      <c r="F26" s="47" t="n">
        <v>724100</v>
      </c>
      <c r="G26" s="48" t="n">
        <v>114.9</v>
      </c>
      <c r="H26" s="47" t="n">
        <v>108000</v>
      </c>
      <c r="I26" s="49"/>
    </row>
    <row r="27" customFormat="false" ht="15" hidden="false" customHeight="false" outlineLevel="0" collapsed="false">
      <c r="A27" s="50" t="s">
        <v>104</v>
      </c>
      <c r="B27" s="51" t="n">
        <v>2102845</v>
      </c>
      <c r="C27" s="51" t="n">
        <v>3200000</v>
      </c>
      <c r="D27" s="52" t="n">
        <v>65.7</v>
      </c>
      <c r="E27" s="51" t="n">
        <v>-1097155</v>
      </c>
      <c r="F27" s="51" t="n">
        <v>2919305</v>
      </c>
      <c r="G27" s="52" t="n">
        <v>72</v>
      </c>
      <c r="H27" s="51" t="n">
        <v>-816460</v>
      </c>
      <c r="I27" s="53"/>
    </row>
    <row r="28" customFormat="false" ht="15" hidden="false" customHeight="false" outlineLevel="0" collapsed="false">
      <c r="A28" s="46" t="s">
        <v>106</v>
      </c>
      <c r="B28" s="47" t="n">
        <v>2879800</v>
      </c>
      <c r="C28" s="47" t="n">
        <v>4800000</v>
      </c>
      <c r="D28" s="48" t="n">
        <v>60</v>
      </c>
      <c r="E28" s="47" t="n">
        <v>-1920200</v>
      </c>
      <c r="F28" s="47" t="n">
        <v>4498600</v>
      </c>
      <c r="G28" s="48" t="n">
        <v>64</v>
      </c>
      <c r="H28" s="47" t="n">
        <v>-1618800</v>
      </c>
      <c r="I28" s="49"/>
    </row>
    <row r="29" customFormat="false" ht="15" hidden="false" customHeight="false" outlineLevel="0" collapsed="false">
      <c r="A29" s="50" t="s">
        <v>97</v>
      </c>
      <c r="B29" s="51" t="n">
        <v>1123189</v>
      </c>
      <c r="C29" s="51" t="n">
        <v>1900000</v>
      </c>
      <c r="D29" s="52" t="n">
        <v>59.1</v>
      </c>
      <c r="E29" s="51" t="n">
        <v>-776811</v>
      </c>
      <c r="F29" s="51" t="n">
        <v>1314530</v>
      </c>
      <c r="G29" s="52" t="n">
        <v>85.4</v>
      </c>
      <c r="H29" s="51" t="n">
        <v>-191341</v>
      </c>
      <c r="I29" s="53"/>
    </row>
    <row r="30" customFormat="false" ht="15" hidden="false" customHeight="false" outlineLevel="0" collapsed="false">
      <c r="A30" s="46" t="s">
        <v>100</v>
      </c>
      <c r="B30" s="47" t="n">
        <v>1960000</v>
      </c>
      <c r="C30" s="47" t="n">
        <v>3404000</v>
      </c>
      <c r="D30" s="48" t="n">
        <v>57.6</v>
      </c>
      <c r="E30" s="47" t="n">
        <v>-1444000</v>
      </c>
      <c r="F30" s="47" t="n">
        <v>2635200</v>
      </c>
      <c r="G30" s="48" t="n">
        <v>74.4</v>
      </c>
      <c r="H30" s="47" t="n">
        <v>-675200</v>
      </c>
      <c r="I30" s="49"/>
    </row>
    <row r="31" customFormat="false" ht="15" hidden="false" customHeight="false" outlineLevel="0" collapsed="false">
      <c r="A31" s="50" t="s">
        <v>108</v>
      </c>
      <c r="B31" s="51" t="n">
        <v>2495520</v>
      </c>
      <c r="C31" s="51" t="n">
        <v>4410000</v>
      </c>
      <c r="D31" s="52" t="n">
        <v>56.6</v>
      </c>
      <c r="E31" s="51" t="n">
        <v>-1914480</v>
      </c>
      <c r="F31" s="51" t="n">
        <v>2858120</v>
      </c>
      <c r="G31" s="52" t="n">
        <v>87.3</v>
      </c>
      <c r="H31" s="51" t="n">
        <v>-362600</v>
      </c>
      <c r="I31" s="53"/>
    </row>
    <row r="32" customFormat="false" ht="15" hidden="false" customHeight="false" outlineLevel="0" collapsed="false">
      <c r="A32" s="46" t="s">
        <v>92</v>
      </c>
      <c r="B32" s="47" t="n">
        <v>1039100</v>
      </c>
      <c r="C32" s="47" t="n">
        <v>1880000</v>
      </c>
      <c r="D32" s="48" t="n">
        <v>55.3</v>
      </c>
      <c r="E32" s="47" t="n">
        <v>-840900</v>
      </c>
      <c r="F32" s="47" t="n">
        <v>1430400</v>
      </c>
      <c r="G32" s="48" t="n">
        <v>72.6</v>
      </c>
      <c r="H32" s="47" t="n">
        <v>-391300</v>
      </c>
      <c r="I32" s="49"/>
    </row>
    <row r="33" customFormat="false" ht="15" hidden="false" customHeight="false" outlineLevel="0" collapsed="false">
      <c r="A33" s="50" t="s">
        <v>112</v>
      </c>
      <c r="B33" s="51" t="n">
        <v>1380275</v>
      </c>
      <c r="C33" s="51" t="n">
        <v>2500000</v>
      </c>
      <c r="D33" s="52" t="n">
        <v>55.2</v>
      </c>
      <c r="E33" s="51" t="n">
        <v>-1119725</v>
      </c>
      <c r="F33" s="51" t="n">
        <v>2326900</v>
      </c>
      <c r="G33" s="52" t="n">
        <v>59.3</v>
      </c>
      <c r="H33" s="51" t="n">
        <v>-946625</v>
      </c>
      <c r="I33" s="53"/>
    </row>
    <row r="34" customFormat="false" ht="15" hidden="false" customHeight="false" outlineLevel="0" collapsed="false">
      <c r="A34" s="46" t="s">
        <v>110</v>
      </c>
      <c r="B34" s="47" t="n">
        <v>4361200</v>
      </c>
      <c r="C34" s="47" t="n">
        <v>7990000</v>
      </c>
      <c r="D34" s="48" t="n">
        <v>54.6</v>
      </c>
      <c r="E34" s="47" t="n">
        <v>-3628800</v>
      </c>
      <c r="F34" s="47" t="n">
        <v>5799600</v>
      </c>
      <c r="G34" s="48" t="n">
        <v>75.2</v>
      </c>
      <c r="H34" s="47" t="n">
        <v>-1438400</v>
      </c>
      <c r="I34" s="49"/>
    </row>
    <row r="35" customFormat="false" ht="15" hidden="false" customHeight="false" outlineLevel="0" collapsed="false">
      <c r="A35" s="50" t="s">
        <v>99</v>
      </c>
      <c r="B35" s="51" t="n">
        <v>1946845</v>
      </c>
      <c r="C35" s="51" t="n">
        <v>3613000</v>
      </c>
      <c r="D35" s="52" t="n">
        <v>53.9</v>
      </c>
      <c r="E35" s="51" t="n">
        <v>-1666155</v>
      </c>
      <c r="F35" s="51" t="n">
        <v>1717190</v>
      </c>
      <c r="G35" s="52" t="n">
        <v>113.4</v>
      </c>
      <c r="H35" s="51" t="n">
        <v>229655</v>
      </c>
      <c r="I35" s="53"/>
    </row>
    <row r="36" customFormat="false" ht="15" hidden="false" customHeight="false" outlineLevel="0" collapsed="false">
      <c r="A36" s="46" t="s">
        <v>101</v>
      </c>
      <c r="B36" s="47" t="n">
        <v>1159540</v>
      </c>
      <c r="C36" s="47" t="n">
        <v>2207000</v>
      </c>
      <c r="D36" s="48" t="n">
        <v>52.5</v>
      </c>
      <c r="E36" s="47" t="n">
        <v>-1047460</v>
      </c>
      <c r="F36" s="47" t="n">
        <v>1399900</v>
      </c>
      <c r="G36" s="48" t="n">
        <v>82.8</v>
      </c>
      <c r="H36" s="47" t="n">
        <v>-240360</v>
      </c>
      <c r="I36" s="49"/>
    </row>
    <row r="37" customFormat="false" ht="15" hidden="false" customHeight="false" outlineLevel="0" collapsed="false">
      <c r="A37" s="50" t="s">
        <v>114</v>
      </c>
      <c r="B37" s="51" t="n">
        <v>3118100</v>
      </c>
      <c r="C37" s="51" t="n">
        <v>6100000</v>
      </c>
      <c r="D37" s="52" t="n">
        <v>51.1</v>
      </c>
      <c r="E37" s="51" t="n">
        <v>-2981900</v>
      </c>
      <c r="F37" s="51" t="n">
        <v>3560410</v>
      </c>
      <c r="G37" s="52" t="n">
        <v>87.6</v>
      </c>
      <c r="H37" s="51" t="n">
        <v>-442310</v>
      </c>
      <c r="I37" s="53"/>
    </row>
    <row r="38" customFormat="false" ht="15" hidden="false" customHeight="false" outlineLevel="0" collapsed="false">
      <c r="A38" s="46" t="s">
        <v>103</v>
      </c>
      <c r="B38" s="47" t="n">
        <v>819800</v>
      </c>
      <c r="C38" s="47" t="n">
        <v>1700000</v>
      </c>
      <c r="D38" s="48" t="n">
        <v>48.2</v>
      </c>
      <c r="E38" s="47" t="n">
        <v>-880200</v>
      </c>
      <c r="F38" s="47" t="n">
        <v>1158600</v>
      </c>
      <c r="G38" s="48" t="n">
        <v>70.8</v>
      </c>
      <c r="H38" s="47" t="n">
        <v>-338800</v>
      </c>
      <c r="I38" s="49"/>
    </row>
    <row r="39" customFormat="false" ht="15" hidden="false" customHeight="false" outlineLevel="0" collapsed="false">
      <c r="A39" s="50" t="s">
        <v>111</v>
      </c>
      <c r="B39" s="51" t="n">
        <v>1207333</v>
      </c>
      <c r="C39" s="51" t="n">
        <v>2512000</v>
      </c>
      <c r="D39" s="52" t="n">
        <v>48.1</v>
      </c>
      <c r="E39" s="51" t="n">
        <v>-1304667</v>
      </c>
      <c r="F39" s="51" t="n">
        <v>1911245</v>
      </c>
      <c r="G39" s="52" t="n">
        <v>63.2</v>
      </c>
      <c r="H39" s="51" t="n">
        <v>-703912</v>
      </c>
      <c r="I39" s="53"/>
    </row>
    <row r="40" customFormat="false" ht="15" hidden="false" customHeight="false" outlineLevel="0" collapsed="false">
      <c r="A40" s="46" t="s">
        <v>109</v>
      </c>
      <c r="B40" s="47" t="n">
        <v>2779498</v>
      </c>
      <c r="C40" s="47" t="n">
        <v>6627000</v>
      </c>
      <c r="D40" s="48" t="n">
        <v>41.9</v>
      </c>
      <c r="E40" s="47" t="n">
        <v>-3847502</v>
      </c>
      <c r="F40" s="47" t="n">
        <v>5135835</v>
      </c>
      <c r="G40" s="48" t="n">
        <v>54.1</v>
      </c>
      <c r="H40" s="47" t="n">
        <v>-2356337</v>
      </c>
      <c r="I40" s="49"/>
    </row>
    <row r="41" customFormat="false" ht="15" hidden="false" customHeight="false" outlineLevel="0" collapsed="false">
      <c r="A41" s="50" t="s">
        <v>107</v>
      </c>
      <c r="B41" s="51" t="n">
        <v>621400</v>
      </c>
      <c r="C41" s="51" t="n">
        <v>1550000</v>
      </c>
      <c r="D41" s="52" t="n">
        <v>40.1</v>
      </c>
      <c r="E41" s="51" t="n">
        <v>-928600</v>
      </c>
      <c r="F41" s="51" t="n">
        <v>785950</v>
      </c>
      <c r="G41" s="52" t="n">
        <v>79.1</v>
      </c>
      <c r="H41" s="51" t="n">
        <v>-164550</v>
      </c>
      <c r="I41" s="53"/>
    </row>
    <row r="42" customFormat="false" ht="15" hidden="false" customHeight="false" outlineLevel="0" collapsed="false">
      <c r="A42" s="46" t="s">
        <v>78</v>
      </c>
      <c r="B42" s="47" t="n">
        <v>978750</v>
      </c>
      <c r="C42" s="47" t="n">
        <v>2500000</v>
      </c>
      <c r="D42" s="48" t="n">
        <v>39.2</v>
      </c>
      <c r="E42" s="47" t="n">
        <v>-1521250</v>
      </c>
      <c r="F42" s="47" t="n">
        <v>1368371</v>
      </c>
      <c r="G42" s="48" t="n">
        <v>71.5</v>
      </c>
      <c r="H42" s="47" t="n">
        <v>-389621</v>
      </c>
      <c r="I42" s="49"/>
    </row>
    <row r="43" customFormat="false" ht="15" hidden="false" customHeight="false" outlineLevel="0" collapsed="false">
      <c r="A43" s="50" t="s">
        <v>74</v>
      </c>
      <c r="B43" s="51" t="n">
        <v>904121</v>
      </c>
      <c r="C43" s="51" t="n">
        <v>3500000</v>
      </c>
      <c r="D43" s="52" t="n">
        <v>25.8</v>
      </c>
      <c r="E43" s="51" t="n">
        <v>-2595879</v>
      </c>
      <c r="F43" s="51" t="n">
        <v>1132287</v>
      </c>
      <c r="G43" s="52" t="n">
        <v>79.8</v>
      </c>
      <c r="H43" s="51" t="n">
        <v>-228166</v>
      </c>
      <c r="I43" s="53"/>
    </row>
    <row r="44" customFormat="false" ht="15" hidden="false" customHeight="false" outlineLevel="0" collapsed="false">
      <c r="A44" s="46" t="s">
        <v>117</v>
      </c>
      <c r="B44" s="47" t="n">
        <v>449395</v>
      </c>
      <c r="C44" s="47" t="n">
        <v>1800000</v>
      </c>
      <c r="D44" s="48" t="n">
        <v>25</v>
      </c>
      <c r="E44" s="47" t="n">
        <v>-1350605</v>
      </c>
      <c r="F44" s="48" t="n">
        <v>0</v>
      </c>
      <c r="G44" s="48" t="n">
        <v>0</v>
      </c>
      <c r="H44" s="47" t="n">
        <v>449395</v>
      </c>
      <c r="I44" s="49"/>
    </row>
    <row r="45" customFormat="false" ht="15" hidden="false" customHeight="false" outlineLevel="0" collapsed="false">
      <c r="A45" s="50" t="s">
        <v>113</v>
      </c>
      <c r="B45" s="51" t="n">
        <v>659140</v>
      </c>
      <c r="C45" s="51" t="n">
        <v>2787000</v>
      </c>
      <c r="D45" s="52" t="n">
        <v>23.7</v>
      </c>
      <c r="E45" s="51" t="n">
        <v>-2127860</v>
      </c>
      <c r="F45" s="51" t="n">
        <v>1676126</v>
      </c>
      <c r="G45" s="52" t="n">
        <v>39.3</v>
      </c>
      <c r="H45" s="51" t="n">
        <v>-1016986</v>
      </c>
      <c r="I45" s="53"/>
    </row>
    <row r="46" customFormat="false" ht="15" hidden="false" customHeight="false" outlineLevel="0" collapsed="false">
      <c r="A46" s="46" t="s">
        <v>115</v>
      </c>
      <c r="B46" s="47" t="n">
        <v>206800</v>
      </c>
      <c r="C46" s="47" t="n">
        <v>1100000</v>
      </c>
      <c r="D46" s="48" t="n">
        <v>18.8</v>
      </c>
      <c r="E46" s="47" t="n">
        <v>-893200</v>
      </c>
      <c r="F46" s="47" t="n">
        <v>923300</v>
      </c>
      <c r="G46" s="48" t="n">
        <v>22.4</v>
      </c>
      <c r="H46" s="47" t="n">
        <v>-716500</v>
      </c>
      <c r="I46" s="49"/>
    </row>
    <row r="47" customFormat="false" ht="15" hidden="false" customHeight="false" outlineLevel="0" collapsed="false">
      <c r="A47" s="50" t="s">
        <v>116</v>
      </c>
      <c r="B47" s="51" t="n">
        <v>-4655</v>
      </c>
      <c r="C47" s="51" t="n">
        <v>2600000</v>
      </c>
      <c r="D47" s="52" t="n">
        <v>0</v>
      </c>
      <c r="E47" s="51" t="n">
        <v>-2604655</v>
      </c>
      <c r="F47" s="51" t="n">
        <v>7355</v>
      </c>
      <c r="G47" s="52" t="n">
        <v>0</v>
      </c>
      <c r="H47" s="51" t="n">
        <v>-12010</v>
      </c>
      <c r="I47" s="53"/>
    </row>
    <row r="48" customFormat="false" ht="15" hidden="false" customHeight="false" outlineLevel="0" collapsed="false">
      <c r="A48" s="54" t="s">
        <v>16</v>
      </c>
      <c r="B48" s="55" t="n">
        <v>88214614</v>
      </c>
      <c r="C48" s="55" t="n">
        <v>131627000</v>
      </c>
      <c r="D48" s="56" t="n">
        <v>67</v>
      </c>
      <c r="E48" s="55" t="n">
        <v>-43412386</v>
      </c>
      <c r="F48" s="55" t="n">
        <v>97453694</v>
      </c>
      <c r="G48" s="56" t="n">
        <v>90.5</v>
      </c>
      <c r="H48" s="55" t="n">
        <v>-9239080</v>
      </c>
      <c r="I48" s="57"/>
    </row>
  </sheetData>
  <mergeCells count="6">
    <mergeCell ref="A1:A3"/>
    <mergeCell ref="B1:H1"/>
    <mergeCell ref="I1:I3"/>
    <mergeCell ref="B2:B3"/>
    <mergeCell ref="C2:E2"/>
    <mergeCell ref="F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3.4" hidden="false" customHeight="false" outlineLevel="0" collapsed="false">
      <c r="A1" s="44" t="s">
        <v>47</v>
      </c>
      <c r="B1" s="45" t="s">
        <v>68</v>
      </c>
      <c r="C1" s="45"/>
      <c r="D1" s="45"/>
      <c r="E1" s="45"/>
      <c r="F1" s="45"/>
      <c r="G1" s="45"/>
      <c r="H1" s="45"/>
      <c r="I1" s="44" t="s">
        <v>69</v>
      </c>
    </row>
    <row r="2" customFormat="false" ht="15" hidden="false" customHeight="false" outlineLevel="0" collapsed="false">
      <c r="A2" s="44"/>
      <c r="B2" s="44" t="s">
        <v>4</v>
      </c>
      <c r="C2" s="44" t="s">
        <v>70</v>
      </c>
      <c r="D2" s="44"/>
      <c r="E2" s="44"/>
      <c r="F2" s="44" t="s">
        <v>71</v>
      </c>
      <c r="G2" s="44"/>
      <c r="H2" s="44"/>
      <c r="I2" s="44"/>
    </row>
    <row r="3" customFormat="false" ht="15" hidden="false" customHeight="false" outlineLevel="0" collapsed="false">
      <c r="A3" s="44"/>
      <c r="B3" s="44"/>
      <c r="C3" s="44" t="s">
        <v>6</v>
      </c>
      <c r="D3" s="44" t="s">
        <v>72</v>
      </c>
      <c r="E3" s="44" t="s">
        <v>73</v>
      </c>
      <c r="F3" s="44" t="s">
        <v>9</v>
      </c>
      <c r="G3" s="44" t="s">
        <v>10</v>
      </c>
      <c r="H3" s="44" t="s">
        <v>11</v>
      </c>
      <c r="I3" s="44"/>
    </row>
    <row r="4" customFormat="false" ht="15" hidden="false" customHeight="false" outlineLevel="0" collapsed="false">
      <c r="A4" s="46" t="s">
        <v>90</v>
      </c>
      <c r="B4" s="47" t="n">
        <v>88730</v>
      </c>
      <c r="C4" s="48" t="n">
        <v>0</v>
      </c>
      <c r="D4" s="48" t="n">
        <v>0</v>
      </c>
      <c r="E4" s="47" t="n">
        <v>88730</v>
      </c>
      <c r="F4" s="47" t="n">
        <v>182500</v>
      </c>
      <c r="G4" s="48" t="n">
        <v>48.6</v>
      </c>
      <c r="H4" s="47" t="n">
        <v>-93770</v>
      </c>
      <c r="I4" s="49"/>
    </row>
    <row r="5" customFormat="false" ht="15" hidden="false" customHeight="false" outlineLevel="0" collapsed="false">
      <c r="A5" s="50" t="s">
        <v>82</v>
      </c>
      <c r="B5" s="51" t="n">
        <v>850860</v>
      </c>
      <c r="C5" s="52" t="n">
        <v>0</v>
      </c>
      <c r="D5" s="52" t="n">
        <v>0</v>
      </c>
      <c r="E5" s="51" t="n">
        <v>850860</v>
      </c>
      <c r="F5" s="51" t="n">
        <v>375800</v>
      </c>
      <c r="G5" s="52" t="n">
        <v>226.4</v>
      </c>
      <c r="H5" s="51" t="n">
        <v>475060</v>
      </c>
      <c r="I5" s="53"/>
    </row>
    <row r="6" customFormat="false" ht="15" hidden="false" customHeight="false" outlineLevel="0" collapsed="false">
      <c r="A6" s="46" t="s">
        <v>87</v>
      </c>
      <c r="B6" s="47" t="n">
        <v>806260</v>
      </c>
      <c r="C6" s="48" t="n">
        <v>0</v>
      </c>
      <c r="D6" s="48" t="n">
        <v>0</v>
      </c>
      <c r="E6" s="47" t="n">
        <v>806260</v>
      </c>
      <c r="F6" s="47" t="n">
        <v>712680</v>
      </c>
      <c r="G6" s="48" t="n">
        <v>113.1</v>
      </c>
      <c r="H6" s="47" t="n">
        <v>93580</v>
      </c>
      <c r="I6" s="49"/>
    </row>
    <row r="7" customFormat="false" ht="15" hidden="false" customHeight="false" outlineLevel="0" collapsed="false">
      <c r="A7" s="50" t="s">
        <v>95</v>
      </c>
      <c r="B7" s="51" t="n">
        <v>467190</v>
      </c>
      <c r="C7" s="52" t="n">
        <v>0</v>
      </c>
      <c r="D7" s="52" t="n">
        <v>0</v>
      </c>
      <c r="E7" s="51" t="n">
        <v>467190</v>
      </c>
      <c r="F7" s="51" t="n">
        <v>213380</v>
      </c>
      <c r="G7" s="52" t="n">
        <v>218.9</v>
      </c>
      <c r="H7" s="51" t="n">
        <v>253810</v>
      </c>
      <c r="I7" s="53"/>
    </row>
    <row r="8" customFormat="false" ht="15" hidden="false" customHeight="false" outlineLevel="0" collapsed="false">
      <c r="A8" s="46" t="s">
        <v>109</v>
      </c>
      <c r="B8" s="47" t="n">
        <v>1062930</v>
      </c>
      <c r="C8" s="48" t="n">
        <v>0</v>
      </c>
      <c r="D8" s="48" t="n">
        <v>0</v>
      </c>
      <c r="E8" s="47" t="n">
        <v>1062930</v>
      </c>
      <c r="F8" s="47" t="n">
        <v>1011060</v>
      </c>
      <c r="G8" s="48" t="n">
        <v>105.1</v>
      </c>
      <c r="H8" s="47" t="n">
        <v>51870</v>
      </c>
      <c r="I8" s="49"/>
    </row>
    <row r="9" customFormat="false" ht="15" hidden="false" customHeight="false" outlineLevel="0" collapsed="false">
      <c r="A9" s="50" t="s">
        <v>88</v>
      </c>
      <c r="B9" s="51" t="n">
        <v>401700</v>
      </c>
      <c r="C9" s="52" t="n">
        <v>0</v>
      </c>
      <c r="D9" s="52" t="n">
        <v>0</v>
      </c>
      <c r="E9" s="51" t="n">
        <v>401700</v>
      </c>
      <c r="F9" s="51" t="n">
        <v>203300</v>
      </c>
      <c r="G9" s="52" t="n">
        <v>197.6</v>
      </c>
      <c r="H9" s="51" t="n">
        <v>198400</v>
      </c>
      <c r="I9" s="53"/>
    </row>
    <row r="10" customFormat="false" ht="15" hidden="false" customHeight="false" outlineLevel="0" collapsed="false">
      <c r="A10" s="46" t="s">
        <v>101</v>
      </c>
      <c r="B10" s="47" t="n">
        <v>488340</v>
      </c>
      <c r="C10" s="48" t="n">
        <v>0</v>
      </c>
      <c r="D10" s="48" t="n">
        <v>0</v>
      </c>
      <c r="E10" s="47" t="n">
        <v>488340</v>
      </c>
      <c r="F10" s="47" t="n">
        <v>211000</v>
      </c>
      <c r="G10" s="48" t="n">
        <v>231.4</v>
      </c>
      <c r="H10" s="47" t="n">
        <v>277340</v>
      </c>
      <c r="I10" s="49"/>
    </row>
    <row r="11" customFormat="false" ht="15" hidden="false" customHeight="false" outlineLevel="0" collapsed="false">
      <c r="A11" s="50" t="s">
        <v>98</v>
      </c>
      <c r="B11" s="51" t="n">
        <v>130400</v>
      </c>
      <c r="C11" s="52" t="n">
        <v>0</v>
      </c>
      <c r="D11" s="52" t="n">
        <v>0</v>
      </c>
      <c r="E11" s="51" t="n">
        <v>130400</v>
      </c>
      <c r="F11" s="51" t="n">
        <v>257700</v>
      </c>
      <c r="G11" s="52" t="n">
        <v>50.6</v>
      </c>
      <c r="H11" s="51" t="n">
        <v>-127300</v>
      </c>
      <c r="I11" s="53"/>
    </row>
    <row r="12" customFormat="false" ht="15" hidden="false" customHeight="false" outlineLevel="0" collapsed="false">
      <c r="A12" s="46" t="s">
        <v>75</v>
      </c>
      <c r="B12" s="47" t="n">
        <v>71400</v>
      </c>
      <c r="C12" s="48" t="n">
        <v>0</v>
      </c>
      <c r="D12" s="48" t="n">
        <v>0</v>
      </c>
      <c r="E12" s="47" t="n">
        <v>71400</v>
      </c>
      <c r="F12" s="47" t="n">
        <v>372400</v>
      </c>
      <c r="G12" s="48" t="n">
        <v>19.2</v>
      </c>
      <c r="H12" s="47" t="n">
        <v>-301000</v>
      </c>
      <c r="I12" s="49"/>
    </row>
    <row r="13" customFormat="false" ht="15" hidden="false" customHeight="false" outlineLevel="0" collapsed="false">
      <c r="A13" s="50" t="s">
        <v>83</v>
      </c>
      <c r="B13" s="51" t="n">
        <v>665530</v>
      </c>
      <c r="C13" s="52" t="n">
        <v>0</v>
      </c>
      <c r="D13" s="52" t="n">
        <v>0</v>
      </c>
      <c r="E13" s="51" t="n">
        <v>665530</v>
      </c>
      <c r="F13" s="51" t="n">
        <v>258400</v>
      </c>
      <c r="G13" s="52" t="n">
        <v>257.6</v>
      </c>
      <c r="H13" s="51" t="n">
        <v>407130</v>
      </c>
      <c r="I13" s="53"/>
    </row>
    <row r="14" customFormat="false" ht="15" hidden="false" customHeight="false" outlineLevel="0" collapsed="false">
      <c r="A14" s="46" t="s">
        <v>92</v>
      </c>
      <c r="B14" s="47" t="n">
        <v>705400</v>
      </c>
      <c r="C14" s="48" t="n">
        <v>0</v>
      </c>
      <c r="D14" s="48" t="n">
        <v>0</v>
      </c>
      <c r="E14" s="47" t="n">
        <v>705400</v>
      </c>
      <c r="F14" s="47" t="n">
        <v>416400</v>
      </c>
      <c r="G14" s="48" t="n">
        <v>169.4</v>
      </c>
      <c r="H14" s="47" t="n">
        <v>289000</v>
      </c>
      <c r="I14" s="49"/>
    </row>
    <row r="15" customFormat="false" ht="15" hidden="false" customHeight="false" outlineLevel="0" collapsed="false">
      <c r="A15" s="50" t="s">
        <v>103</v>
      </c>
      <c r="B15" s="51" t="n">
        <v>368000</v>
      </c>
      <c r="C15" s="52" t="n">
        <v>0</v>
      </c>
      <c r="D15" s="52" t="n">
        <v>0</v>
      </c>
      <c r="E15" s="51" t="n">
        <v>368000</v>
      </c>
      <c r="F15" s="51" t="n">
        <v>116100</v>
      </c>
      <c r="G15" s="52" t="n">
        <v>317</v>
      </c>
      <c r="H15" s="51" t="n">
        <v>251900</v>
      </c>
      <c r="I15" s="53"/>
    </row>
    <row r="16" customFormat="false" ht="15" hidden="false" customHeight="false" outlineLevel="0" collapsed="false">
      <c r="A16" s="46" t="s">
        <v>84</v>
      </c>
      <c r="B16" s="47" t="n">
        <v>81900</v>
      </c>
      <c r="C16" s="48" t="n">
        <v>0</v>
      </c>
      <c r="D16" s="48" t="n">
        <v>0</v>
      </c>
      <c r="E16" s="47" t="n">
        <v>81900</v>
      </c>
      <c r="F16" s="47" t="n">
        <v>199900</v>
      </c>
      <c r="G16" s="48" t="n">
        <v>41</v>
      </c>
      <c r="H16" s="47" t="n">
        <v>-118000</v>
      </c>
      <c r="I16" s="49"/>
    </row>
    <row r="17" customFormat="false" ht="15" hidden="false" customHeight="false" outlineLevel="0" collapsed="false">
      <c r="A17" s="50" t="s">
        <v>99</v>
      </c>
      <c r="B17" s="51" t="n">
        <v>976000</v>
      </c>
      <c r="C17" s="52" t="n">
        <v>0</v>
      </c>
      <c r="D17" s="52" t="n">
        <v>0</v>
      </c>
      <c r="E17" s="51" t="n">
        <v>976000</v>
      </c>
      <c r="F17" s="51" t="n">
        <v>1761750</v>
      </c>
      <c r="G17" s="52" t="n">
        <v>55.4</v>
      </c>
      <c r="H17" s="51" t="n">
        <v>-785750</v>
      </c>
      <c r="I17" s="53"/>
    </row>
    <row r="18" customFormat="false" ht="15" hidden="false" customHeight="false" outlineLevel="0" collapsed="false">
      <c r="A18" s="46" t="s">
        <v>78</v>
      </c>
      <c r="B18" s="47" t="n">
        <v>2160200</v>
      </c>
      <c r="C18" s="48" t="n">
        <v>0</v>
      </c>
      <c r="D18" s="48" t="n">
        <v>0</v>
      </c>
      <c r="E18" s="47" t="n">
        <v>2160200</v>
      </c>
      <c r="F18" s="47" t="n">
        <v>662800</v>
      </c>
      <c r="G18" s="48" t="n">
        <v>325.9</v>
      </c>
      <c r="H18" s="47" t="n">
        <v>1497400</v>
      </c>
      <c r="I18" s="49"/>
    </row>
    <row r="19" customFormat="false" ht="15" hidden="false" customHeight="false" outlineLevel="0" collapsed="false">
      <c r="A19" s="50" t="s">
        <v>107</v>
      </c>
      <c r="B19" s="51" t="n">
        <v>324700</v>
      </c>
      <c r="C19" s="52" t="n">
        <v>0</v>
      </c>
      <c r="D19" s="52" t="n">
        <v>0</v>
      </c>
      <c r="E19" s="51" t="n">
        <v>324700</v>
      </c>
      <c r="F19" s="51" t="n">
        <v>499746</v>
      </c>
      <c r="G19" s="52" t="n">
        <v>65</v>
      </c>
      <c r="H19" s="51" t="n">
        <v>-175046</v>
      </c>
      <c r="I19" s="53"/>
    </row>
    <row r="20" customFormat="false" ht="15" hidden="false" customHeight="false" outlineLevel="0" collapsed="false">
      <c r="A20" s="46" t="s">
        <v>74</v>
      </c>
      <c r="B20" s="47" t="n">
        <v>5869140</v>
      </c>
      <c r="C20" s="48" t="n">
        <v>0</v>
      </c>
      <c r="D20" s="48" t="n">
        <v>0</v>
      </c>
      <c r="E20" s="47" t="n">
        <v>5869140</v>
      </c>
      <c r="F20" s="47" t="n">
        <v>1246500</v>
      </c>
      <c r="G20" s="48" t="n">
        <v>470.8</v>
      </c>
      <c r="H20" s="47" t="n">
        <v>4622640</v>
      </c>
      <c r="I20" s="49"/>
    </row>
    <row r="21" customFormat="false" ht="15" hidden="false" customHeight="false" outlineLevel="0" collapsed="false">
      <c r="A21" s="50" t="s">
        <v>113</v>
      </c>
      <c r="B21" s="51" t="n">
        <v>913100</v>
      </c>
      <c r="C21" s="52" t="n">
        <v>0</v>
      </c>
      <c r="D21" s="52" t="n">
        <v>0</v>
      </c>
      <c r="E21" s="51" t="n">
        <v>913100</v>
      </c>
      <c r="F21" s="51" t="n">
        <v>1012070</v>
      </c>
      <c r="G21" s="52" t="n">
        <v>90.2</v>
      </c>
      <c r="H21" s="51" t="n">
        <v>-98970</v>
      </c>
      <c r="I21" s="53"/>
    </row>
    <row r="22" customFormat="false" ht="15" hidden="false" customHeight="false" outlineLevel="0" collapsed="false">
      <c r="A22" s="46" t="s">
        <v>114</v>
      </c>
      <c r="B22" s="47" t="n">
        <v>16800</v>
      </c>
      <c r="C22" s="48" t="n">
        <v>0</v>
      </c>
      <c r="D22" s="48" t="n">
        <v>0</v>
      </c>
      <c r="E22" s="47" t="n">
        <v>16800</v>
      </c>
      <c r="F22" s="47" t="n">
        <v>44100</v>
      </c>
      <c r="G22" s="48" t="n">
        <v>38.1</v>
      </c>
      <c r="H22" s="47" t="n">
        <v>-27300</v>
      </c>
      <c r="I22" s="49"/>
    </row>
    <row r="23" customFormat="false" ht="15" hidden="false" customHeight="false" outlineLevel="0" collapsed="false">
      <c r="A23" s="50" t="s">
        <v>108</v>
      </c>
      <c r="B23" s="51" t="n">
        <v>145000</v>
      </c>
      <c r="C23" s="52" t="n">
        <v>0</v>
      </c>
      <c r="D23" s="52" t="n">
        <v>0</v>
      </c>
      <c r="E23" s="51" t="n">
        <v>145000</v>
      </c>
      <c r="F23" s="51" t="n">
        <v>126000</v>
      </c>
      <c r="G23" s="52" t="n">
        <v>115.1</v>
      </c>
      <c r="H23" s="51" t="n">
        <v>19000</v>
      </c>
      <c r="I23" s="53"/>
    </row>
    <row r="24" customFormat="false" ht="15" hidden="false" customHeight="false" outlineLevel="0" collapsed="false">
      <c r="A24" s="46" t="s">
        <v>79</v>
      </c>
      <c r="B24" s="47" t="n">
        <v>378400</v>
      </c>
      <c r="C24" s="48" t="n">
        <v>0</v>
      </c>
      <c r="D24" s="48" t="n">
        <v>0</v>
      </c>
      <c r="E24" s="47" t="n">
        <v>378400</v>
      </c>
      <c r="F24" s="47" t="n">
        <v>35900</v>
      </c>
      <c r="G24" s="58" t="n">
        <v>1054</v>
      </c>
      <c r="H24" s="47" t="n">
        <v>342500</v>
      </c>
      <c r="I24" s="49"/>
    </row>
    <row r="25" customFormat="false" ht="15" hidden="false" customHeight="false" outlineLevel="0" collapsed="false">
      <c r="A25" s="50" t="s">
        <v>110</v>
      </c>
      <c r="B25" s="51" t="n">
        <v>272100</v>
      </c>
      <c r="C25" s="52" t="n">
        <v>0</v>
      </c>
      <c r="D25" s="52" t="n">
        <v>0</v>
      </c>
      <c r="E25" s="51" t="n">
        <v>272100</v>
      </c>
      <c r="F25" s="52" t="n">
        <v>0</v>
      </c>
      <c r="G25" s="52" t="n">
        <v>0</v>
      </c>
      <c r="H25" s="51" t="n">
        <v>272100</v>
      </c>
      <c r="I25" s="53"/>
    </row>
    <row r="26" customFormat="false" ht="15" hidden="false" customHeight="false" outlineLevel="0" collapsed="false">
      <c r="A26" s="46" t="s">
        <v>100</v>
      </c>
      <c r="B26" s="47" t="n">
        <v>612970</v>
      </c>
      <c r="C26" s="48" t="n">
        <v>0</v>
      </c>
      <c r="D26" s="48" t="n">
        <v>0</v>
      </c>
      <c r="E26" s="47" t="n">
        <v>612970</v>
      </c>
      <c r="F26" s="47" t="n">
        <v>590460</v>
      </c>
      <c r="G26" s="48" t="n">
        <v>103.8</v>
      </c>
      <c r="H26" s="47" t="n">
        <v>22510</v>
      </c>
      <c r="I26" s="49"/>
    </row>
    <row r="27" customFormat="false" ht="15" hidden="false" customHeight="false" outlineLevel="0" collapsed="false">
      <c r="A27" s="50" t="s">
        <v>93</v>
      </c>
      <c r="B27" s="51" t="n">
        <v>44900</v>
      </c>
      <c r="C27" s="52" t="n">
        <v>0</v>
      </c>
      <c r="D27" s="52" t="n">
        <v>0</v>
      </c>
      <c r="E27" s="51" t="n">
        <v>44900</v>
      </c>
      <c r="F27" s="51" t="n">
        <v>113400</v>
      </c>
      <c r="G27" s="52" t="n">
        <v>39.6</v>
      </c>
      <c r="H27" s="51" t="n">
        <v>-68500</v>
      </c>
      <c r="I27" s="53"/>
    </row>
    <row r="28" customFormat="false" ht="15" hidden="false" customHeight="false" outlineLevel="0" collapsed="false">
      <c r="A28" s="46" t="s">
        <v>89</v>
      </c>
      <c r="B28" s="47" t="n">
        <v>67200</v>
      </c>
      <c r="C28" s="48" t="n">
        <v>0</v>
      </c>
      <c r="D28" s="48" t="n">
        <v>0</v>
      </c>
      <c r="E28" s="47" t="n">
        <v>67200</v>
      </c>
      <c r="F28" s="47" t="n">
        <v>56900</v>
      </c>
      <c r="G28" s="48" t="n">
        <v>118.1</v>
      </c>
      <c r="H28" s="47" t="n">
        <v>10300</v>
      </c>
      <c r="I28" s="49"/>
    </row>
    <row r="29" customFormat="false" ht="15" hidden="false" customHeight="false" outlineLevel="0" collapsed="false">
      <c r="A29" s="50" t="s">
        <v>80</v>
      </c>
      <c r="B29" s="51" t="n">
        <v>224040</v>
      </c>
      <c r="C29" s="52" t="n">
        <v>0</v>
      </c>
      <c r="D29" s="52" t="n">
        <v>0</v>
      </c>
      <c r="E29" s="51" t="n">
        <v>224040</v>
      </c>
      <c r="F29" s="51" t="n">
        <v>27900</v>
      </c>
      <c r="G29" s="52" t="n">
        <v>803</v>
      </c>
      <c r="H29" s="51" t="n">
        <v>196140</v>
      </c>
      <c r="I29" s="53"/>
    </row>
    <row r="30" customFormat="false" ht="15" hidden="false" customHeight="false" outlineLevel="0" collapsed="false">
      <c r="A30" s="46" t="s">
        <v>97</v>
      </c>
      <c r="B30" s="47" t="n">
        <v>456600</v>
      </c>
      <c r="C30" s="48" t="n">
        <v>0</v>
      </c>
      <c r="D30" s="48" t="n">
        <v>0</v>
      </c>
      <c r="E30" s="47" t="n">
        <v>456600</v>
      </c>
      <c r="F30" s="47" t="n">
        <v>168500</v>
      </c>
      <c r="G30" s="48" t="n">
        <v>271</v>
      </c>
      <c r="H30" s="47" t="n">
        <v>288100</v>
      </c>
      <c r="I30" s="49"/>
    </row>
    <row r="31" customFormat="false" ht="15" hidden="false" customHeight="false" outlineLevel="0" collapsed="false">
      <c r="A31" s="50" t="s">
        <v>94</v>
      </c>
      <c r="B31" s="51" t="n">
        <v>237700</v>
      </c>
      <c r="C31" s="52" t="n">
        <v>0</v>
      </c>
      <c r="D31" s="52" t="n">
        <v>0</v>
      </c>
      <c r="E31" s="51" t="n">
        <v>237700</v>
      </c>
      <c r="F31" s="51" t="n">
        <v>137200</v>
      </c>
      <c r="G31" s="52" t="n">
        <v>173.3</v>
      </c>
      <c r="H31" s="51" t="n">
        <v>100500</v>
      </c>
      <c r="I31" s="53"/>
    </row>
    <row r="32" customFormat="false" ht="15" hidden="false" customHeight="false" outlineLevel="0" collapsed="false">
      <c r="A32" s="46" t="s">
        <v>81</v>
      </c>
      <c r="B32" s="47" t="n">
        <v>115500</v>
      </c>
      <c r="C32" s="48" t="n">
        <v>0</v>
      </c>
      <c r="D32" s="48" t="n">
        <v>0</v>
      </c>
      <c r="E32" s="47" t="n">
        <v>115500</v>
      </c>
      <c r="F32" s="47" t="n">
        <v>177600</v>
      </c>
      <c r="G32" s="48" t="n">
        <v>65</v>
      </c>
      <c r="H32" s="47" t="n">
        <v>-62100</v>
      </c>
      <c r="I32" s="49"/>
    </row>
    <row r="33" customFormat="false" ht="15" hidden="false" customHeight="false" outlineLevel="0" collapsed="false">
      <c r="A33" s="50" t="s">
        <v>115</v>
      </c>
      <c r="B33" s="51" t="n">
        <v>262670</v>
      </c>
      <c r="C33" s="52" t="n">
        <v>0</v>
      </c>
      <c r="D33" s="52" t="n">
        <v>0</v>
      </c>
      <c r="E33" s="51" t="n">
        <v>262670</v>
      </c>
      <c r="F33" s="51" t="n">
        <v>160000</v>
      </c>
      <c r="G33" s="52" t="n">
        <v>164.2</v>
      </c>
      <c r="H33" s="51" t="n">
        <v>102670</v>
      </c>
      <c r="I33" s="53"/>
    </row>
    <row r="34" customFormat="false" ht="15" hidden="false" customHeight="false" outlineLevel="0" collapsed="false">
      <c r="A34" s="46" t="s">
        <v>111</v>
      </c>
      <c r="B34" s="47" t="n">
        <v>217980</v>
      </c>
      <c r="C34" s="48" t="n">
        <v>0</v>
      </c>
      <c r="D34" s="48" t="n">
        <v>0</v>
      </c>
      <c r="E34" s="47" t="n">
        <v>217980</v>
      </c>
      <c r="F34" s="47" t="n">
        <v>44700</v>
      </c>
      <c r="G34" s="48" t="n">
        <v>487.7</v>
      </c>
      <c r="H34" s="47" t="n">
        <v>173280</v>
      </c>
      <c r="I34" s="49"/>
    </row>
    <row r="35" customFormat="false" ht="15" hidden="false" customHeight="false" outlineLevel="0" collapsed="false">
      <c r="A35" s="50" t="s">
        <v>106</v>
      </c>
      <c r="B35" s="51" t="n">
        <v>229100</v>
      </c>
      <c r="C35" s="52" t="n">
        <v>0</v>
      </c>
      <c r="D35" s="52" t="n">
        <v>0</v>
      </c>
      <c r="E35" s="51" t="n">
        <v>229100</v>
      </c>
      <c r="F35" s="51" t="n">
        <v>353800</v>
      </c>
      <c r="G35" s="52" t="n">
        <v>64.8</v>
      </c>
      <c r="H35" s="51" t="n">
        <v>-124700</v>
      </c>
      <c r="I35" s="53"/>
    </row>
    <row r="36" customFormat="false" ht="15" hidden="false" customHeight="false" outlineLevel="0" collapsed="false">
      <c r="A36" s="46" t="s">
        <v>104</v>
      </c>
      <c r="B36" s="47" t="n">
        <v>121700</v>
      </c>
      <c r="C36" s="48" t="n">
        <v>0</v>
      </c>
      <c r="D36" s="48" t="n">
        <v>0</v>
      </c>
      <c r="E36" s="47" t="n">
        <v>121700</v>
      </c>
      <c r="F36" s="47" t="n">
        <v>161500</v>
      </c>
      <c r="G36" s="48" t="n">
        <v>75.4</v>
      </c>
      <c r="H36" s="47" t="n">
        <v>-39800</v>
      </c>
      <c r="I36" s="49"/>
    </row>
    <row r="37" customFormat="false" ht="15" hidden="false" customHeight="false" outlineLevel="0" collapsed="false">
      <c r="A37" s="50" t="s">
        <v>105</v>
      </c>
      <c r="B37" s="51" t="n">
        <v>63000</v>
      </c>
      <c r="C37" s="52" t="n">
        <v>0</v>
      </c>
      <c r="D37" s="52" t="n">
        <v>0</v>
      </c>
      <c r="E37" s="51" t="n">
        <v>63000</v>
      </c>
      <c r="F37" s="51" t="n">
        <v>103600</v>
      </c>
      <c r="G37" s="52" t="n">
        <v>60.8</v>
      </c>
      <c r="H37" s="51" t="n">
        <v>-40600</v>
      </c>
      <c r="I37" s="53"/>
    </row>
    <row r="38" customFormat="false" ht="15" hidden="false" customHeight="false" outlineLevel="0" collapsed="false">
      <c r="A38" s="46" t="s">
        <v>86</v>
      </c>
      <c r="B38" s="47" t="n">
        <v>435200</v>
      </c>
      <c r="C38" s="48" t="n">
        <v>0</v>
      </c>
      <c r="D38" s="48" t="n">
        <v>0</v>
      </c>
      <c r="E38" s="47" t="n">
        <v>435200</v>
      </c>
      <c r="F38" s="47" t="n">
        <v>186200</v>
      </c>
      <c r="G38" s="48" t="n">
        <v>233.7</v>
      </c>
      <c r="H38" s="47" t="n">
        <v>249000</v>
      </c>
      <c r="I38" s="49"/>
    </row>
    <row r="39" customFormat="false" ht="15" hidden="false" customHeight="false" outlineLevel="0" collapsed="false">
      <c r="A39" s="50" t="s">
        <v>112</v>
      </c>
      <c r="B39" s="51" t="n">
        <v>38000</v>
      </c>
      <c r="C39" s="52" t="n">
        <v>0</v>
      </c>
      <c r="D39" s="52" t="n">
        <v>0</v>
      </c>
      <c r="E39" s="51" t="n">
        <v>38000</v>
      </c>
      <c r="F39" s="51" t="n">
        <v>97500</v>
      </c>
      <c r="G39" s="52" t="n">
        <v>39</v>
      </c>
      <c r="H39" s="51" t="n">
        <v>-59500</v>
      </c>
      <c r="I39" s="53"/>
    </row>
    <row r="40" customFormat="false" ht="15" hidden="false" customHeight="false" outlineLevel="0" collapsed="false">
      <c r="A40" s="46" t="s">
        <v>76</v>
      </c>
      <c r="B40" s="47" t="n">
        <v>303300</v>
      </c>
      <c r="C40" s="48" t="n">
        <v>0</v>
      </c>
      <c r="D40" s="48" t="n">
        <v>0</v>
      </c>
      <c r="E40" s="47" t="n">
        <v>303300</v>
      </c>
      <c r="F40" s="47" t="n">
        <v>191400</v>
      </c>
      <c r="G40" s="48" t="n">
        <v>158.5</v>
      </c>
      <c r="H40" s="47" t="n">
        <v>111900</v>
      </c>
      <c r="I40" s="49"/>
    </row>
    <row r="41" customFormat="false" ht="15" hidden="false" customHeight="false" outlineLevel="0" collapsed="false">
      <c r="A41" s="50" t="s">
        <v>117</v>
      </c>
      <c r="B41" s="51" t="n">
        <v>178200</v>
      </c>
      <c r="C41" s="52" t="n">
        <v>0</v>
      </c>
      <c r="D41" s="52" t="n">
        <v>0</v>
      </c>
      <c r="E41" s="51" t="n">
        <v>178200</v>
      </c>
      <c r="F41" s="52" t="n">
        <v>0</v>
      </c>
      <c r="G41" s="52" t="n">
        <v>0</v>
      </c>
      <c r="H41" s="51" t="n">
        <v>178200</v>
      </c>
      <c r="I41" s="53"/>
    </row>
    <row r="42" customFormat="false" ht="15" hidden="false" customHeight="false" outlineLevel="0" collapsed="false">
      <c r="A42" s="46" t="s">
        <v>116</v>
      </c>
      <c r="B42" s="47" t="n">
        <v>1071250</v>
      </c>
      <c r="C42" s="48" t="n">
        <v>0</v>
      </c>
      <c r="D42" s="48" t="n">
        <v>0</v>
      </c>
      <c r="E42" s="47" t="n">
        <v>1071250</v>
      </c>
      <c r="F42" s="47" t="n">
        <v>1837840</v>
      </c>
      <c r="G42" s="48" t="n">
        <v>58.3</v>
      </c>
      <c r="H42" s="47" t="n">
        <v>-766590</v>
      </c>
      <c r="I42" s="49"/>
    </row>
    <row r="43" customFormat="false" ht="15" hidden="false" customHeight="false" outlineLevel="0" collapsed="false">
      <c r="A43" s="54" t="s">
        <v>16</v>
      </c>
      <c r="B43" s="55" t="n">
        <v>21923390</v>
      </c>
      <c r="C43" s="56" t="n">
        <v>0</v>
      </c>
      <c r="D43" s="56" t="n">
        <v>0</v>
      </c>
      <c r="E43" s="55" t="n">
        <v>21923390</v>
      </c>
      <c r="F43" s="55" t="n">
        <v>14327986</v>
      </c>
      <c r="G43" s="56" t="n">
        <v>153</v>
      </c>
      <c r="H43" s="55" t="n">
        <v>7595404</v>
      </c>
      <c r="I43" s="57"/>
    </row>
  </sheetData>
  <mergeCells count="6">
    <mergeCell ref="A1:A3"/>
    <mergeCell ref="B1:H1"/>
    <mergeCell ref="I1:I3"/>
    <mergeCell ref="B2:B3"/>
    <mergeCell ref="C2:E2"/>
    <mergeCell ref="F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40"/>
    <col collapsed="false" customWidth="true" hidden="false" outlineLevel="0" max="5" min="5" style="0" width="34"/>
    <col collapsed="false" customWidth="true" hidden="false" outlineLevel="0" max="6" min="6" style="0" width="9"/>
    <col collapsed="false" customWidth="true" hidden="false" outlineLevel="0" max="9" min="7" style="0" width="13"/>
    <col collapsed="false" customWidth="true" hidden="false" outlineLevel="0" max="10" min="10" style="0" width="9"/>
    <col collapsed="false" customWidth="true" hidden="false" outlineLevel="0" max="11" min="11" style="0" width="8"/>
    <col collapsed="false" customWidth="true" hidden="false" outlineLevel="0" max="12" min="12" style="0" width="36"/>
    <col collapsed="false" customWidth="true" hidden="false" outlineLevel="0" max="13" min="13" style="0" width="8"/>
    <col collapsed="false" customWidth="true" hidden="false" outlineLevel="0" max="14" min="14" style="0" width="12"/>
    <col collapsed="false" customWidth="true" hidden="false" outlineLevel="0" max="15" min="15" style="0" width="8"/>
    <col collapsed="false" customWidth="true" hidden="false" outlineLevel="0" max="19" min="16" style="0" width="13"/>
    <col collapsed="false" customWidth="true" hidden="false" outlineLevel="0" max="21" min="21" style="0" width="70"/>
  </cols>
  <sheetData>
    <row r="1" customFormat="false" ht="17.35" hidden="false" customHeight="false" outlineLevel="0" collapsed="false">
      <c r="A1" s="59" t="s">
        <v>118</v>
      </c>
    </row>
    <row r="2" customFormat="false" ht="15" hidden="false" customHeight="false" outlineLevel="0" collapsed="false">
      <c r="A2" s="2" t="s">
        <v>119</v>
      </c>
    </row>
    <row r="4" customFormat="false" ht="31.5" hidden="false" customHeight="true" outlineLevel="0" collapsed="false">
      <c r="A4" s="16" t="s">
        <v>120</v>
      </c>
      <c r="B4" s="60" t="s">
        <v>51</v>
      </c>
      <c r="C4" s="60" t="s">
        <v>52</v>
      </c>
      <c r="D4" s="60" t="s">
        <v>59</v>
      </c>
      <c r="E4" s="60" t="s">
        <v>2</v>
      </c>
      <c r="F4" s="61" t="s">
        <v>121</v>
      </c>
      <c r="G4" s="62" t="s">
        <v>122</v>
      </c>
      <c r="H4" s="61" t="s">
        <v>123</v>
      </c>
      <c r="I4" s="62" t="s">
        <v>22</v>
      </c>
      <c r="J4" s="61" t="s">
        <v>72</v>
      </c>
      <c r="K4" s="61" t="s">
        <v>124</v>
      </c>
      <c r="L4" s="61" t="s">
        <v>125</v>
      </c>
      <c r="M4" s="61" t="s">
        <v>126</v>
      </c>
      <c r="N4" s="61" t="s">
        <v>127</v>
      </c>
      <c r="O4" s="61" t="s">
        <v>128</v>
      </c>
      <c r="P4" s="62" t="s">
        <v>19</v>
      </c>
      <c r="Q4" s="62" t="s">
        <v>23</v>
      </c>
      <c r="R4" s="62" t="s">
        <v>129</v>
      </c>
      <c r="S4" s="62" t="s">
        <v>130</v>
      </c>
      <c r="U4" s="63" t="s">
        <v>131</v>
      </c>
    </row>
    <row r="5" customFormat="false" ht="15" hidden="false" customHeight="false" outlineLevel="0" collapsed="false">
      <c r="A5" s="64" t="n">
        <f aca="false">IF(B5="","",ROW()-4)</f>
        <v>1</v>
      </c>
      <c r="B5" s="65" t="n">
        <v>32570100</v>
      </c>
      <c r="C5" s="66" t="s">
        <v>132</v>
      </c>
      <c r="D5" s="66" t="s">
        <v>12</v>
      </c>
      <c r="E5" s="66" t="s">
        <v>12</v>
      </c>
      <c r="F5" s="67" t="n">
        <f aca="false">IF(B5="","",IF(COUNTIF(取込チェック!$C$6:$C$505,B5)&gt;0,1,0))</f>
        <v>1</v>
      </c>
      <c r="G5" s="68" t="n">
        <f aca="false">IF(B5="","",SUMIF(取込チェック!$C$6:$C$505,B5,取込チェック!$D$6:$D$505))</f>
        <v>2048565</v>
      </c>
      <c r="H5" s="68" t="n">
        <f aca="false">IF(B5="","",SUMIF(取込チェック!$C$6:$C$505,B5,取込チェック!$E$6:$E$505))</f>
        <v>2150000</v>
      </c>
      <c r="I5" s="68" t="n">
        <f aca="false">IF(B5="","",SUMIF(取込チェック!$C$6:$C$505,B5,取込チェック!$F$6:$F$505))</f>
        <v>2098500</v>
      </c>
      <c r="J5" s="69" t="n">
        <f aca="false">IF(F5&lt;&gt;1,"",IF(H5=0,"-",G5/H5))</f>
        <v>0.952820930232558</v>
      </c>
      <c r="K5" s="67" t="n">
        <f aca="false">IF(F5&lt;&gt;1,"",COUNTIFS($E$5:$E$304,E5,$F$5:$F$304,1,$B$5:$B$304,"&lt;"&amp;B5)+1)</f>
        <v>1</v>
      </c>
      <c r="L5" s="67" t="str">
        <f aca="false">IF(K5="","",E5&amp;"|"&amp;K5)</f>
        <v>アルチビオ|1</v>
      </c>
      <c r="M5" s="67" t="n">
        <f aca="false">IF(F5&lt;&gt;1,"",IF(COUNTIFS($C$5:C5,C5,$F$5:F5,1)=1,1,0))</f>
        <v>1</v>
      </c>
      <c r="N5" s="67" t="n">
        <f aca="false">IF(M5&lt;&gt;1,"",_xlfn.MINIFS($B$5:$B$304,$C$5:$C$304,C5,$F$5:$F$304,1))</f>
        <v>32570100</v>
      </c>
      <c r="O5" s="67" t="n">
        <f aca="false">IF(M5&lt;&gt;1,"",COUNTIFS($M$5:$M$304,1,$N$5:$N$304,"&lt;"&amp;N5)+1)</f>
        <v>1</v>
      </c>
      <c r="P5" s="68" t="n">
        <f aca="false">IF(OR(B5="",取込チェック!$K$3=0),"",SUMIF(取込チェック!$K$6:$K$505,B5,取込チェック!$L$6:$L$505))</f>
        <v>1959835</v>
      </c>
      <c r="Q5" s="68" t="n">
        <f aca="false">IF(OR(B5="",取込チェック!$K$3=0),"",SUMIF(取込チェック!$K$6:$K$505,B5,取込チェック!$M$6:$M$505))</f>
        <v>1916000</v>
      </c>
      <c r="R5" s="68" t="n">
        <f aca="false">IF(P5="","",G5-P5)</f>
        <v>88730</v>
      </c>
      <c r="S5" s="68" t="n">
        <f aca="false">IF(Q5="","",I5-Q5)</f>
        <v>182500</v>
      </c>
      <c r="U5" s="2" t="s">
        <v>133</v>
      </c>
    </row>
    <row r="6" customFormat="false" ht="15" hidden="false" customHeight="false" outlineLevel="0" collapsed="false">
      <c r="A6" s="64" t="n">
        <f aca="false">IF(B6="","",ROW()-4)</f>
        <v>2</v>
      </c>
      <c r="B6" s="65" t="n">
        <v>32571600</v>
      </c>
      <c r="C6" s="66" t="s">
        <v>134</v>
      </c>
      <c r="D6" s="66" t="s">
        <v>12</v>
      </c>
      <c r="E6" s="66" t="s">
        <v>12</v>
      </c>
      <c r="F6" s="67" t="n">
        <f aca="false">IF(B6="","",IF(COUNTIF(取込チェック!$C$6:$C$505,B6)&gt;0,1,0))</f>
        <v>1</v>
      </c>
      <c r="G6" s="68" t="n">
        <f aca="false">IF(B6="","",SUMIF(取込チェック!$C$6:$C$505,B6,取込チェック!$D$6:$D$505))</f>
        <v>3250690</v>
      </c>
      <c r="H6" s="68" t="n">
        <f aca="false">IF(B6="","",SUMIF(取込チェック!$C$6:$C$505,B6,取込チェック!$E$6:$E$505))</f>
        <v>3681000</v>
      </c>
      <c r="I6" s="68" t="n">
        <f aca="false">IF(B6="","",SUMIF(取込チェック!$C$6:$C$505,B6,取込チェック!$F$6:$F$505))</f>
        <v>3216380</v>
      </c>
      <c r="J6" s="69" t="n">
        <f aca="false">IF(F6&lt;&gt;1,"",IF(H6=0,"-",G6/H6))</f>
        <v>0.883099701168161</v>
      </c>
      <c r="K6" s="67" t="n">
        <f aca="false">IF(F6&lt;&gt;1,"",COUNTIFS($E$5:$E$304,E6,$F$5:$F$304,1,$B$5:$B$304,"&lt;"&amp;B6)+1)</f>
        <v>2</v>
      </c>
      <c r="L6" s="67" t="str">
        <f aca="false">IF(K6="","",E6&amp;"|"&amp;K6)</f>
        <v>アルチビオ|2</v>
      </c>
      <c r="M6" s="67" t="n">
        <f aca="false">IF(F6&lt;&gt;1,"",IF(COUNTIFS($C$5:C6,C6,$F$5:F6,1)=1,1,0))</f>
        <v>1</v>
      </c>
      <c r="N6" s="67" t="n">
        <f aca="false">IF(M6&lt;&gt;1,"",_xlfn.MINIFS($B$5:$B$304,$C$5:$C$304,C6,$F$5:$F$304,1))</f>
        <v>32571600</v>
      </c>
      <c r="O6" s="67" t="n">
        <f aca="false">IF(M6&lt;&gt;1,"",COUNTIFS($M$5:$M$304,1,$N$5:$N$304,"&lt;"&amp;N6)+1)</f>
        <v>4</v>
      </c>
      <c r="P6" s="68" t="n">
        <f aca="false">IF(OR(B6="",取込チェック!$K$3=0),"",SUMIF(取込チェック!$K$6:$K$505,B6,取込チェック!$L$6:$L$505))</f>
        <v>2783500</v>
      </c>
      <c r="Q6" s="68" t="n">
        <f aca="false">IF(OR(B6="",取込チェック!$K$3=0),"",SUMIF(取込チェック!$K$6:$K$505,B6,取込チェック!$M$6:$M$505))</f>
        <v>3003000</v>
      </c>
      <c r="R6" s="68" t="n">
        <f aca="false">IF(P6="","",G6-P6)</f>
        <v>467190</v>
      </c>
      <c r="S6" s="68" t="n">
        <f aca="false">IF(Q6="","",I6-Q6)</f>
        <v>213380</v>
      </c>
      <c r="U6" s="2" t="s">
        <v>135</v>
      </c>
    </row>
    <row r="7" customFormat="false" ht="15" hidden="false" customHeight="false" outlineLevel="0" collapsed="false">
      <c r="A7" s="64" t="n">
        <f aca="false">IF(B7="","",ROW()-4)</f>
        <v>3</v>
      </c>
      <c r="B7" s="65" t="n">
        <v>32580400</v>
      </c>
      <c r="C7" s="66" t="s">
        <v>136</v>
      </c>
      <c r="D7" s="66" t="s">
        <v>12</v>
      </c>
      <c r="E7" s="66" t="s">
        <v>12</v>
      </c>
      <c r="F7" s="67" t="n">
        <f aca="false">IF(B7="","",IF(COUNTIF(取込チェック!$C$6:$C$505,B7)&gt;0,1,0))</f>
        <v>1</v>
      </c>
      <c r="G7" s="68" t="n">
        <f aca="false">IF(B7="","",SUMIF(取込チェック!$C$6:$C$505,B7,取込チェック!$D$6:$D$505))</f>
        <v>2922845</v>
      </c>
      <c r="H7" s="68" t="n">
        <f aca="false">IF(B7="","",SUMIF(取込チェック!$C$6:$C$505,B7,取込チェック!$E$6:$E$505))</f>
        <v>3613000</v>
      </c>
      <c r="I7" s="68" t="n">
        <f aca="false">IF(B7="","",SUMIF(取込チェック!$C$6:$C$505,B7,取込チェック!$F$6:$F$505))</f>
        <v>3478940</v>
      </c>
      <c r="J7" s="69" t="n">
        <f aca="false">IF(F7&lt;&gt;1,"",IF(H7=0,"-",G7/H7))</f>
        <v>0.808980071962358</v>
      </c>
      <c r="K7" s="67" t="n">
        <f aca="false">IF(F7&lt;&gt;1,"",COUNTIFS($E$5:$E$304,E7,$F$5:$F$304,1,$B$5:$B$304,"&lt;"&amp;B7)+1)</f>
        <v>3</v>
      </c>
      <c r="L7" s="67" t="str">
        <f aca="false">IF(K7="","",E7&amp;"|"&amp;K7)</f>
        <v>アルチビオ|3</v>
      </c>
      <c r="M7" s="67" t="n">
        <f aca="false">IF(F7&lt;&gt;1,"",IF(COUNTIFS($C$5:C7,C7,$F$5:F7,1)=1,1,0))</f>
        <v>1</v>
      </c>
      <c r="N7" s="67" t="n">
        <f aca="false">IF(M7&lt;&gt;1,"",_xlfn.MINIFS($B$5:$B$304,$C$5:$C$304,C7,$F$5:$F$304,1))</f>
        <v>32580400</v>
      </c>
      <c r="O7" s="67" t="n">
        <f aca="false">IF(M7&lt;&gt;1,"",COUNTIFS($M$5:$M$304,1,$N$5:$N$304,"&lt;"&amp;N7)+1)</f>
        <v>14</v>
      </c>
      <c r="P7" s="68" t="n">
        <f aca="false">IF(OR(B7="",取込チェック!$K$3=0),"",SUMIF(取込チェック!$K$6:$K$505,B7,取込チェック!$L$6:$L$505))</f>
        <v>1946845</v>
      </c>
      <c r="Q7" s="68" t="n">
        <f aca="false">IF(OR(B7="",取込チェック!$K$3=0),"",SUMIF(取込チェック!$K$6:$K$505,B7,取込チェック!$M$6:$M$505))</f>
        <v>1717190</v>
      </c>
      <c r="R7" s="68" t="n">
        <f aca="false">IF(P7="","",G7-P7)</f>
        <v>976000</v>
      </c>
      <c r="S7" s="68" t="n">
        <f aca="false">IF(Q7="","",I7-Q7)</f>
        <v>1761750</v>
      </c>
      <c r="U7" s="2" t="s">
        <v>137</v>
      </c>
    </row>
    <row r="8" customFormat="false" ht="15" hidden="false" customHeight="false" outlineLevel="0" collapsed="false">
      <c r="A8" s="64" t="n">
        <f aca="false">IF(B8="","",ROW()-4)</f>
        <v>4</v>
      </c>
      <c r="B8" s="65" t="n">
        <v>32581000</v>
      </c>
      <c r="C8" s="66" t="s">
        <v>138</v>
      </c>
      <c r="D8" s="66" t="s">
        <v>12</v>
      </c>
      <c r="E8" s="66" t="s">
        <v>12</v>
      </c>
      <c r="F8" s="67" t="n">
        <f aca="false">IF(B8="","",IF(COUNTIF(取込チェック!$C$6:$C$505,B8)&gt;0,1,0))</f>
        <v>1</v>
      </c>
      <c r="G8" s="68" t="n">
        <f aca="false">IF(B8="","",SUMIF(取込チェック!$C$6:$C$505,B8,取込チェック!$D$6:$D$505))</f>
        <v>1572240</v>
      </c>
      <c r="H8" s="68" t="n">
        <f aca="false">IF(B8="","",SUMIF(取込チェック!$C$6:$C$505,B8,取込チェック!$E$6:$E$505))</f>
        <v>2787000</v>
      </c>
      <c r="I8" s="68" t="n">
        <f aca="false">IF(B8="","",SUMIF(取込チェック!$C$6:$C$505,B8,取込チェック!$F$6:$F$505))</f>
        <v>2688196</v>
      </c>
      <c r="J8" s="69" t="n">
        <f aca="false">IF(F8&lt;&gt;1,"",IF(H8=0,"-",G8/H8))</f>
        <v>0.564133476856835</v>
      </c>
      <c r="K8" s="67" t="n">
        <f aca="false">IF(F8&lt;&gt;1,"",COUNTIFS($E$5:$E$304,E8,$F$5:$F$304,1,$B$5:$B$304,"&lt;"&amp;B8)+1)</f>
        <v>4</v>
      </c>
      <c r="L8" s="67" t="str">
        <f aca="false">IF(K8="","",E8&amp;"|"&amp;K8)</f>
        <v>アルチビオ|4</v>
      </c>
      <c r="M8" s="67" t="n">
        <f aca="false">IF(F8&lt;&gt;1,"",IF(COUNTIFS($C$5:C8,C8,$F$5:F8,1)=1,1,0))</f>
        <v>1</v>
      </c>
      <c r="N8" s="67" t="n">
        <f aca="false">IF(M8&lt;&gt;1,"",_xlfn.MINIFS($B$5:$B$304,$C$5:$C$304,C8,$F$5:$F$304,1))</f>
        <v>32581000</v>
      </c>
      <c r="O8" s="67" t="n">
        <f aca="false">IF(M8&lt;&gt;1,"",COUNTIFS($M$5:$M$304,1,$N$5:$N$304,"&lt;"&amp;N8)+1)</f>
        <v>18</v>
      </c>
      <c r="P8" s="68" t="n">
        <f aca="false">IF(OR(B8="",取込チェック!$K$3=0),"",SUMIF(取込チェック!$K$6:$K$505,B8,取込チェック!$L$6:$L$505))</f>
        <v>659140</v>
      </c>
      <c r="Q8" s="68" t="n">
        <f aca="false">IF(OR(B8="",取込チェック!$K$3=0),"",SUMIF(取込チェック!$K$6:$K$505,B8,取込チェック!$M$6:$M$505))</f>
        <v>1676126</v>
      </c>
      <c r="R8" s="68" t="n">
        <f aca="false">IF(P8="","",G8-P8)</f>
        <v>913100</v>
      </c>
      <c r="S8" s="68" t="n">
        <f aca="false">IF(Q8="","",I8-Q8)</f>
        <v>1012070</v>
      </c>
      <c r="U8" s="2" t="s">
        <v>139</v>
      </c>
    </row>
    <row r="9" customFormat="false" ht="15" hidden="false" customHeight="false" outlineLevel="0" collapsed="false">
      <c r="A9" s="64" t="n">
        <f aca="false">IF(B9="","",ROW()-4)</f>
        <v>5</v>
      </c>
      <c r="B9" s="65" t="n">
        <v>32670600</v>
      </c>
      <c r="C9" s="66" t="s">
        <v>140</v>
      </c>
      <c r="D9" s="66" t="s">
        <v>12</v>
      </c>
      <c r="E9" s="66" t="s">
        <v>12</v>
      </c>
      <c r="F9" s="67" t="n">
        <f aca="false">IF(B9="","",IF(COUNTIF(取込チェック!$C$6:$C$505,B9)&gt;0,1,0))</f>
        <v>1</v>
      </c>
      <c r="G9" s="68" t="n">
        <f aca="false">IF(B9="","",SUMIF(取込チェック!$C$6:$C$505,B9,取込チェック!$D$6:$D$505))</f>
        <v>2991974</v>
      </c>
      <c r="H9" s="68" t="n">
        <f aca="false">IF(B9="","",SUMIF(取込チェック!$C$6:$C$505,B9,取込チェック!$E$6:$E$505))</f>
        <v>2571000</v>
      </c>
      <c r="I9" s="68" t="n">
        <f aca="false">IF(B9="","",SUMIF(取込チェック!$C$6:$C$505,B9,取込チェック!$F$6:$F$505))</f>
        <v>2496485</v>
      </c>
      <c r="J9" s="69" t="n">
        <f aca="false">IF(F9&lt;&gt;1,"",IF(H9=0,"-",G9/H9))</f>
        <v>1.16373940101128</v>
      </c>
      <c r="K9" s="67" t="n">
        <f aca="false">IF(F9&lt;&gt;1,"",COUNTIFS($E$5:$E$304,E9,$F$5:$F$304,1,$B$5:$B$304,"&lt;"&amp;B9)+1)</f>
        <v>5</v>
      </c>
      <c r="L9" s="67" t="str">
        <f aca="false">IF(K9="","",E9&amp;"|"&amp;K9)</f>
        <v>アルチビオ|5</v>
      </c>
      <c r="M9" s="67" t="n">
        <f aca="false">IF(F9&lt;&gt;1,"",IF(COUNTIFS($C$5:C9,C9,$F$5:F9,1)=1,1,0))</f>
        <v>1</v>
      </c>
      <c r="N9" s="67" t="n">
        <f aca="false">IF(M9&lt;&gt;1,"",_xlfn.MINIFS($B$5:$B$304,$C$5:$C$304,C9,$F$5:$F$304,1))</f>
        <v>32670600</v>
      </c>
      <c r="O9" s="67" t="n">
        <f aca="false">IF(M9&lt;&gt;1,"",COUNTIFS($M$5:$M$304,1,$N$5:$N$304,"&lt;"&amp;N9)+1)</f>
        <v>21</v>
      </c>
      <c r="P9" s="68" t="n">
        <f aca="false">IF(OR(B9="",取込チェック!$K$3=0),"",SUMIF(取込チェック!$K$6:$K$505,B9,取込チェック!$L$6:$L$505))</f>
        <v>2613574</v>
      </c>
      <c r="Q9" s="68" t="n">
        <f aca="false">IF(OR(B9="",取込チェック!$K$3=0),"",SUMIF(取込チェック!$K$6:$K$505,B9,取込チェック!$M$6:$M$505))</f>
        <v>2460585</v>
      </c>
      <c r="R9" s="68" t="n">
        <f aca="false">IF(P9="","",G9-P9)</f>
        <v>378400</v>
      </c>
      <c r="S9" s="68" t="n">
        <f aca="false">IF(Q9="","",I9-Q9)</f>
        <v>35900</v>
      </c>
      <c r="U9" s="2" t="s">
        <v>141</v>
      </c>
    </row>
    <row r="10" customFormat="false" ht="15" hidden="false" customHeight="false" outlineLevel="0" collapsed="false">
      <c r="A10" s="64" t="n">
        <f aca="false">IF(B10="","",ROW()-4)</f>
        <v>6</v>
      </c>
      <c r="B10" s="65" t="n">
        <v>32673500</v>
      </c>
      <c r="C10" s="66" t="s">
        <v>142</v>
      </c>
      <c r="D10" s="66" t="s">
        <v>12</v>
      </c>
      <c r="E10" s="66" t="s">
        <v>12</v>
      </c>
      <c r="F10" s="67" t="n">
        <f aca="false">IF(B10="","",IF(COUNTIF(取込チェック!$C$6:$C$505,B10)&gt;0,1,0))</f>
        <v>1</v>
      </c>
      <c r="G10" s="68" t="n">
        <f aca="false">IF(B10="","",SUMIF(取込チェック!$C$6:$C$505,B10,取込チェック!$D$6:$D$505))</f>
        <v>3069240</v>
      </c>
      <c r="H10" s="68" t="n">
        <f aca="false">IF(B10="","",SUMIF(取込チェック!$C$6:$C$505,B10,取込チェック!$E$6:$E$505))</f>
        <v>2691000</v>
      </c>
      <c r="I10" s="68" t="n">
        <f aca="false">IF(B10="","",SUMIF(取込チェック!$C$6:$C$505,B10,取込チェック!$F$6:$F$505))</f>
        <v>2647100</v>
      </c>
      <c r="J10" s="69" t="n">
        <f aca="false">IF(F10&lt;&gt;1,"",IF(H10=0,"-",G10/H10))</f>
        <v>1.14055741360089</v>
      </c>
      <c r="K10" s="67" t="n">
        <f aca="false">IF(F10&lt;&gt;1,"",COUNTIFS($E$5:$E$304,E10,$F$5:$F$304,1,$B$5:$B$304,"&lt;"&amp;B10)+1)</f>
        <v>6</v>
      </c>
      <c r="L10" s="67" t="str">
        <f aca="false">IF(K10="","",E10&amp;"|"&amp;K10)</f>
        <v>アルチビオ|6</v>
      </c>
      <c r="M10" s="67" t="n">
        <f aca="false">IF(F10&lt;&gt;1,"",IF(COUNTIFS($C$5:C10,C10,$F$5:F10,1)=1,1,0))</f>
        <v>1</v>
      </c>
      <c r="N10" s="67" t="n">
        <f aca="false">IF(M10&lt;&gt;1,"",_xlfn.MINIFS($B$5:$B$304,$C$5:$C$304,C10,$F$5:$F$304,1))</f>
        <v>32671400</v>
      </c>
      <c r="O10" s="67" t="n">
        <f aca="false">IF(M10&lt;&gt;1,"",COUNTIFS($M$5:$M$304,1,$N$5:$N$304,"&lt;"&amp;N10)+1)</f>
        <v>23</v>
      </c>
      <c r="P10" s="68" t="n">
        <f aca="false">IF(OR(B10="",取込チェック!$K$3=0),"",SUMIF(取込チェック!$K$6:$K$505,B10,取込チェック!$L$6:$L$505))</f>
        <v>2845200</v>
      </c>
      <c r="Q10" s="68" t="n">
        <f aca="false">IF(OR(B10="",取込チェック!$K$3=0),"",SUMIF(取込チェック!$K$6:$K$505,B10,取込チェック!$M$6:$M$505))</f>
        <v>2619200</v>
      </c>
      <c r="R10" s="68" t="n">
        <f aca="false">IF(P10="","",G10-P10)</f>
        <v>224040</v>
      </c>
      <c r="S10" s="68" t="n">
        <f aca="false">IF(Q10="","",I10-Q10)</f>
        <v>27900</v>
      </c>
    </row>
    <row r="11" customFormat="false" ht="15" hidden="false" customHeight="false" outlineLevel="0" collapsed="false">
      <c r="A11" s="64" t="n">
        <f aca="false">IF(B11="","",ROW()-4)</f>
        <v>7</v>
      </c>
      <c r="B11" s="65" t="n">
        <v>32673800</v>
      </c>
      <c r="C11" s="66" t="s">
        <v>143</v>
      </c>
      <c r="D11" s="66" t="s">
        <v>12</v>
      </c>
      <c r="E11" s="66" t="s">
        <v>12</v>
      </c>
      <c r="F11" s="67" t="n">
        <f aca="false">IF(B11="","",IF(COUNTIF(取込チェック!$C$6:$C$505,B11)&gt;0,1,0))</f>
        <v>1</v>
      </c>
      <c r="G11" s="68" t="n">
        <f aca="false">IF(B11="","",SUMIF(取込チェック!$C$6:$C$505,B11,取込チェック!$D$6:$D$505))</f>
        <v>1579789</v>
      </c>
      <c r="H11" s="68" t="n">
        <f aca="false">IF(B11="","",SUMIF(取込チェック!$C$6:$C$505,B11,取込チェック!$E$6:$E$505))</f>
        <v>1900000</v>
      </c>
      <c r="I11" s="68" t="n">
        <f aca="false">IF(B11="","",SUMIF(取込チェック!$C$6:$C$505,B11,取込チェック!$F$6:$F$505))</f>
        <v>1483030</v>
      </c>
      <c r="J11" s="69" t="n">
        <f aca="false">IF(F11&lt;&gt;1,"",IF(H11=0,"-",G11/H11))</f>
        <v>0.831467894736842</v>
      </c>
      <c r="K11" s="67" t="n">
        <f aca="false">IF(F11&lt;&gt;1,"",COUNTIFS($E$5:$E$304,E11,$F$5:$F$304,1,$B$5:$B$304,"&lt;"&amp;B11)+1)</f>
        <v>7</v>
      </c>
      <c r="L11" s="67" t="str">
        <f aca="false">IF(K11="","",E11&amp;"|"&amp;K11)</f>
        <v>アルチビオ|7</v>
      </c>
      <c r="M11" s="67" t="n">
        <f aca="false">IF(F11&lt;&gt;1,"",IF(COUNTIFS($C$5:C11,C11,$F$5:F11,1)=1,1,0))</f>
        <v>1</v>
      </c>
      <c r="N11" s="67" t="n">
        <f aca="false">IF(M11&lt;&gt;1,"",_xlfn.MINIFS($B$5:$B$304,$C$5:$C$304,C11,$F$5:$F$304,1))</f>
        <v>32670200</v>
      </c>
      <c r="O11" s="67" t="n">
        <f aca="false">IF(M11&lt;&gt;1,"",COUNTIFS($M$5:$M$304,1,$N$5:$N$304,"&lt;"&amp;N11)+1)</f>
        <v>19</v>
      </c>
      <c r="P11" s="68" t="n">
        <f aca="false">IF(OR(B11="",取込チェック!$K$3=0),"",SUMIF(取込チェック!$K$6:$K$505,B11,取込チェック!$L$6:$L$505))</f>
        <v>1123189</v>
      </c>
      <c r="Q11" s="68" t="n">
        <f aca="false">IF(OR(B11="",取込チェック!$K$3=0),"",SUMIF(取込チェック!$K$6:$K$505,B11,取込チェック!$M$6:$M$505))</f>
        <v>1314530</v>
      </c>
      <c r="R11" s="68" t="n">
        <f aca="false">IF(P11="","",G11-P11)</f>
        <v>456600</v>
      </c>
      <c r="S11" s="68" t="n">
        <f aca="false">IF(Q11="","",I11-Q11)</f>
        <v>168500</v>
      </c>
    </row>
    <row r="12" customFormat="false" ht="15" hidden="false" customHeight="false" outlineLevel="0" collapsed="false">
      <c r="A12" s="64" t="n">
        <f aca="false">IF(B12="","",ROW()-4)</f>
        <v>8</v>
      </c>
      <c r="B12" s="65" t="n">
        <v>32673900</v>
      </c>
      <c r="C12" s="66" t="s">
        <v>144</v>
      </c>
      <c r="D12" s="66" t="s">
        <v>12</v>
      </c>
      <c r="E12" s="66" t="s">
        <v>12</v>
      </c>
      <c r="F12" s="67" t="n">
        <f aca="false">IF(B12="","",IF(COUNTIF(取込チェック!$C$6:$C$505,B12)&gt;0,1,0))</f>
        <v>1</v>
      </c>
      <c r="G12" s="68" t="n">
        <f aca="false">IF(B12="","",SUMIF(取込チェック!$C$6:$C$505,B12,取込チェック!$D$6:$D$505))</f>
        <v>1117980</v>
      </c>
      <c r="H12" s="68" t="n">
        <f aca="false">IF(B12="","",SUMIF(取込チェック!$C$6:$C$505,B12,取込チェック!$E$6:$E$505))</f>
        <v>1249000</v>
      </c>
      <c r="I12" s="68" t="n">
        <f aca="false">IF(B12="","",SUMIF(取込チェック!$C$6:$C$505,B12,取込チェック!$F$6:$F$505))</f>
        <v>1132140</v>
      </c>
      <c r="J12" s="69" t="n">
        <f aca="false">IF(F12&lt;&gt;1,"",IF(H12=0,"-",G12/H12))</f>
        <v>0.895100080064051</v>
      </c>
      <c r="K12" s="67" t="n">
        <f aca="false">IF(F12&lt;&gt;1,"",COUNTIFS($E$5:$E$304,E12,$F$5:$F$304,1,$B$5:$B$304,"&lt;"&amp;B12)+1)</f>
        <v>8</v>
      </c>
      <c r="L12" s="67" t="str">
        <f aca="false">IF(K12="","",E12&amp;"|"&amp;K12)</f>
        <v>アルチビオ|8</v>
      </c>
      <c r="M12" s="67" t="n">
        <f aca="false">IF(F12&lt;&gt;1,"",IF(COUNTIFS($C$5:C12,C12,$F$5:F12,1)=1,1,0))</f>
        <v>1</v>
      </c>
      <c r="N12" s="67" t="n">
        <f aca="false">IF(M12&lt;&gt;1,"",_xlfn.MINIFS($B$5:$B$304,$C$5:$C$304,C12,$F$5:$F$304,1))</f>
        <v>32670400</v>
      </c>
      <c r="O12" s="67" t="n">
        <f aca="false">IF(M12&lt;&gt;1,"",COUNTIFS($M$5:$M$304,1,$N$5:$N$304,"&lt;"&amp;N12)+1)</f>
        <v>20</v>
      </c>
      <c r="P12" s="68" t="n">
        <f aca="false">IF(OR(B12="",取込チェック!$K$3=0),"",SUMIF(取込チェック!$K$6:$K$505,B12,取込チェック!$L$6:$L$505))</f>
        <v>880280</v>
      </c>
      <c r="Q12" s="68" t="n">
        <f aca="false">IF(OR(B12="",取込チェック!$K$3=0),"",SUMIF(取込チェック!$K$6:$K$505,B12,取込チェック!$M$6:$M$505))</f>
        <v>994940</v>
      </c>
      <c r="R12" s="68" t="n">
        <f aca="false">IF(P12="","",G12-P12)</f>
        <v>237700</v>
      </c>
      <c r="S12" s="68" t="n">
        <f aca="false">IF(Q12="","",I12-Q12)</f>
        <v>137200</v>
      </c>
    </row>
    <row r="13" customFormat="false" ht="15" hidden="false" customHeight="false" outlineLevel="0" collapsed="false">
      <c r="A13" s="64" t="n">
        <f aca="false">IF(B13="","",ROW()-4)</f>
        <v>9</v>
      </c>
      <c r="B13" s="65" t="n">
        <v>32674400</v>
      </c>
      <c r="C13" s="66" t="s">
        <v>145</v>
      </c>
      <c r="D13" s="66" t="s">
        <v>12</v>
      </c>
      <c r="E13" s="66" t="s">
        <v>12</v>
      </c>
      <c r="F13" s="67" t="n">
        <f aca="false">IF(B13="","",IF(COUNTIF(取込チェック!$C$6:$C$505,B13)&gt;0,1,0))</f>
        <v>1</v>
      </c>
      <c r="G13" s="68" t="n">
        <f aca="false">IF(B13="","",SUMIF(取込チェック!$C$6:$C$505,B13,取込チェック!$D$6:$D$505))</f>
        <v>469470</v>
      </c>
      <c r="H13" s="68" t="n">
        <f aca="false">IF(B13="","",SUMIF(取込チェック!$C$6:$C$505,B13,取込チェック!$E$6:$E$505))</f>
        <v>1100000</v>
      </c>
      <c r="I13" s="68" t="n">
        <f aca="false">IF(B13="","",SUMIF(取込チェック!$C$6:$C$505,B13,取込チェック!$F$6:$F$505))</f>
        <v>1083300</v>
      </c>
      <c r="J13" s="69" t="n">
        <f aca="false">IF(F13&lt;&gt;1,"",IF(H13=0,"-",G13/H13))</f>
        <v>0.426790909090909</v>
      </c>
      <c r="K13" s="67" t="n">
        <f aca="false">IF(F13&lt;&gt;1,"",COUNTIFS($E$5:$E$304,E13,$F$5:$F$304,1,$B$5:$B$304,"&lt;"&amp;B13)+1)</f>
        <v>9</v>
      </c>
      <c r="L13" s="67" t="str">
        <f aca="false">IF(K13="","",E13&amp;"|"&amp;K13)</f>
        <v>アルチビオ|9</v>
      </c>
      <c r="M13" s="67" t="n">
        <f aca="false">IF(F13&lt;&gt;1,"",IF(COUNTIFS($C$5:C13,C13,$F$5:F13,1)=1,1,0))</f>
        <v>1</v>
      </c>
      <c r="N13" s="67" t="n">
        <f aca="false">IF(M13&lt;&gt;1,"",_xlfn.MINIFS($B$5:$B$304,$C$5:$C$304,C13,$F$5:$F$304,1))</f>
        <v>32674400</v>
      </c>
      <c r="O13" s="67" t="n">
        <f aca="false">IF(M13&lt;&gt;1,"",COUNTIFS($M$5:$M$304,1,$N$5:$N$304,"&lt;"&amp;N13)+1)</f>
        <v>28</v>
      </c>
      <c r="P13" s="68" t="n">
        <f aca="false">IF(OR(B13="",取込チェック!$K$3=0),"",SUMIF(取込チェック!$K$6:$K$505,B13,取込チェック!$L$6:$L$505))</f>
        <v>206800</v>
      </c>
      <c r="Q13" s="68" t="n">
        <f aca="false">IF(OR(B13="",取込チェック!$K$3=0),"",SUMIF(取込チェック!$K$6:$K$505,B13,取込チェック!$M$6:$M$505))</f>
        <v>923300</v>
      </c>
      <c r="R13" s="68" t="n">
        <f aca="false">IF(P13="","",G13-P13)</f>
        <v>262670</v>
      </c>
      <c r="S13" s="68" t="n">
        <f aca="false">IF(Q13="","",I13-Q13)</f>
        <v>160000</v>
      </c>
    </row>
    <row r="14" customFormat="false" ht="15" hidden="false" customHeight="false" outlineLevel="0" collapsed="false">
      <c r="A14" s="64" t="n">
        <f aca="false">IF(B14="","",ROW()-4)</f>
        <v>10</v>
      </c>
      <c r="B14" s="65" t="n">
        <v>32674900</v>
      </c>
      <c r="C14" s="66" t="s">
        <v>146</v>
      </c>
      <c r="D14" s="66" t="s">
        <v>12</v>
      </c>
      <c r="E14" s="66" t="s">
        <v>12</v>
      </c>
      <c r="F14" s="67" t="n">
        <f aca="false">IF(B14="","",IF(COUNTIF(取込チェック!$C$6:$C$505,B14)&gt;0,1,0))</f>
        <v>1</v>
      </c>
      <c r="G14" s="68" t="n">
        <f aca="false">IF(B14="","",SUMIF(取込チェック!$C$6:$C$505,B14,取込チェック!$D$6:$D$505))</f>
        <v>1425313</v>
      </c>
      <c r="H14" s="68" t="n">
        <f aca="false">IF(B14="","",SUMIF(取込チェック!$C$6:$C$505,B14,取込チェック!$E$6:$E$505))</f>
        <v>2512000</v>
      </c>
      <c r="I14" s="68" t="n">
        <f aca="false">IF(B14="","",SUMIF(取込チェック!$C$6:$C$505,B14,取込チェック!$F$6:$F$505))</f>
        <v>1955945</v>
      </c>
      <c r="J14" s="69" t="n">
        <f aca="false">IF(F14&lt;&gt;1,"",IF(H14=0,"-",G14/H14))</f>
        <v>0.567401671974522</v>
      </c>
      <c r="K14" s="67" t="n">
        <f aca="false">IF(F14&lt;&gt;1,"",COUNTIFS($E$5:$E$304,E14,$F$5:$F$304,1,$B$5:$B$304,"&lt;"&amp;B14)+1)</f>
        <v>10</v>
      </c>
      <c r="L14" s="67" t="str">
        <f aca="false">IF(K14="","",E14&amp;"|"&amp;K14)</f>
        <v>アルチビオ|10</v>
      </c>
      <c r="M14" s="67" t="n">
        <f aca="false">IF(F14&lt;&gt;1,"",IF(COUNTIFS($C$5:C14,C14,$F$5:F14,1)=1,1,0))</f>
        <v>1</v>
      </c>
      <c r="N14" s="67" t="n">
        <f aca="false">IF(M14&lt;&gt;1,"",_xlfn.MINIFS($B$5:$B$304,$C$5:$C$304,C14,$F$5:$F$304,1))</f>
        <v>32673300</v>
      </c>
      <c r="O14" s="67" t="n">
        <f aca="false">IF(M14&lt;&gt;1,"",COUNTIFS($M$5:$M$304,1,$N$5:$N$304,"&lt;"&amp;N14)+1)</f>
        <v>26</v>
      </c>
      <c r="P14" s="68" t="n">
        <f aca="false">IF(OR(B14="",取込チェック!$K$3=0),"",SUMIF(取込チェック!$K$6:$K$505,B14,取込チェック!$L$6:$L$505))</f>
        <v>1207333</v>
      </c>
      <c r="Q14" s="68" t="n">
        <f aca="false">IF(OR(B14="",取込チェック!$K$3=0),"",SUMIF(取込チェック!$K$6:$K$505,B14,取込チェック!$M$6:$M$505))</f>
        <v>1911245</v>
      </c>
      <c r="R14" s="68" t="n">
        <f aca="false">IF(P14="","",G14-P14)</f>
        <v>217980</v>
      </c>
      <c r="S14" s="68" t="n">
        <f aca="false">IF(Q14="","",I14-Q14)</f>
        <v>44700</v>
      </c>
    </row>
    <row r="15" customFormat="false" ht="15" hidden="false" customHeight="false" outlineLevel="0" collapsed="false">
      <c r="A15" s="64" t="n">
        <f aca="false">IF(B15="","",ROW()-4)</f>
        <v>11</v>
      </c>
      <c r="B15" s="65" t="n">
        <v>32680600</v>
      </c>
      <c r="C15" s="66" t="s">
        <v>147</v>
      </c>
      <c r="D15" s="66" t="s">
        <v>12</v>
      </c>
      <c r="E15" s="66" t="s">
        <v>12</v>
      </c>
      <c r="F15" s="67" t="n">
        <f aca="false">IF(B15="","",IF(COUNTIF(取込チェック!$C$6:$C$505,B15)&gt;0,1,0))</f>
        <v>1</v>
      </c>
      <c r="G15" s="68" t="n">
        <f aca="false">IF(B15="","",SUMIF(取込チェック!$C$6:$C$505,B15,取込チェック!$D$6:$D$505))</f>
        <v>1066595</v>
      </c>
      <c r="H15" s="68" t="n">
        <f aca="false">IF(B15="","",SUMIF(取込チェック!$C$6:$C$505,B15,取込チェック!$E$6:$E$505))</f>
        <v>2600000</v>
      </c>
      <c r="I15" s="68" t="n">
        <f aca="false">IF(B15="","",SUMIF(取込チェック!$C$6:$C$505,B15,取込チェック!$F$6:$F$505))</f>
        <v>1845195</v>
      </c>
      <c r="J15" s="69" t="n">
        <f aca="false">IF(F15&lt;&gt;1,"",IF(H15=0,"-",G15/H15))</f>
        <v>0.410228846153846</v>
      </c>
      <c r="K15" s="67" t="n">
        <f aca="false">IF(F15&lt;&gt;1,"",COUNTIFS($E$5:$E$304,E15,$F$5:$F$304,1,$B$5:$B$304,"&lt;"&amp;B15)+1)</f>
        <v>11</v>
      </c>
      <c r="L15" s="67" t="str">
        <f aca="false">IF(K15="","",E15&amp;"|"&amp;K15)</f>
        <v>アルチビオ|11</v>
      </c>
      <c r="M15" s="67" t="n">
        <f aca="false">IF(F15&lt;&gt;1,"",IF(COUNTIFS($C$5:C15,C15,$F$5:F15,1)=1,1,0))</f>
        <v>1</v>
      </c>
      <c r="N15" s="67" t="n">
        <f aca="false">IF(M15&lt;&gt;1,"",_xlfn.MINIFS($B$5:$B$304,$C$5:$C$304,C15,$F$5:$F$304,1))</f>
        <v>32680600</v>
      </c>
      <c r="O15" s="67" t="n">
        <f aca="false">IF(M15&lt;&gt;1,"",COUNTIFS($M$5:$M$304,1,$N$5:$N$304,"&lt;"&amp;N15)+1)</f>
        <v>37</v>
      </c>
      <c r="P15" s="68" t="n">
        <f aca="false">IF(OR(B15="",取込チェック!$K$3=0),"",SUMIF(取込チェック!$K$6:$K$505,B15,取込チェック!$L$6:$L$505))</f>
        <v>-4655</v>
      </c>
      <c r="Q15" s="68" t="n">
        <f aca="false">IF(OR(B15="",取込チェック!$K$3=0),"",SUMIF(取込チェック!$K$6:$K$505,B15,取込チェック!$M$6:$M$505))</f>
        <v>7355</v>
      </c>
      <c r="R15" s="68" t="n">
        <f aca="false">IF(P15="","",G15-P15)</f>
        <v>1071250</v>
      </c>
      <c r="S15" s="68" t="n">
        <f aca="false">IF(Q15="","",I15-Q15)</f>
        <v>1837840</v>
      </c>
    </row>
    <row r="16" customFormat="false" ht="15" hidden="false" customHeight="false" outlineLevel="0" collapsed="false">
      <c r="A16" s="64" t="n">
        <f aca="false">IF(B16="","",ROW()-4)</f>
        <v>12</v>
      </c>
      <c r="B16" s="65" t="n">
        <v>32570200</v>
      </c>
      <c r="C16" s="66" t="s">
        <v>132</v>
      </c>
      <c r="D16" s="66" t="s">
        <v>148</v>
      </c>
      <c r="E16" s="66" t="s">
        <v>13</v>
      </c>
      <c r="F16" s="67" t="n">
        <f aca="false">IF(B16="","",IF(COUNTIF(取込チェック!$C$6:$C$505,B16)&gt;0,1,0))</f>
        <v>1</v>
      </c>
      <c r="G16" s="68" t="n">
        <f aca="false">IF(B16="","",SUMIF(取込チェック!$C$6:$C$505,B16,取込チェック!$D$6:$D$505))</f>
        <v>3137700</v>
      </c>
      <c r="H16" s="68" t="n">
        <f aca="false">IF(B16="","",SUMIF(取込チェック!$C$6:$C$505,B16,取込チェック!$E$6:$E$505))</f>
        <v>4320000</v>
      </c>
      <c r="I16" s="68" t="n">
        <f aca="false">IF(B16="","",SUMIF(取込チェック!$C$6:$C$505,B16,取込チェック!$F$6:$F$505))</f>
        <v>4174590</v>
      </c>
      <c r="J16" s="69" t="n">
        <f aca="false">IF(F16&lt;&gt;1,"",IF(H16=0,"-",G16/H16))</f>
        <v>0.726319444444444</v>
      </c>
      <c r="K16" s="67" t="n">
        <f aca="false">IF(F16&lt;&gt;1,"",COUNTIFS($E$5:$E$304,E16,$F$5:$F$304,1,$B$5:$B$304,"&lt;"&amp;B16)+1)</f>
        <v>1</v>
      </c>
      <c r="L16" s="67" t="str">
        <f aca="false">IF(K16="","",E16&amp;"|"&amp;K16)</f>
        <v>スタジオピッコーネ／ピッコーネクラブ|1</v>
      </c>
      <c r="M16" s="67" t="n">
        <f aca="false">IF(F16&lt;&gt;1,"",IF(COUNTIFS($C$5:C16,C16,$F$5:F16,1)=1,1,0))</f>
        <v>0</v>
      </c>
      <c r="N16" s="67" t="str">
        <f aca="false">IF(M16&lt;&gt;1,"",_xlfn.MINIFS($B$5:$B$304,$C$5:$C$304,C16,$F$5:$F$304,1))</f>
        <v/>
      </c>
      <c r="O16" s="67" t="str">
        <f aca="false">IF(M16&lt;&gt;1,"",COUNTIFS($M$5:$M$304,1,$N$5:$N$304,"&lt;"&amp;N16)+1)</f>
        <v/>
      </c>
      <c r="P16" s="68" t="n">
        <f aca="false">IF(OR(B16="",取込チェック!$K$3=0),"",SUMIF(取込チェック!$K$6:$K$505,B16,取込チェック!$L$6:$L$505))</f>
        <v>3137700</v>
      </c>
      <c r="Q16" s="68" t="n">
        <f aca="false">IF(OR(B16="",取込チェック!$K$3=0),"",SUMIF(取込チェック!$K$6:$K$505,B16,取込チェック!$M$6:$M$505))</f>
        <v>4174590</v>
      </c>
      <c r="R16" s="68" t="n">
        <f aca="false">IF(P16="","",G16-P16)</f>
        <v>0</v>
      </c>
      <c r="S16" s="68" t="n">
        <f aca="false">IF(Q16="","",I16-Q16)</f>
        <v>0</v>
      </c>
    </row>
    <row r="17" customFormat="false" ht="15" hidden="false" customHeight="false" outlineLevel="0" collapsed="false">
      <c r="A17" s="64" t="n">
        <f aca="false">IF(B17="","",ROW()-4)</f>
        <v>13</v>
      </c>
      <c r="B17" s="65" t="n">
        <v>32572600</v>
      </c>
      <c r="C17" s="66" t="s">
        <v>149</v>
      </c>
      <c r="D17" s="66" t="s">
        <v>148</v>
      </c>
      <c r="E17" s="66" t="s">
        <v>13</v>
      </c>
      <c r="F17" s="67" t="n">
        <f aca="false">IF(B17="","",IF(COUNTIF(取込チェック!$C$6:$C$505,B17)&gt;0,1,0))</f>
        <v>1</v>
      </c>
      <c r="G17" s="68" t="n">
        <f aca="false">IF(B17="","",SUMIF(取込チェック!$C$6:$C$505,B17,取込チェック!$D$6:$D$505))</f>
        <v>2083600</v>
      </c>
      <c r="H17" s="68" t="n">
        <f aca="false">IF(B17="","",SUMIF(取込チェック!$C$6:$C$505,B17,取込チェック!$E$6:$E$505))</f>
        <v>2100000</v>
      </c>
      <c r="I17" s="68" t="n">
        <f aca="false">IF(B17="","",SUMIF(取込チェック!$C$6:$C$505,B17,取込チェック!$F$6:$F$505))</f>
        <v>1633800</v>
      </c>
      <c r="J17" s="69" t="n">
        <f aca="false">IF(F17&lt;&gt;1,"",IF(H17=0,"-",G17/H17))</f>
        <v>0.992190476190476</v>
      </c>
      <c r="K17" s="67" t="n">
        <f aca="false">IF(F17&lt;&gt;1,"",COUNTIFS($E$5:$E$304,E17,$F$5:$F$304,1,$B$5:$B$304,"&lt;"&amp;B17)+1)</f>
        <v>2</v>
      </c>
      <c r="L17" s="67" t="str">
        <f aca="false">IF(K17="","",E17&amp;"|"&amp;K17)</f>
        <v>スタジオピッコーネ／ピッコーネクラブ|2</v>
      </c>
      <c r="M17" s="67" t="n">
        <f aca="false">IF(F17&lt;&gt;1,"",IF(COUNTIFS($C$5:C17,C17,$F$5:F17,1)=1,1,0))</f>
        <v>1</v>
      </c>
      <c r="N17" s="67" t="n">
        <f aca="false">IF(M17&lt;&gt;1,"",_xlfn.MINIFS($B$5:$B$304,$C$5:$C$304,C17,$F$5:$F$304,1))</f>
        <v>32572600</v>
      </c>
      <c r="O17" s="67" t="n">
        <f aca="false">IF(M17&lt;&gt;1,"",COUNTIFS($M$5:$M$304,1,$N$5:$N$304,"&lt;"&amp;N17)+1)</f>
        <v>6</v>
      </c>
      <c r="P17" s="68" t="n">
        <f aca="false">IF(OR(B17="",取込チェック!$K$3=0),"",SUMIF(取込チェック!$K$6:$K$505,B17,取込チェック!$L$6:$L$505))</f>
        <v>1681900</v>
      </c>
      <c r="Q17" s="68" t="n">
        <f aca="false">IF(OR(B17="",取込チェック!$K$3=0),"",SUMIF(取込チェック!$K$6:$K$505,B17,取込チェック!$M$6:$M$505))</f>
        <v>1430500</v>
      </c>
      <c r="R17" s="68" t="n">
        <f aca="false">IF(P17="","",G17-P17)</f>
        <v>401700</v>
      </c>
      <c r="S17" s="68" t="n">
        <f aca="false">IF(Q17="","",I17-Q17)</f>
        <v>203300</v>
      </c>
    </row>
    <row r="18" customFormat="false" ht="15" hidden="false" customHeight="false" outlineLevel="0" collapsed="false">
      <c r="A18" s="64" t="n">
        <f aca="false">IF(B18="","",ROW()-4)</f>
        <v>14</v>
      </c>
      <c r="B18" s="65" t="n">
        <v>32573200</v>
      </c>
      <c r="C18" s="66" t="s">
        <v>150</v>
      </c>
      <c r="D18" s="66" t="s">
        <v>151</v>
      </c>
      <c r="E18" s="66" t="s">
        <v>13</v>
      </c>
      <c r="F18" s="67" t="n">
        <f aca="false">IF(B18="","",IF(COUNTIF(取込チェック!$C$6:$C$505,B18)&gt;0,1,0))</f>
        <v>1</v>
      </c>
      <c r="G18" s="68" t="n">
        <f aca="false">IF(B18="","",SUMIF(取込チェック!$C$6:$C$505,B18,取込チェック!$D$6:$D$505))</f>
        <v>3507580</v>
      </c>
      <c r="H18" s="68" t="n">
        <f aca="false">IF(B18="","",SUMIF(取込チェック!$C$6:$C$505,B18,取込チェック!$E$6:$E$505))</f>
        <v>4120000</v>
      </c>
      <c r="I18" s="68" t="n">
        <f aca="false">IF(B18="","",SUMIF(取込チェック!$C$6:$C$505,B18,取込チェック!$F$6:$F$505))</f>
        <v>4003095</v>
      </c>
      <c r="J18" s="69" t="n">
        <f aca="false">IF(F18&lt;&gt;1,"",IF(H18=0,"-",G18/H18))</f>
        <v>0.851354368932039</v>
      </c>
      <c r="K18" s="67" t="n">
        <f aca="false">IF(F18&lt;&gt;1,"",COUNTIFS($E$5:$E$304,E18,$F$5:$F$304,1,$B$5:$B$304,"&lt;"&amp;B18)+1)</f>
        <v>3</v>
      </c>
      <c r="L18" s="67" t="str">
        <f aca="false">IF(K18="","",E18&amp;"|"&amp;K18)</f>
        <v>スタジオピッコーネ／ピッコーネクラブ|3</v>
      </c>
      <c r="M18" s="67" t="n">
        <f aca="false">IF(F18&lt;&gt;1,"",IF(COUNTIFS($C$5:C18,C18,$F$5:F18,1)=1,1,0))</f>
        <v>1</v>
      </c>
      <c r="N18" s="67" t="n">
        <f aca="false">IF(M18&lt;&gt;1,"",_xlfn.MINIFS($B$5:$B$304,$C$5:$C$304,C18,$F$5:$F$304,1))</f>
        <v>32573200</v>
      </c>
      <c r="O18" s="67" t="n">
        <f aca="false">IF(M18&lt;&gt;1,"",COUNTIFS($M$5:$M$304,1,$N$5:$N$304,"&lt;"&amp;N18)+1)</f>
        <v>7</v>
      </c>
      <c r="P18" s="68" t="n">
        <f aca="false">IF(OR(B18="",取込チェック!$K$3=0),"",SUMIF(取込チェック!$K$6:$K$505,B18,取込チェック!$L$6:$L$505))</f>
        <v>3507580</v>
      </c>
      <c r="Q18" s="68" t="n">
        <f aca="false">IF(OR(B18="",取込チェック!$K$3=0),"",SUMIF(取込チェック!$K$6:$K$505,B18,取込チェック!$M$6:$M$505))</f>
        <v>4003095</v>
      </c>
      <c r="R18" s="68" t="n">
        <f aca="false">IF(P18="","",G18-P18)</f>
        <v>0</v>
      </c>
      <c r="S18" s="68" t="n">
        <f aca="false">IF(Q18="","",I18-Q18)</f>
        <v>0</v>
      </c>
    </row>
    <row r="19" customFormat="false" ht="15" hidden="false" customHeight="false" outlineLevel="0" collapsed="false">
      <c r="A19" s="64" t="n">
        <f aca="false">IF(B19="","",ROW()-4)</f>
        <v>15</v>
      </c>
      <c r="B19" s="65" t="n">
        <v>32573400</v>
      </c>
      <c r="C19" s="66" t="s">
        <v>152</v>
      </c>
      <c r="D19" s="66" t="s">
        <v>148</v>
      </c>
      <c r="E19" s="66" t="s">
        <v>13</v>
      </c>
      <c r="F19" s="67" t="n">
        <f aca="false">IF(B19="","",IF(COUNTIF(取込チェック!$C$6:$C$505,B19)&gt;0,1,0))</f>
        <v>1</v>
      </c>
      <c r="G19" s="68" t="n">
        <f aca="false">IF(B19="","",SUMIF(取込チェック!$C$6:$C$505,B19,取込チェック!$D$6:$D$505))</f>
        <v>1872645</v>
      </c>
      <c r="H19" s="68" t="n">
        <f aca="false">IF(B19="","",SUMIF(取込チェック!$C$6:$C$505,B19,取込チェック!$E$6:$E$505))</f>
        <v>2300000</v>
      </c>
      <c r="I19" s="68" t="n">
        <f aca="false">IF(B19="","",SUMIF(取込チェック!$C$6:$C$505,B19,取込チェック!$F$6:$F$505))</f>
        <v>2355195</v>
      </c>
      <c r="J19" s="69" t="n">
        <f aca="false">IF(F19&lt;&gt;1,"",IF(H19=0,"-",G19/H19))</f>
        <v>0.81419347826087</v>
      </c>
      <c r="K19" s="67" t="n">
        <f aca="false">IF(F19&lt;&gt;1,"",COUNTIFS($E$5:$E$304,E19,$F$5:$F$304,1,$B$5:$B$304,"&lt;"&amp;B19)+1)</f>
        <v>4</v>
      </c>
      <c r="L19" s="67" t="str">
        <f aca="false">IF(K19="","",E19&amp;"|"&amp;K19)</f>
        <v>スタジオピッコーネ／ピッコーネクラブ|4</v>
      </c>
      <c r="M19" s="67" t="n">
        <f aca="false">IF(F19&lt;&gt;1,"",IF(COUNTIFS($C$5:C19,C19,$F$5:F19,1)=1,1,0))</f>
        <v>1</v>
      </c>
      <c r="N19" s="67" t="n">
        <f aca="false">IF(M19&lt;&gt;1,"",_xlfn.MINIFS($B$5:$B$304,$C$5:$C$304,C19,$F$5:$F$304,1))</f>
        <v>32573400</v>
      </c>
      <c r="O19" s="67" t="n">
        <f aca="false">IF(M19&lt;&gt;1,"",COUNTIFS($M$5:$M$304,1,$N$5:$N$304,"&lt;"&amp;N19)+1)</f>
        <v>8</v>
      </c>
      <c r="P19" s="68" t="n">
        <f aca="false">IF(OR(B19="",取込チェック!$K$3=0),"",SUMIF(取込チェック!$K$6:$K$505,B19,取込チェック!$L$6:$L$505))</f>
        <v>1742245</v>
      </c>
      <c r="Q19" s="68" t="n">
        <f aca="false">IF(OR(B19="",取込チェック!$K$3=0),"",SUMIF(取込チェック!$K$6:$K$505,B19,取込チェック!$M$6:$M$505))</f>
        <v>2097495</v>
      </c>
      <c r="R19" s="68" t="n">
        <f aca="false">IF(P19="","",G19-P19)</f>
        <v>130400</v>
      </c>
      <c r="S19" s="68" t="n">
        <f aca="false">IF(Q19="","",I19-Q19)</f>
        <v>257700</v>
      </c>
    </row>
    <row r="20" customFormat="false" ht="15" hidden="false" customHeight="false" outlineLevel="0" collapsed="false">
      <c r="A20" s="64" t="n">
        <f aca="false">IF(B20="","",ROW()-4)</f>
        <v>16</v>
      </c>
      <c r="B20" s="65" t="n">
        <v>32573700</v>
      </c>
      <c r="C20" s="66" t="s">
        <v>153</v>
      </c>
      <c r="D20" s="66" t="s">
        <v>148</v>
      </c>
      <c r="E20" s="66" t="s">
        <v>13</v>
      </c>
      <c r="F20" s="67" t="n">
        <f aca="false">IF(B20="","",IF(COUNTIF(取込チェック!$C$6:$C$505,B20)&gt;0,1,0))</f>
        <v>1</v>
      </c>
      <c r="G20" s="68" t="n">
        <f aca="false">IF(B20="","",SUMIF(取込チェック!$C$6:$C$505,B20,取込チェック!$D$6:$D$505))</f>
        <v>2637800</v>
      </c>
      <c r="H20" s="68" t="n">
        <f aca="false">IF(B20="","",SUMIF(取込チェック!$C$6:$C$505,B20,取込チェック!$E$6:$E$505))</f>
        <v>1950000</v>
      </c>
      <c r="I20" s="68" t="n">
        <f aca="false">IF(B20="","",SUMIF(取込チェック!$C$6:$C$505,B20,取込チェック!$F$6:$F$505))</f>
        <v>1931500</v>
      </c>
      <c r="J20" s="69" t="n">
        <f aca="false">IF(F20&lt;&gt;1,"",IF(H20=0,"-",G20/H20))</f>
        <v>1.35271794871795</v>
      </c>
      <c r="K20" s="67" t="n">
        <f aca="false">IF(F20&lt;&gt;1,"",COUNTIFS($E$5:$E$304,E20,$F$5:$F$304,1,$B$5:$B$304,"&lt;"&amp;B20)+1)</f>
        <v>5</v>
      </c>
      <c r="L20" s="67" t="str">
        <f aca="false">IF(K20="","",E20&amp;"|"&amp;K20)</f>
        <v>スタジオピッコーネ／ピッコーネクラブ|5</v>
      </c>
      <c r="M20" s="67" t="n">
        <f aca="false">IF(F20&lt;&gt;1,"",IF(COUNTIFS($C$5:C20,C20,$F$5:F20,1)=1,1,0))</f>
        <v>1</v>
      </c>
      <c r="N20" s="67" t="n">
        <f aca="false">IF(M20&lt;&gt;1,"",_xlfn.MINIFS($B$5:$B$304,$C$5:$C$304,C20,$F$5:$F$304,1))</f>
        <v>32573700</v>
      </c>
      <c r="O20" s="67" t="n">
        <f aca="false">IF(M20&lt;&gt;1,"",COUNTIFS($M$5:$M$304,1,$N$5:$N$304,"&lt;"&amp;N20)+1)</f>
        <v>9</v>
      </c>
      <c r="P20" s="68" t="n">
        <f aca="false">IF(OR(B20="",取込チェック!$K$3=0),"",SUMIF(取込チェック!$K$6:$K$505,B20,取込チェック!$L$6:$L$505))</f>
        <v>2566400</v>
      </c>
      <c r="Q20" s="68" t="n">
        <f aca="false">IF(OR(B20="",取込チェック!$K$3=0),"",SUMIF(取込チェック!$K$6:$K$505,B20,取込チェック!$M$6:$M$505))</f>
        <v>1559100</v>
      </c>
      <c r="R20" s="68" t="n">
        <f aca="false">IF(P20="","",G20-P20)</f>
        <v>71400</v>
      </c>
      <c r="S20" s="68" t="n">
        <f aca="false">IF(Q20="","",I20-Q20)</f>
        <v>372400</v>
      </c>
    </row>
    <row r="21" customFormat="false" ht="15" hidden="false" customHeight="false" outlineLevel="0" collapsed="false">
      <c r="A21" s="64" t="n">
        <f aca="false">IF(B21="","",ROW()-4)</f>
        <v>17</v>
      </c>
      <c r="B21" s="65" t="n">
        <v>32573800</v>
      </c>
      <c r="C21" s="66" t="s">
        <v>154</v>
      </c>
      <c r="D21" s="66" t="s">
        <v>148</v>
      </c>
      <c r="E21" s="66" t="s">
        <v>13</v>
      </c>
      <c r="F21" s="67" t="n">
        <f aca="false">IF(B21="","",IF(COUNTIF(取込チェック!$C$6:$C$505,B21)&gt;0,1,0))</f>
        <v>1</v>
      </c>
      <c r="G21" s="68" t="n">
        <f aca="false">IF(B21="","",SUMIF(取込チェック!$C$6:$C$505,B21,取込チェック!$D$6:$D$505))</f>
        <v>3204200</v>
      </c>
      <c r="H21" s="68" t="n">
        <f aca="false">IF(B21="","",SUMIF(取込チェック!$C$6:$C$505,B21,取込チェック!$E$6:$E$505))</f>
        <v>3150000</v>
      </c>
      <c r="I21" s="68" t="n">
        <f aca="false">IF(B21="","",SUMIF(取込チェック!$C$6:$C$505,B21,取込チェック!$F$6:$F$505))</f>
        <v>3186800</v>
      </c>
      <c r="J21" s="69" t="n">
        <f aca="false">IF(F21&lt;&gt;1,"",IF(H21=0,"-",G21/H21))</f>
        <v>1.01720634920635</v>
      </c>
      <c r="K21" s="67" t="n">
        <f aca="false">IF(F21&lt;&gt;1,"",COUNTIFS($E$5:$E$304,E21,$F$5:$F$304,1,$B$5:$B$304,"&lt;"&amp;B21)+1)</f>
        <v>6</v>
      </c>
      <c r="L21" s="67" t="str">
        <f aca="false">IF(K21="","",E21&amp;"|"&amp;K21)</f>
        <v>スタジオピッコーネ／ピッコーネクラブ|6</v>
      </c>
      <c r="M21" s="67" t="n">
        <f aca="false">IF(F21&lt;&gt;1,"",IF(COUNTIFS($C$5:C21,C21,$F$5:F21,1)=1,1,0))</f>
        <v>1</v>
      </c>
      <c r="N21" s="67" t="n">
        <f aca="false">IF(M21&lt;&gt;1,"",_xlfn.MINIFS($B$5:$B$304,$C$5:$C$304,C21,$F$5:$F$304,1))</f>
        <v>32573800</v>
      </c>
      <c r="O21" s="67" t="n">
        <f aca="false">IF(M21&lt;&gt;1,"",COUNTIFS($M$5:$M$304,1,$N$5:$N$304,"&lt;"&amp;N21)+1)</f>
        <v>10</v>
      </c>
      <c r="P21" s="68" t="n">
        <f aca="false">IF(OR(B21="",取込チェック!$K$3=0),"",SUMIF(取込チェック!$K$6:$K$505,B21,取込チェック!$L$6:$L$505))</f>
        <v>2538670</v>
      </c>
      <c r="Q21" s="68" t="n">
        <f aca="false">IF(OR(B21="",取込チェック!$K$3=0),"",SUMIF(取込チェック!$K$6:$K$505,B21,取込チェック!$M$6:$M$505))</f>
        <v>2928400</v>
      </c>
      <c r="R21" s="68" t="n">
        <f aca="false">IF(P21="","",G21-P21)</f>
        <v>665530</v>
      </c>
      <c r="S21" s="68" t="n">
        <f aca="false">IF(Q21="","",I21-Q21)</f>
        <v>258400</v>
      </c>
    </row>
    <row r="22" customFormat="false" ht="15" hidden="false" customHeight="false" outlineLevel="0" collapsed="false">
      <c r="A22" s="64" t="n">
        <f aca="false">IF(B22="","",ROW()-4)</f>
        <v>18</v>
      </c>
      <c r="B22" s="65" t="n">
        <v>32573900</v>
      </c>
      <c r="C22" s="66" t="s">
        <v>155</v>
      </c>
      <c r="D22" s="66" t="s">
        <v>151</v>
      </c>
      <c r="E22" s="66" t="s">
        <v>13</v>
      </c>
      <c r="F22" s="67" t="n">
        <f aca="false">IF(B22="","",IF(COUNTIF(取込チェック!$C$6:$C$505,B22)&gt;0,1,0))</f>
        <v>1</v>
      </c>
      <c r="G22" s="68" t="n">
        <f aca="false">IF(B22="","",SUMIF(取込チェック!$C$6:$C$505,B22,取込チェック!$D$6:$D$505))</f>
        <v>1744500</v>
      </c>
      <c r="H22" s="68" t="n">
        <f aca="false">IF(B22="","",SUMIF(取込チェック!$C$6:$C$505,B22,取込チェック!$E$6:$E$505))</f>
        <v>1880000</v>
      </c>
      <c r="I22" s="68" t="n">
        <f aca="false">IF(B22="","",SUMIF(取込チェック!$C$6:$C$505,B22,取込チェック!$F$6:$F$505))</f>
        <v>1846800</v>
      </c>
      <c r="J22" s="69" t="n">
        <f aca="false">IF(F22&lt;&gt;1,"",IF(H22=0,"-",G22/H22))</f>
        <v>0.927925531914894</v>
      </c>
      <c r="K22" s="67" t="n">
        <f aca="false">IF(F22&lt;&gt;1,"",COUNTIFS($E$5:$E$304,E22,$F$5:$F$304,1,$B$5:$B$304,"&lt;"&amp;B22)+1)</f>
        <v>7</v>
      </c>
      <c r="L22" s="67" t="str">
        <f aca="false">IF(K22="","",E22&amp;"|"&amp;K22)</f>
        <v>スタジオピッコーネ／ピッコーネクラブ|7</v>
      </c>
      <c r="M22" s="67" t="n">
        <f aca="false">IF(F22&lt;&gt;1,"",IF(COUNTIFS($C$5:C22,C22,$F$5:F22,1)=1,1,0))</f>
        <v>1</v>
      </c>
      <c r="N22" s="67" t="n">
        <f aca="false">IF(M22&lt;&gt;1,"",_xlfn.MINIFS($B$5:$B$304,$C$5:$C$304,C22,$F$5:$F$304,1))</f>
        <v>32573900</v>
      </c>
      <c r="O22" s="67" t="n">
        <f aca="false">IF(M22&lt;&gt;1,"",COUNTIFS($M$5:$M$304,1,$N$5:$N$304,"&lt;"&amp;N22)+1)</f>
        <v>11</v>
      </c>
      <c r="P22" s="68" t="n">
        <f aca="false">IF(OR(B22="",取込チェック!$K$3=0),"",SUMIF(取込チェック!$K$6:$K$505,B22,取込チェック!$L$6:$L$505))</f>
        <v>1039100</v>
      </c>
      <c r="Q22" s="68" t="n">
        <f aca="false">IF(OR(B22="",取込チェック!$K$3=0),"",SUMIF(取込チェック!$K$6:$K$505,B22,取込チェック!$M$6:$M$505))</f>
        <v>1430400</v>
      </c>
      <c r="R22" s="68" t="n">
        <f aca="false">IF(P22="","",G22-P22)</f>
        <v>705400</v>
      </c>
      <c r="S22" s="68" t="n">
        <f aca="false">IF(Q22="","",I22-Q22)</f>
        <v>416400</v>
      </c>
    </row>
    <row r="23" customFormat="false" ht="15" hidden="false" customHeight="false" outlineLevel="0" collapsed="false">
      <c r="A23" s="64" t="n">
        <f aca="false">IF(B23="","",ROW()-4)</f>
        <v>19</v>
      </c>
      <c r="B23" s="65" t="n">
        <v>32574100</v>
      </c>
      <c r="C23" s="66" t="s">
        <v>156</v>
      </c>
      <c r="D23" s="66" t="s">
        <v>151</v>
      </c>
      <c r="E23" s="66" t="s">
        <v>13</v>
      </c>
      <c r="F23" s="67" t="n">
        <f aca="false">IF(B23="","",IF(COUNTIF(取込チェック!$C$6:$C$505,B23)&gt;0,1,0))</f>
        <v>1</v>
      </c>
      <c r="G23" s="68" t="n">
        <f aca="false">IF(B23="","",SUMIF(取込チェック!$C$6:$C$505,B23,取込チェック!$D$6:$D$505))</f>
        <v>1187800</v>
      </c>
      <c r="H23" s="68" t="n">
        <f aca="false">IF(B23="","",SUMIF(取込チェック!$C$6:$C$505,B23,取込チェック!$E$6:$E$505))</f>
        <v>1700000</v>
      </c>
      <c r="I23" s="68" t="n">
        <f aca="false">IF(B23="","",SUMIF(取込チェック!$C$6:$C$505,B23,取込チェック!$F$6:$F$505))</f>
        <v>1274700</v>
      </c>
      <c r="J23" s="69" t="n">
        <f aca="false">IF(F23&lt;&gt;1,"",IF(H23=0,"-",G23/H23))</f>
        <v>0.698705882352941</v>
      </c>
      <c r="K23" s="67" t="n">
        <f aca="false">IF(F23&lt;&gt;1,"",COUNTIFS($E$5:$E$304,E23,$F$5:$F$304,1,$B$5:$B$304,"&lt;"&amp;B23)+1)</f>
        <v>8</v>
      </c>
      <c r="L23" s="67" t="str">
        <f aca="false">IF(K23="","",E23&amp;"|"&amp;K23)</f>
        <v>スタジオピッコーネ／ピッコーネクラブ|8</v>
      </c>
      <c r="M23" s="67" t="n">
        <f aca="false">IF(F23&lt;&gt;1,"",IF(COUNTIFS($C$5:C23,C23,$F$5:F23,1)=1,1,0))</f>
        <v>1</v>
      </c>
      <c r="N23" s="67" t="n">
        <f aca="false">IF(M23&lt;&gt;1,"",_xlfn.MINIFS($B$5:$B$304,$C$5:$C$304,C23,$F$5:$F$304,1))</f>
        <v>32574100</v>
      </c>
      <c r="O23" s="67" t="n">
        <f aca="false">IF(M23&lt;&gt;1,"",COUNTIFS($M$5:$M$304,1,$N$5:$N$304,"&lt;"&amp;N23)+1)</f>
        <v>12</v>
      </c>
      <c r="P23" s="68" t="n">
        <f aca="false">IF(OR(B23="",取込チェック!$K$3=0),"",SUMIF(取込チェック!$K$6:$K$505,B23,取込チェック!$L$6:$L$505))</f>
        <v>819800</v>
      </c>
      <c r="Q23" s="68" t="n">
        <f aca="false">IF(OR(B23="",取込チェック!$K$3=0),"",SUMIF(取込チェック!$K$6:$K$505,B23,取込チェック!$M$6:$M$505))</f>
        <v>1158600</v>
      </c>
      <c r="R23" s="68" t="n">
        <f aca="false">IF(P23="","",G23-P23)</f>
        <v>368000</v>
      </c>
      <c r="S23" s="68" t="n">
        <f aca="false">IF(Q23="","",I23-Q23)</f>
        <v>116100</v>
      </c>
    </row>
    <row r="24" customFormat="false" ht="15" hidden="false" customHeight="false" outlineLevel="0" collapsed="false">
      <c r="A24" s="64" t="n">
        <f aca="false">IF(B24="","",ROW()-4)</f>
        <v>20</v>
      </c>
      <c r="B24" s="65" t="n">
        <v>32575700</v>
      </c>
      <c r="C24" s="66" t="s">
        <v>157</v>
      </c>
      <c r="D24" s="66" t="s">
        <v>151</v>
      </c>
      <c r="E24" s="66" t="s">
        <v>13</v>
      </c>
      <c r="F24" s="67" t="n">
        <f aca="false">IF(B24="","",IF(COUNTIF(取込チェック!$C$6:$C$505,B24)&gt;0,1,0))</f>
        <v>1</v>
      </c>
      <c r="G24" s="68" t="n">
        <f aca="false">IF(B24="","",SUMIF(取込チェック!$C$6:$C$505,B24,取込チェック!$D$6:$D$505))</f>
        <v>4266900</v>
      </c>
      <c r="H24" s="68" t="n">
        <f aca="false">IF(B24="","",SUMIF(取込チェック!$C$6:$C$505,B24,取込チェック!$E$6:$E$505))</f>
        <v>4200000</v>
      </c>
      <c r="I24" s="68" t="n">
        <f aca="false">IF(B24="","",SUMIF(取込チェック!$C$6:$C$505,B24,取込チェック!$F$6:$F$505))</f>
        <v>4153200</v>
      </c>
      <c r="J24" s="69" t="n">
        <f aca="false">IF(F24&lt;&gt;1,"",IF(H24=0,"-",G24/H24))</f>
        <v>1.01592857142857</v>
      </c>
      <c r="K24" s="67" t="n">
        <f aca="false">IF(F24&lt;&gt;1,"",COUNTIFS($E$5:$E$304,E24,$F$5:$F$304,1,$B$5:$B$304,"&lt;"&amp;B24)+1)</f>
        <v>9</v>
      </c>
      <c r="L24" s="67" t="str">
        <f aca="false">IF(K24="","",E24&amp;"|"&amp;K24)</f>
        <v>スタジオピッコーネ／ピッコーネクラブ|9</v>
      </c>
      <c r="M24" s="67" t="n">
        <f aca="false">IF(F24&lt;&gt;1,"",IF(COUNTIFS($C$5:C24,C24,$F$5:F24,1)=1,1,0))</f>
        <v>1</v>
      </c>
      <c r="N24" s="67" t="n">
        <f aca="false">IF(M24&lt;&gt;1,"",_xlfn.MINIFS($B$5:$B$304,$C$5:$C$304,C24,$F$5:$F$304,1))</f>
        <v>32575700</v>
      </c>
      <c r="O24" s="67" t="n">
        <f aca="false">IF(M24&lt;&gt;1,"",COUNTIFS($M$5:$M$304,1,$N$5:$N$304,"&lt;"&amp;N24)+1)</f>
        <v>13</v>
      </c>
      <c r="P24" s="68" t="n">
        <f aca="false">IF(OR(B24="",取込チェック!$K$3=0),"",SUMIF(取込チェック!$K$6:$K$505,B24,取込チェック!$L$6:$L$505))</f>
        <v>4185000</v>
      </c>
      <c r="Q24" s="68" t="n">
        <f aca="false">IF(OR(B24="",取込チェック!$K$3=0),"",SUMIF(取込チェック!$K$6:$K$505,B24,取込チェック!$M$6:$M$505))</f>
        <v>3953300</v>
      </c>
      <c r="R24" s="68" t="n">
        <f aca="false">IF(P24="","",G24-P24)</f>
        <v>81900</v>
      </c>
      <c r="S24" s="68" t="n">
        <f aca="false">IF(Q24="","",I24-Q24)</f>
        <v>199900</v>
      </c>
    </row>
    <row r="25" customFormat="false" ht="15" hidden="false" customHeight="false" outlineLevel="0" collapsed="false">
      <c r="A25" s="64" t="n">
        <f aca="false">IF(B25="","",ROW()-4)</f>
        <v>21</v>
      </c>
      <c r="B25" s="65" t="n">
        <v>32670200</v>
      </c>
      <c r="C25" s="66" t="s">
        <v>143</v>
      </c>
      <c r="D25" s="66" t="s">
        <v>148</v>
      </c>
      <c r="E25" s="66" t="s">
        <v>13</v>
      </c>
      <c r="F25" s="67" t="n">
        <f aca="false">IF(B25="","",IF(COUNTIF(取込チェック!$C$6:$C$505,B25)&gt;0,1,0))</f>
        <v>1</v>
      </c>
      <c r="G25" s="68" t="n">
        <f aca="false">IF(B25="","",SUMIF(取込チェック!$C$6:$C$505,B25,取込チェック!$D$6:$D$505))</f>
        <v>3134900</v>
      </c>
      <c r="H25" s="68" t="n">
        <f aca="false">IF(B25="","",SUMIF(取込チェック!$C$6:$C$505,B25,取込チェック!$E$6:$E$505))</f>
        <v>6100000</v>
      </c>
      <c r="I25" s="68" t="n">
        <f aca="false">IF(B25="","",SUMIF(取込チェック!$C$6:$C$505,B25,取込チェック!$F$6:$F$505))</f>
        <v>3604510</v>
      </c>
      <c r="J25" s="69" t="n">
        <f aca="false">IF(F25&lt;&gt;1,"",IF(H25=0,"-",G25/H25))</f>
        <v>0.513918032786885</v>
      </c>
      <c r="K25" s="67" t="n">
        <f aca="false">IF(F25&lt;&gt;1,"",COUNTIFS($E$5:$E$304,E25,$F$5:$F$304,1,$B$5:$B$304,"&lt;"&amp;B25)+1)</f>
        <v>10</v>
      </c>
      <c r="L25" s="67" t="str">
        <f aca="false">IF(K25="","",E25&amp;"|"&amp;K25)</f>
        <v>スタジオピッコーネ／ピッコーネクラブ|10</v>
      </c>
      <c r="M25" s="67" t="n">
        <f aca="false">IF(F25&lt;&gt;1,"",IF(COUNTIFS($C$5:C25,C25,$F$5:F25,1)=1,1,0))</f>
        <v>0</v>
      </c>
      <c r="N25" s="67" t="str">
        <f aca="false">IF(M25&lt;&gt;1,"",_xlfn.MINIFS($B$5:$B$304,$C$5:$C$304,C25,$F$5:$F$304,1))</f>
        <v/>
      </c>
      <c r="O25" s="67" t="str">
        <f aca="false">IF(M25&lt;&gt;1,"",COUNTIFS($M$5:$M$304,1,$N$5:$N$304,"&lt;"&amp;N25)+1)</f>
        <v/>
      </c>
      <c r="P25" s="68" t="n">
        <f aca="false">IF(OR(B25="",取込チェック!$K$3=0),"",SUMIF(取込チェック!$K$6:$K$505,B25,取込チェック!$L$6:$L$505))</f>
        <v>3118100</v>
      </c>
      <c r="Q25" s="68" t="n">
        <f aca="false">IF(OR(B25="",取込チェック!$K$3=0),"",SUMIF(取込チェック!$K$6:$K$505,B25,取込チェック!$M$6:$M$505))</f>
        <v>3560410</v>
      </c>
      <c r="R25" s="68" t="n">
        <f aca="false">IF(P25="","",G25-P25)</f>
        <v>16800</v>
      </c>
      <c r="S25" s="68" t="n">
        <f aca="false">IF(Q25="","",I25-Q25)</f>
        <v>44100</v>
      </c>
    </row>
    <row r="26" customFormat="false" ht="15" hidden="false" customHeight="false" outlineLevel="0" collapsed="false">
      <c r="A26" s="64" t="n">
        <f aca="false">IF(B26="","",ROW()-4)</f>
        <v>22</v>
      </c>
      <c r="B26" s="65" t="n">
        <v>32670400</v>
      </c>
      <c r="C26" s="66" t="s">
        <v>144</v>
      </c>
      <c r="D26" s="66" t="s">
        <v>148</v>
      </c>
      <c r="E26" s="66" t="s">
        <v>13</v>
      </c>
      <c r="F26" s="67" t="n">
        <f aca="false">IF(B26="","",IF(COUNTIF(取込チェック!$C$6:$C$505,B26)&gt;0,1,0))</f>
        <v>1</v>
      </c>
      <c r="G26" s="68" t="n">
        <f aca="false">IF(B26="","",SUMIF(取込チェック!$C$6:$C$505,B26,取込チェック!$D$6:$D$505))</f>
        <v>2640520</v>
      </c>
      <c r="H26" s="68" t="n">
        <f aca="false">IF(B26="","",SUMIF(取込チェック!$C$6:$C$505,B26,取込チェック!$E$6:$E$505))</f>
        <v>4410000</v>
      </c>
      <c r="I26" s="68" t="n">
        <f aca="false">IF(B26="","",SUMIF(取込チェック!$C$6:$C$505,B26,取込チェック!$F$6:$F$505))</f>
        <v>2984120</v>
      </c>
      <c r="J26" s="69" t="n">
        <f aca="false">IF(F26&lt;&gt;1,"",IF(H26=0,"-",G26/H26))</f>
        <v>0.598757369614512</v>
      </c>
      <c r="K26" s="67" t="n">
        <f aca="false">IF(F26&lt;&gt;1,"",COUNTIFS($E$5:$E$304,E26,$F$5:$F$304,1,$B$5:$B$304,"&lt;"&amp;B26)+1)</f>
        <v>11</v>
      </c>
      <c r="L26" s="67" t="str">
        <f aca="false">IF(K26="","",E26&amp;"|"&amp;K26)</f>
        <v>スタジオピッコーネ／ピッコーネクラブ|11</v>
      </c>
      <c r="M26" s="67" t="n">
        <f aca="false">IF(F26&lt;&gt;1,"",IF(COUNTIFS($C$5:C26,C26,$F$5:F26,1)=1,1,0))</f>
        <v>0</v>
      </c>
      <c r="N26" s="67" t="str">
        <f aca="false">IF(M26&lt;&gt;1,"",_xlfn.MINIFS($B$5:$B$304,$C$5:$C$304,C26,$F$5:$F$304,1))</f>
        <v/>
      </c>
      <c r="O26" s="67" t="str">
        <f aca="false">IF(M26&lt;&gt;1,"",COUNTIFS($M$5:$M$304,1,$N$5:$N$304,"&lt;"&amp;N26)+1)</f>
        <v/>
      </c>
      <c r="P26" s="68" t="n">
        <f aca="false">IF(OR(B26="",取込チェック!$K$3=0),"",SUMIF(取込チェック!$K$6:$K$505,B26,取込チェック!$L$6:$L$505))</f>
        <v>2495520</v>
      </c>
      <c r="Q26" s="68" t="n">
        <f aca="false">IF(OR(B26="",取込チェック!$K$3=0),"",SUMIF(取込チェック!$K$6:$K$505,B26,取込チェック!$M$6:$M$505))</f>
        <v>2858120</v>
      </c>
      <c r="R26" s="68" t="n">
        <f aca="false">IF(P26="","",G26-P26)</f>
        <v>145000</v>
      </c>
      <c r="S26" s="68" t="n">
        <f aca="false">IF(Q26="","",I26-Q26)</f>
        <v>126000</v>
      </c>
    </row>
    <row r="27" customFormat="false" ht="15" hidden="false" customHeight="false" outlineLevel="0" collapsed="false">
      <c r="A27" s="64" t="n">
        <f aca="false">IF(B27="","",ROW()-4)</f>
        <v>23</v>
      </c>
      <c r="B27" s="65" t="n">
        <v>32670900</v>
      </c>
      <c r="C27" s="66" t="s">
        <v>158</v>
      </c>
      <c r="D27" s="66" t="s">
        <v>148</v>
      </c>
      <c r="E27" s="66" t="s">
        <v>13</v>
      </c>
      <c r="F27" s="67" t="n">
        <f aca="false">IF(B27="","",IF(COUNTIF(取込チェック!$C$6:$C$505,B27)&gt;0,1,0))</f>
        <v>1</v>
      </c>
      <c r="G27" s="68" t="n">
        <f aca="false">IF(B27="","",SUMIF(取込チェック!$C$6:$C$505,B27,取込チェック!$D$6:$D$505))</f>
        <v>5052300</v>
      </c>
      <c r="H27" s="68" t="n">
        <f aca="false">IF(B27="","",SUMIF(取込チェック!$C$6:$C$505,B27,取込チェック!$E$6:$E$505))</f>
        <v>5370000</v>
      </c>
      <c r="I27" s="68" t="n">
        <f aca="false">IF(B27="","",SUMIF(取込チェック!$C$6:$C$505,B27,取込チェック!$F$6:$F$505))</f>
        <v>5057100</v>
      </c>
      <c r="J27" s="69" t="n">
        <f aca="false">IF(F27&lt;&gt;1,"",IF(H27=0,"-",G27/H27))</f>
        <v>0.940837988826816</v>
      </c>
      <c r="K27" s="67" t="n">
        <f aca="false">IF(F27&lt;&gt;1,"",COUNTIFS($E$5:$E$304,E27,$F$5:$F$304,1,$B$5:$B$304,"&lt;"&amp;B27)+1)</f>
        <v>12</v>
      </c>
      <c r="L27" s="67" t="str">
        <f aca="false">IF(K27="","",E27&amp;"|"&amp;K27)</f>
        <v>スタジオピッコーネ／ピッコーネクラブ|12</v>
      </c>
      <c r="M27" s="67" t="n">
        <f aca="false">IF(F27&lt;&gt;1,"",IF(COUNTIFS($C$5:C27,C27,$F$5:F27,1)=1,1,0))</f>
        <v>1</v>
      </c>
      <c r="N27" s="67" t="n">
        <f aca="false">IF(M27&lt;&gt;1,"",_xlfn.MINIFS($B$5:$B$304,$C$5:$C$304,C27,$F$5:$F$304,1))</f>
        <v>32670900</v>
      </c>
      <c r="O27" s="67" t="n">
        <f aca="false">IF(M27&lt;&gt;1,"",COUNTIFS($M$5:$M$304,1,$N$5:$N$304,"&lt;"&amp;N27)+1)</f>
        <v>22</v>
      </c>
      <c r="P27" s="68" t="n">
        <f aca="false">IF(OR(B27="",取込チェック!$K$3=0),"",SUMIF(取込チェック!$K$6:$K$505,B27,取込チェック!$L$6:$L$505))</f>
        <v>5052300</v>
      </c>
      <c r="Q27" s="68" t="n">
        <f aca="false">IF(OR(B27="",取込チェック!$K$3=0),"",SUMIF(取込チェック!$K$6:$K$505,B27,取込チェック!$M$6:$M$505))</f>
        <v>4861700</v>
      </c>
      <c r="R27" s="68" t="n">
        <f aca="false">IF(P27="","",G27-P27)</f>
        <v>0</v>
      </c>
      <c r="S27" s="68" t="n">
        <f aca="false">IF(Q27="","",I27-Q27)</f>
        <v>195400</v>
      </c>
    </row>
    <row r="28" customFormat="false" ht="15" hidden="false" customHeight="false" outlineLevel="0" collapsed="false">
      <c r="A28" s="64" t="n">
        <f aca="false">IF(B28="","",ROW()-4)</f>
        <v>24</v>
      </c>
      <c r="B28" s="65" t="n">
        <v>32671400</v>
      </c>
      <c r="C28" s="66" t="s">
        <v>142</v>
      </c>
      <c r="D28" s="66" t="s">
        <v>148</v>
      </c>
      <c r="E28" s="66" t="s">
        <v>13</v>
      </c>
      <c r="F28" s="67" t="n">
        <f aca="false">IF(B28="","",IF(COUNTIF(取込チェック!$C$6:$C$505,B28)&gt;0,1,0))</f>
        <v>1</v>
      </c>
      <c r="G28" s="68" t="n">
        <f aca="false">IF(B28="","",SUMIF(取込チェック!$C$6:$C$505,B28,取込チェック!$D$6:$D$505))</f>
        <v>4633300</v>
      </c>
      <c r="H28" s="68" t="n">
        <f aca="false">IF(B28="","",SUMIF(取込チェック!$C$6:$C$505,B28,取込チェック!$E$6:$E$505))</f>
        <v>7990000</v>
      </c>
      <c r="I28" s="68" t="n">
        <f aca="false">IF(B28="","",SUMIF(取込チェック!$C$6:$C$505,B28,取込チェック!$F$6:$F$505))</f>
        <v>5799600</v>
      </c>
      <c r="J28" s="69" t="n">
        <f aca="false">IF(F28&lt;&gt;1,"",IF(H28=0,"-",G28/H28))</f>
        <v>0.579887359198999</v>
      </c>
      <c r="K28" s="67" t="n">
        <f aca="false">IF(F28&lt;&gt;1,"",COUNTIFS($E$5:$E$304,E28,$F$5:$F$304,1,$B$5:$B$304,"&lt;"&amp;B28)+1)</f>
        <v>13</v>
      </c>
      <c r="L28" s="67" t="str">
        <f aca="false">IF(K28="","",E28&amp;"|"&amp;K28)</f>
        <v>スタジオピッコーネ／ピッコーネクラブ|13</v>
      </c>
      <c r="M28" s="67" t="n">
        <f aca="false">IF(F28&lt;&gt;1,"",IF(COUNTIFS($C$5:C28,C28,$F$5:F28,1)=1,1,0))</f>
        <v>0</v>
      </c>
      <c r="N28" s="67" t="str">
        <f aca="false">IF(M28&lt;&gt;1,"",_xlfn.MINIFS($B$5:$B$304,$C$5:$C$304,C28,$F$5:$F$304,1))</f>
        <v/>
      </c>
      <c r="O28" s="67" t="str">
        <f aca="false">IF(M28&lt;&gt;1,"",COUNTIFS($M$5:$M$304,1,$N$5:$N$304,"&lt;"&amp;N28)+1)</f>
        <v/>
      </c>
      <c r="P28" s="68" t="n">
        <f aca="false">IF(OR(B28="",取込チェック!$K$3=0),"",SUMIF(取込チェック!$K$6:$K$505,B28,取込チェック!$L$6:$L$505))</f>
        <v>4361200</v>
      </c>
      <c r="Q28" s="68" t="n">
        <f aca="false">IF(OR(B28="",取込チェック!$K$3=0),"",SUMIF(取込チェック!$K$6:$K$505,B28,取込チェック!$M$6:$M$505))</f>
        <v>5799600</v>
      </c>
      <c r="R28" s="68" t="n">
        <f aca="false">IF(P28="","",G28-P28)</f>
        <v>272100</v>
      </c>
      <c r="S28" s="68" t="n">
        <f aca="false">IF(Q28="","",I28-Q28)</f>
        <v>0</v>
      </c>
    </row>
    <row r="29" customFormat="false" ht="15" hidden="false" customHeight="false" outlineLevel="0" collapsed="false">
      <c r="A29" s="64" t="n">
        <f aca="false">IF(B29="","",ROW()-4)</f>
        <v>25</v>
      </c>
      <c r="B29" s="65" t="n">
        <v>32671900</v>
      </c>
      <c r="C29" s="66" t="s">
        <v>159</v>
      </c>
      <c r="D29" s="66" t="s">
        <v>148</v>
      </c>
      <c r="E29" s="66" t="s">
        <v>13</v>
      </c>
      <c r="F29" s="67" t="n">
        <f aca="false">IF(B29="","",IF(COUNTIF(取込チェック!$C$6:$C$505,B29)&gt;0,1,0))</f>
        <v>1</v>
      </c>
      <c r="G29" s="68" t="n">
        <f aca="false">IF(B29="","",SUMIF(取込チェック!$C$6:$C$505,B29,取込チェック!$D$6:$D$505))</f>
        <v>1841920</v>
      </c>
      <c r="H29" s="68" t="n">
        <f aca="false">IF(B29="","",SUMIF(取込チェック!$C$6:$C$505,B29,取込チェック!$E$6:$E$505))</f>
        <v>2050000</v>
      </c>
      <c r="I29" s="68" t="n">
        <f aca="false">IF(B29="","",SUMIF(取込チェック!$C$6:$C$505,B29,取込チェック!$F$6:$F$505))</f>
        <v>1940260</v>
      </c>
      <c r="J29" s="69" t="n">
        <f aca="false">IF(F29&lt;&gt;1,"",IF(H29=0,"-",G29/H29))</f>
        <v>0.89849756097561</v>
      </c>
      <c r="K29" s="67" t="n">
        <f aca="false">IF(F29&lt;&gt;1,"",COUNTIFS($E$5:$E$304,E29,$F$5:$F$304,1,$B$5:$B$304,"&lt;"&amp;B29)+1)</f>
        <v>14</v>
      </c>
      <c r="L29" s="67" t="str">
        <f aca="false">IF(K29="","",E29&amp;"|"&amp;K29)</f>
        <v>スタジオピッコーネ／ピッコーネクラブ|14</v>
      </c>
      <c r="M29" s="67" t="n">
        <f aca="false">IF(F29&lt;&gt;1,"",IF(COUNTIFS($C$5:C29,C29,$F$5:F29,1)=1,1,0))</f>
        <v>1</v>
      </c>
      <c r="N29" s="67" t="n">
        <f aca="false">IF(M29&lt;&gt;1,"",_xlfn.MINIFS($B$5:$B$304,$C$5:$C$304,C29,$F$5:$F$304,1))</f>
        <v>32671900</v>
      </c>
      <c r="O29" s="67" t="n">
        <f aca="false">IF(M29&lt;&gt;1,"",COUNTIFS($M$5:$M$304,1,$N$5:$N$304,"&lt;"&amp;N29)+1)</f>
        <v>25</v>
      </c>
      <c r="P29" s="68" t="n">
        <f aca="false">IF(OR(B29="",取込チェック!$K$3=0),"",SUMIF(取込チェック!$K$6:$K$505,B29,取込チェック!$L$6:$L$505))</f>
        <v>1797020</v>
      </c>
      <c r="Q29" s="68" t="n">
        <f aca="false">IF(OR(B29="",取込チェック!$K$3=0),"",SUMIF(取込チェック!$K$6:$K$505,B29,取込チェック!$M$6:$M$505))</f>
        <v>1826860</v>
      </c>
      <c r="R29" s="68" t="n">
        <f aca="false">IF(P29="","",G29-P29)</f>
        <v>44900</v>
      </c>
      <c r="S29" s="68" t="n">
        <f aca="false">IF(Q29="","",I29-Q29)</f>
        <v>113400</v>
      </c>
    </row>
    <row r="30" customFormat="false" ht="15" hidden="false" customHeight="false" outlineLevel="0" collapsed="false">
      <c r="A30" s="64" t="n">
        <f aca="false">IF(B30="","",ROW()-4)</f>
        <v>26</v>
      </c>
      <c r="B30" s="65" t="n">
        <v>32673300</v>
      </c>
      <c r="C30" s="66" t="s">
        <v>146</v>
      </c>
      <c r="D30" s="66" t="s">
        <v>148</v>
      </c>
      <c r="E30" s="66" t="s">
        <v>13</v>
      </c>
      <c r="F30" s="67" t="n">
        <f aca="false">IF(B30="","",IF(COUNTIF(取込チェック!$C$6:$C$505,B30)&gt;0,1,0))</f>
        <v>1</v>
      </c>
      <c r="G30" s="68" t="n">
        <f aca="false">IF(B30="","",SUMIF(取込チェック!$C$6:$C$505,B30,取込チェック!$D$6:$D$505))</f>
        <v>3005230</v>
      </c>
      <c r="H30" s="68" t="n">
        <f aca="false">IF(B30="","",SUMIF(取込チェック!$C$6:$C$505,B30,取込チェック!$E$6:$E$505))</f>
        <v>3050000</v>
      </c>
      <c r="I30" s="68" t="n">
        <f aca="false">IF(B30="","",SUMIF(取込チェック!$C$6:$C$505,B30,取込チェック!$F$6:$F$505))</f>
        <v>2843445</v>
      </c>
      <c r="J30" s="69" t="n">
        <f aca="false">IF(F30&lt;&gt;1,"",IF(H30=0,"-",G30/H30))</f>
        <v>0.98532131147541</v>
      </c>
      <c r="K30" s="67" t="n">
        <f aca="false">IF(F30&lt;&gt;1,"",COUNTIFS($E$5:$E$304,E30,$F$5:$F$304,1,$B$5:$B$304,"&lt;"&amp;B30)+1)</f>
        <v>15</v>
      </c>
      <c r="L30" s="67" t="str">
        <f aca="false">IF(K30="","",E30&amp;"|"&amp;K30)</f>
        <v>スタジオピッコーネ／ピッコーネクラブ|15</v>
      </c>
      <c r="M30" s="67" t="n">
        <f aca="false">IF(F30&lt;&gt;1,"",IF(COUNTIFS($C$5:C30,C30,$F$5:F30,1)=1,1,0))</f>
        <v>0</v>
      </c>
      <c r="N30" s="67" t="str">
        <f aca="false">IF(M30&lt;&gt;1,"",_xlfn.MINIFS($B$5:$B$304,$C$5:$C$304,C30,$F$5:$F$304,1))</f>
        <v/>
      </c>
      <c r="O30" s="67" t="str">
        <f aca="false">IF(M30&lt;&gt;1,"",COUNTIFS($M$5:$M$304,1,$N$5:$N$304,"&lt;"&amp;N30)+1)</f>
        <v/>
      </c>
      <c r="P30" s="68" t="n">
        <f aca="false">IF(OR(B30="",取込チェック!$K$3=0),"",SUMIF(取込チェック!$K$6:$K$505,B30,取込チェック!$L$6:$L$505))</f>
        <v>2938030</v>
      </c>
      <c r="Q30" s="68" t="n">
        <f aca="false">IF(OR(B30="",取込チェック!$K$3=0),"",SUMIF(取込チェック!$K$6:$K$505,B30,取込チェック!$M$6:$M$505))</f>
        <v>2786545</v>
      </c>
      <c r="R30" s="68" t="n">
        <f aca="false">IF(P30="","",G30-P30)</f>
        <v>67200</v>
      </c>
      <c r="S30" s="68" t="n">
        <f aca="false">IF(Q30="","",I30-Q30)</f>
        <v>56900</v>
      </c>
    </row>
    <row r="31" customFormat="false" ht="15" hidden="false" customHeight="false" outlineLevel="0" collapsed="false">
      <c r="A31" s="64" t="n">
        <f aca="false">IF(B31="","",ROW()-4)</f>
        <v>27</v>
      </c>
      <c r="B31" s="65" t="n">
        <v>32674100</v>
      </c>
      <c r="C31" s="66" t="s">
        <v>160</v>
      </c>
      <c r="D31" s="66" t="s">
        <v>148</v>
      </c>
      <c r="E31" s="66" t="s">
        <v>13</v>
      </c>
      <c r="F31" s="67" t="n">
        <f aca="false">IF(B31="","",IF(COUNTIF(取込チェック!$C$6:$C$505,B31)&gt;0,1,0))</f>
        <v>1</v>
      </c>
      <c r="G31" s="68" t="n">
        <f aca="false">IF(B31="","",SUMIF(取込チェック!$C$6:$C$505,B31,取込チェック!$D$6:$D$505))</f>
        <v>2155045</v>
      </c>
      <c r="H31" s="68" t="n">
        <f aca="false">IF(B31="","",SUMIF(取込チェック!$C$6:$C$505,B31,取込チェック!$E$6:$E$505))</f>
        <v>1923000</v>
      </c>
      <c r="I31" s="68" t="n">
        <f aca="false">IF(B31="","",SUMIF(取込チェック!$C$6:$C$505,B31,取込チェック!$F$6:$F$505))</f>
        <v>1662095</v>
      </c>
      <c r="J31" s="69" t="n">
        <f aca="false">IF(F31&lt;&gt;1,"",IF(H31=0,"-",G31/H31))</f>
        <v>1.12066822672907</v>
      </c>
      <c r="K31" s="67" t="n">
        <f aca="false">IF(F31&lt;&gt;1,"",COUNTIFS($E$5:$E$304,E31,$F$5:$F$304,1,$B$5:$B$304,"&lt;"&amp;B31)+1)</f>
        <v>16</v>
      </c>
      <c r="L31" s="67" t="str">
        <f aca="false">IF(K31="","",E31&amp;"|"&amp;K31)</f>
        <v>スタジオピッコーネ／ピッコーネクラブ|16</v>
      </c>
      <c r="M31" s="67" t="n">
        <f aca="false">IF(F31&lt;&gt;1,"",IF(COUNTIFS($C$5:C31,C31,$F$5:F31,1)=1,1,0))</f>
        <v>1</v>
      </c>
      <c r="N31" s="67" t="n">
        <f aca="false">IF(M31&lt;&gt;1,"",_xlfn.MINIFS($B$5:$B$304,$C$5:$C$304,C31,$F$5:$F$304,1))</f>
        <v>32674100</v>
      </c>
      <c r="O31" s="67" t="n">
        <f aca="false">IF(M31&lt;&gt;1,"",COUNTIFS($M$5:$M$304,1,$N$5:$N$304,"&lt;"&amp;N31)+1)</f>
        <v>27</v>
      </c>
      <c r="P31" s="68" t="n">
        <f aca="false">IF(OR(B31="",取込チェック!$K$3=0),"",SUMIF(取込チェック!$K$6:$K$505,B31,取込チェック!$L$6:$L$505))</f>
        <v>2039545</v>
      </c>
      <c r="Q31" s="68" t="n">
        <f aca="false">IF(OR(B31="",取込チェック!$K$3=0),"",SUMIF(取込チェック!$K$6:$K$505,B31,取込チェック!$M$6:$M$505))</f>
        <v>1484495</v>
      </c>
      <c r="R31" s="68" t="n">
        <f aca="false">IF(P31="","",G31-P31)</f>
        <v>115500</v>
      </c>
      <c r="S31" s="68" t="n">
        <f aca="false">IF(Q31="","",I31-Q31)</f>
        <v>177600</v>
      </c>
    </row>
    <row r="32" customFormat="false" ht="15" hidden="false" customHeight="false" outlineLevel="0" collapsed="false">
      <c r="A32" s="64" t="n">
        <f aca="false">IF(B32="","",ROW()-4)</f>
        <v>28</v>
      </c>
      <c r="B32" s="65" t="n">
        <v>32674500</v>
      </c>
      <c r="C32" s="66" t="s">
        <v>161</v>
      </c>
      <c r="D32" s="66" t="s">
        <v>148</v>
      </c>
      <c r="E32" s="66" t="s">
        <v>13</v>
      </c>
      <c r="F32" s="67" t="n">
        <f aca="false">IF(B32="","",IF(COUNTIF(取込チェック!$C$6:$C$505,B32)&gt;0,1,0))</f>
        <v>1</v>
      </c>
      <c r="G32" s="68" t="n">
        <f aca="false">IF(B32="","",SUMIF(取込チェック!$C$6:$C$505,B32,取込チェック!$D$6:$D$505))</f>
        <v>1266300</v>
      </c>
      <c r="H32" s="68" t="n">
        <f aca="false">IF(B32="","",SUMIF(取込チェック!$C$6:$C$505,B32,取込チェック!$E$6:$E$505))</f>
        <v>1250000</v>
      </c>
      <c r="I32" s="68" t="n">
        <f aca="false">IF(B32="","",SUMIF(取込チェック!$C$6:$C$505,B32,取込チェック!$F$6:$F$505))</f>
        <v>948000</v>
      </c>
      <c r="J32" s="69" t="n">
        <f aca="false">IF(F32&lt;&gt;1,"",IF(H32=0,"-",G32/H32))</f>
        <v>1.01304</v>
      </c>
      <c r="K32" s="67" t="n">
        <f aca="false">IF(F32&lt;&gt;1,"",COUNTIFS($E$5:$E$304,E32,$F$5:$F$304,1,$B$5:$B$304,"&lt;"&amp;B32)+1)</f>
        <v>17</v>
      </c>
      <c r="L32" s="67" t="str">
        <f aca="false">IF(K32="","",E32&amp;"|"&amp;K32)</f>
        <v>スタジオピッコーネ／ピッコーネクラブ|17</v>
      </c>
      <c r="M32" s="67" t="n">
        <f aca="false">IF(F32&lt;&gt;1,"",IF(COUNTIFS($C$5:C32,C32,$F$5:F32,1)=1,1,0))</f>
        <v>1</v>
      </c>
      <c r="N32" s="67" t="n">
        <f aca="false">IF(M32&lt;&gt;1,"",_xlfn.MINIFS($B$5:$B$304,$C$5:$C$304,C32,$F$5:$F$304,1))</f>
        <v>32674500</v>
      </c>
      <c r="O32" s="67" t="n">
        <f aca="false">IF(M32&lt;&gt;1,"",COUNTIFS($M$5:$M$304,1,$N$5:$N$304,"&lt;"&amp;N32)+1)</f>
        <v>29</v>
      </c>
      <c r="P32" s="68" t="n">
        <f aca="false">IF(OR(B32="",取込チェック!$K$3=0),"",SUMIF(取込チェック!$K$6:$K$505,B32,取込チェック!$L$6:$L$505))</f>
        <v>1266300</v>
      </c>
      <c r="Q32" s="68" t="n">
        <f aca="false">IF(OR(B32="",取込チェック!$K$3=0),"",SUMIF(取込チェック!$K$6:$K$505,B32,取込チェック!$M$6:$M$505))</f>
        <v>921000</v>
      </c>
      <c r="R32" s="68" t="n">
        <f aca="false">IF(P32="","",G32-P32)</f>
        <v>0</v>
      </c>
      <c r="S32" s="68" t="n">
        <f aca="false">IF(Q32="","",I32-Q32)</f>
        <v>27000</v>
      </c>
    </row>
    <row r="33" customFormat="false" ht="15" hidden="false" customHeight="false" outlineLevel="0" collapsed="false">
      <c r="A33" s="64" t="n">
        <f aca="false">IF(B33="","",ROW()-4)</f>
        <v>29</v>
      </c>
      <c r="B33" s="65" t="n">
        <v>32675600</v>
      </c>
      <c r="C33" s="66" t="s">
        <v>162</v>
      </c>
      <c r="D33" s="66" t="s">
        <v>148</v>
      </c>
      <c r="E33" s="66" t="s">
        <v>13</v>
      </c>
      <c r="F33" s="67" t="n">
        <f aca="false">IF(B33="","",IF(COUNTIF(取込チェック!$C$6:$C$505,B33)&gt;0,1,0))</f>
        <v>1</v>
      </c>
      <c r="G33" s="68" t="n">
        <f aca="false">IF(B33="","",SUMIF(取込チェック!$C$6:$C$505,B33,取込チェック!$D$6:$D$505))</f>
        <v>2648700</v>
      </c>
      <c r="H33" s="68" t="n">
        <f aca="false">IF(B33="","",SUMIF(取込チェック!$C$6:$C$505,B33,取込チェック!$E$6:$E$505))</f>
        <v>3910000</v>
      </c>
      <c r="I33" s="68" t="n">
        <f aca="false">IF(B33="","",SUMIF(取込チェック!$C$6:$C$505,B33,取込チェック!$F$6:$F$505))</f>
        <v>3232800</v>
      </c>
      <c r="J33" s="69" t="n">
        <f aca="false">IF(F33&lt;&gt;1,"",IF(H33=0,"-",G33/H33))</f>
        <v>0.677416879795396</v>
      </c>
      <c r="K33" s="67" t="n">
        <f aca="false">IF(F33&lt;&gt;1,"",COUNTIFS($E$5:$E$304,E33,$F$5:$F$304,1,$B$5:$B$304,"&lt;"&amp;B33)+1)</f>
        <v>18</v>
      </c>
      <c r="L33" s="67" t="str">
        <f aca="false">IF(K33="","",E33&amp;"|"&amp;K33)</f>
        <v>スタジオピッコーネ／ピッコーネクラブ|18</v>
      </c>
      <c r="M33" s="67" t="n">
        <f aca="false">IF(F33&lt;&gt;1,"",IF(COUNTIFS($C$5:C33,C33,$F$5:F33,1)=1,1,0))</f>
        <v>1</v>
      </c>
      <c r="N33" s="67" t="n">
        <f aca="false">IF(M33&lt;&gt;1,"",_xlfn.MINIFS($B$5:$B$304,$C$5:$C$304,C33,$F$5:$F$304,1))</f>
        <v>32675600</v>
      </c>
      <c r="O33" s="67" t="n">
        <f aca="false">IF(M33&lt;&gt;1,"",COUNTIFS($M$5:$M$304,1,$N$5:$N$304,"&lt;"&amp;N33)+1)</f>
        <v>32</v>
      </c>
      <c r="P33" s="68" t="n">
        <f aca="false">IF(OR(B33="",取込チェック!$K$3=0),"",SUMIF(取込チェック!$K$6:$K$505,B33,取込チェック!$L$6:$L$505))</f>
        <v>2585700</v>
      </c>
      <c r="Q33" s="68" t="n">
        <f aca="false">IF(OR(B33="",取込チェック!$K$3=0),"",SUMIF(取込チェック!$K$6:$K$505,B33,取込チェック!$M$6:$M$505))</f>
        <v>3129200</v>
      </c>
      <c r="R33" s="68" t="n">
        <f aca="false">IF(P33="","",G33-P33)</f>
        <v>63000</v>
      </c>
      <c r="S33" s="68" t="n">
        <f aca="false">IF(Q33="","",I33-Q33)</f>
        <v>103600</v>
      </c>
    </row>
    <row r="34" customFormat="false" ht="15" hidden="false" customHeight="false" outlineLevel="0" collapsed="false">
      <c r="A34" s="64" t="n">
        <f aca="false">IF(B34="","",ROW()-4)</f>
        <v>30</v>
      </c>
      <c r="B34" s="65" t="n">
        <v>32675700</v>
      </c>
      <c r="C34" s="66" t="s">
        <v>163</v>
      </c>
      <c r="D34" s="66" t="s">
        <v>148</v>
      </c>
      <c r="E34" s="66" t="s">
        <v>13</v>
      </c>
      <c r="F34" s="67" t="n">
        <f aca="false">IF(B34="","",IF(COUNTIF(取込チェック!$C$6:$C$505,B34)&gt;0,1,0))</f>
        <v>1</v>
      </c>
      <c r="G34" s="68" t="n">
        <f aca="false">IF(B34="","",SUMIF(取込チェック!$C$6:$C$505,B34,取込チェック!$D$6:$D$505))</f>
        <v>1267300</v>
      </c>
      <c r="H34" s="68" t="n">
        <f aca="false">IF(B34="","",SUMIF(取込チェック!$C$6:$C$505,B34,取込チェック!$E$6:$E$505))</f>
        <v>1260000</v>
      </c>
      <c r="I34" s="68" t="n">
        <f aca="false">IF(B34="","",SUMIF(取込チェック!$C$6:$C$505,B34,取込チェック!$F$6:$F$505))</f>
        <v>910300</v>
      </c>
      <c r="J34" s="69" t="n">
        <f aca="false">IF(F34&lt;&gt;1,"",IF(H34=0,"-",G34/H34))</f>
        <v>1.00579365079365</v>
      </c>
      <c r="K34" s="67" t="n">
        <f aca="false">IF(F34&lt;&gt;1,"",COUNTIFS($E$5:$E$304,E34,$F$5:$F$304,1,$B$5:$B$304,"&lt;"&amp;B34)+1)</f>
        <v>19</v>
      </c>
      <c r="L34" s="67" t="str">
        <f aca="false">IF(K34="","",E34&amp;"|"&amp;K34)</f>
        <v>スタジオピッコーネ／ピッコーネクラブ|19</v>
      </c>
      <c r="M34" s="67" t="n">
        <f aca="false">IF(F34&lt;&gt;1,"",IF(COUNTIFS($C$5:C34,C34,$F$5:F34,1)=1,1,0))</f>
        <v>1</v>
      </c>
      <c r="N34" s="67" t="n">
        <f aca="false">IF(M34&lt;&gt;1,"",_xlfn.MINIFS($B$5:$B$304,$C$5:$C$304,C34,$F$5:$F$304,1))</f>
        <v>32675700</v>
      </c>
      <c r="O34" s="67" t="n">
        <f aca="false">IF(M34&lt;&gt;1,"",COUNTIFS($M$5:$M$304,1,$N$5:$N$304,"&lt;"&amp;N34)+1)</f>
        <v>33</v>
      </c>
      <c r="P34" s="68" t="n">
        <f aca="false">IF(OR(B34="",取込チェック!$K$3=0),"",SUMIF(取込チェック!$K$6:$K$505,B34,取込チェック!$L$6:$L$505))</f>
        <v>832100</v>
      </c>
      <c r="Q34" s="68" t="n">
        <f aca="false">IF(OR(B34="",取込チェック!$K$3=0),"",SUMIF(取込チェック!$K$6:$K$505,B34,取込チェック!$M$6:$M$505))</f>
        <v>724100</v>
      </c>
      <c r="R34" s="68" t="n">
        <f aca="false">IF(P34="","",G34-P34)</f>
        <v>435200</v>
      </c>
      <c r="S34" s="68" t="n">
        <f aca="false">IF(Q34="","",I34-Q34)</f>
        <v>186200</v>
      </c>
    </row>
    <row r="35" customFormat="false" ht="15" hidden="false" customHeight="false" outlineLevel="0" collapsed="false">
      <c r="A35" s="64" t="n">
        <f aca="false">IF(B35="","",ROW()-4)</f>
        <v>31</v>
      </c>
      <c r="B35" s="65" t="n">
        <v>32675800</v>
      </c>
      <c r="C35" s="66" t="s">
        <v>164</v>
      </c>
      <c r="D35" s="66" t="s">
        <v>148</v>
      </c>
      <c r="E35" s="66" t="s">
        <v>13</v>
      </c>
      <c r="F35" s="67" t="n">
        <f aca="false">IF(B35="","",IF(COUNTIF(取込チェック!$C$6:$C$505,B35)&gt;0,1,0))</f>
        <v>1</v>
      </c>
      <c r="G35" s="68" t="n">
        <f aca="false">IF(B35="","",SUMIF(取込チェック!$C$6:$C$505,B35,取込チェック!$D$6:$D$505))</f>
        <v>1418275</v>
      </c>
      <c r="H35" s="68" t="n">
        <f aca="false">IF(B35="","",SUMIF(取込チェック!$C$6:$C$505,B35,取込チェック!$E$6:$E$505))</f>
        <v>2500000</v>
      </c>
      <c r="I35" s="68" t="n">
        <f aca="false">IF(B35="","",SUMIF(取込チェック!$C$6:$C$505,B35,取込チェック!$F$6:$F$505))</f>
        <v>2424400</v>
      </c>
      <c r="J35" s="69" t="n">
        <f aca="false">IF(F35&lt;&gt;1,"",IF(H35=0,"-",G35/H35))</f>
        <v>0.56731</v>
      </c>
      <c r="K35" s="67" t="n">
        <f aca="false">IF(F35&lt;&gt;1,"",COUNTIFS($E$5:$E$304,E35,$F$5:$F$304,1,$B$5:$B$304,"&lt;"&amp;B35)+1)</f>
        <v>20</v>
      </c>
      <c r="L35" s="67" t="str">
        <f aca="false">IF(K35="","",E35&amp;"|"&amp;K35)</f>
        <v>スタジオピッコーネ／ピッコーネクラブ|20</v>
      </c>
      <c r="M35" s="67" t="n">
        <f aca="false">IF(F35&lt;&gt;1,"",IF(COUNTIFS($C$5:C35,C35,$F$5:F35,1)=1,1,0))</f>
        <v>1</v>
      </c>
      <c r="N35" s="67" t="n">
        <f aca="false">IF(M35&lt;&gt;1,"",_xlfn.MINIFS($B$5:$B$304,$C$5:$C$304,C35,$F$5:$F$304,1))</f>
        <v>32675800</v>
      </c>
      <c r="O35" s="67" t="n">
        <f aca="false">IF(M35&lt;&gt;1,"",COUNTIFS($M$5:$M$304,1,$N$5:$N$304,"&lt;"&amp;N35)+1)</f>
        <v>34</v>
      </c>
      <c r="P35" s="68" t="n">
        <f aca="false">IF(OR(B35="",取込チェック!$K$3=0),"",SUMIF(取込チェック!$K$6:$K$505,B35,取込チェック!$L$6:$L$505))</f>
        <v>1380275</v>
      </c>
      <c r="Q35" s="68" t="n">
        <f aca="false">IF(OR(B35="",取込チェック!$K$3=0),"",SUMIF(取込チェック!$K$6:$K$505,B35,取込チェック!$M$6:$M$505))</f>
        <v>2326900</v>
      </c>
      <c r="R35" s="68" t="n">
        <f aca="false">IF(P35="","",G35-P35)</f>
        <v>38000</v>
      </c>
      <c r="S35" s="68" t="n">
        <f aca="false">IF(Q35="","",I35-Q35)</f>
        <v>97500</v>
      </c>
    </row>
    <row r="36" customFormat="false" ht="15" hidden="false" customHeight="false" outlineLevel="0" collapsed="false">
      <c r="A36" s="64" t="n">
        <f aca="false">IF(B36="","",ROW()-4)</f>
        <v>32</v>
      </c>
      <c r="B36" s="65" t="n">
        <v>32676200</v>
      </c>
      <c r="C36" s="66" t="s">
        <v>165</v>
      </c>
      <c r="D36" s="66" t="s">
        <v>148</v>
      </c>
      <c r="E36" s="66" t="s">
        <v>13</v>
      </c>
      <c r="F36" s="67" t="n">
        <f aca="false">IF(B36="","",IF(COUNTIF(取込チェック!$C$6:$C$505,B36)&gt;0,1,0))</f>
        <v>1</v>
      </c>
      <c r="G36" s="68" t="n">
        <f aca="false">IF(B36="","",SUMIF(取込チェック!$C$6:$C$505,B36,取込チェック!$D$6:$D$505))</f>
        <v>1843700</v>
      </c>
      <c r="H36" s="68" t="n">
        <f aca="false">IF(B36="","",SUMIF(取込チェック!$C$6:$C$505,B36,取込チェック!$E$6:$E$505))</f>
        <v>1450000</v>
      </c>
      <c r="I36" s="68" t="n">
        <f aca="false">IF(B36="","",SUMIF(取込チェック!$C$6:$C$505,B36,取込チェック!$F$6:$F$505))</f>
        <v>1179400</v>
      </c>
      <c r="J36" s="69" t="n">
        <f aca="false">IF(F36&lt;&gt;1,"",IF(H36=0,"-",G36/H36))</f>
        <v>1.27151724137931</v>
      </c>
      <c r="K36" s="67" t="n">
        <f aca="false">IF(F36&lt;&gt;1,"",COUNTIFS($E$5:$E$304,E36,$F$5:$F$304,1,$B$5:$B$304,"&lt;"&amp;B36)+1)</f>
        <v>21</v>
      </c>
      <c r="L36" s="67" t="str">
        <f aca="false">IF(K36="","",E36&amp;"|"&amp;K36)</f>
        <v>スタジオピッコーネ／ピッコーネクラブ|21</v>
      </c>
      <c r="M36" s="67" t="n">
        <f aca="false">IF(F36&lt;&gt;1,"",IF(COUNTIFS($C$5:C36,C36,$F$5:F36,1)=1,1,0))</f>
        <v>1</v>
      </c>
      <c r="N36" s="67" t="n">
        <f aca="false">IF(M36&lt;&gt;1,"",_xlfn.MINIFS($B$5:$B$304,$C$5:$C$304,C36,$F$5:$F$304,1))</f>
        <v>32676200</v>
      </c>
      <c r="O36" s="67" t="n">
        <f aca="false">IF(M36&lt;&gt;1,"",COUNTIFS($M$5:$M$304,1,$N$5:$N$304,"&lt;"&amp;N36)+1)</f>
        <v>35</v>
      </c>
      <c r="P36" s="68" t="n">
        <f aca="false">IF(OR(B36="",取込チェック!$K$3=0),"",SUMIF(取込チェック!$K$6:$K$505,B36,取込チェック!$L$6:$L$505))</f>
        <v>1540400</v>
      </c>
      <c r="Q36" s="68" t="n">
        <f aca="false">IF(OR(B36="",取込チェック!$K$3=0),"",SUMIF(取込チェック!$K$6:$K$505,B36,取込チェック!$M$6:$M$505))</f>
        <v>988000</v>
      </c>
      <c r="R36" s="68" t="n">
        <f aca="false">IF(P36="","",G36-P36)</f>
        <v>303300</v>
      </c>
      <c r="S36" s="68" t="n">
        <f aca="false">IF(Q36="","",I36-Q36)</f>
        <v>191400</v>
      </c>
    </row>
    <row r="37" customFormat="false" ht="15" hidden="false" customHeight="false" outlineLevel="0" collapsed="false">
      <c r="A37" s="64" t="n">
        <f aca="false">IF(B37="","",ROW()-4)</f>
        <v>33</v>
      </c>
      <c r="B37" s="65" t="n">
        <v>32676300</v>
      </c>
      <c r="C37" s="66" t="s">
        <v>140</v>
      </c>
      <c r="D37" s="66" t="s">
        <v>148</v>
      </c>
      <c r="E37" s="66" t="s">
        <v>13</v>
      </c>
      <c r="F37" s="67" t="n">
        <f aca="false">IF(B37="","",IF(COUNTIF(取込チェック!$C$6:$C$505,B37)&gt;0,1,0))</f>
        <v>1</v>
      </c>
      <c r="G37" s="68" t="n">
        <f aca="false">IF(B37="","",SUMIF(取込チェック!$C$6:$C$505,B37,取込チェック!$D$6:$D$505))</f>
        <v>3285560</v>
      </c>
      <c r="H37" s="68" t="n">
        <f aca="false">IF(B37="","",SUMIF(取込チェック!$C$6:$C$505,B37,取込チェック!$E$6:$E$505))</f>
        <v>2600000</v>
      </c>
      <c r="I37" s="68" t="n">
        <f aca="false">IF(B37="","",SUMIF(取込チェック!$C$6:$C$505,B37,取込チェック!$F$6:$F$505))</f>
        <v>2608290</v>
      </c>
      <c r="J37" s="69" t="n">
        <f aca="false">IF(F37&lt;&gt;1,"",IF(H37=0,"-",G37/H37))</f>
        <v>1.26367692307692</v>
      </c>
      <c r="K37" s="67" t="n">
        <f aca="false">IF(F37&lt;&gt;1,"",COUNTIFS($E$5:$E$304,E37,$F$5:$F$304,1,$B$5:$B$304,"&lt;"&amp;B37)+1)</f>
        <v>22</v>
      </c>
      <c r="L37" s="67" t="str">
        <f aca="false">IF(K37="","",E37&amp;"|"&amp;K37)</f>
        <v>スタジオピッコーネ／ピッコーネクラブ|22</v>
      </c>
      <c r="M37" s="67" t="n">
        <f aca="false">IF(F37&lt;&gt;1,"",IF(COUNTIFS($C$5:C37,C37,$F$5:F37,1)=1,1,0))</f>
        <v>0</v>
      </c>
      <c r="N37" s="67" t="str">
        <f aca="false">IF(M37&lt;&gt;1,"",_xlfn.MINIFS($B$5:$B$304,$C$5:$C$304,C37,$F$5:$F$304,1))</f>
        <v/>
      </c>
      <c r="O37" s="67" t="str">
        <f aca="false">IF(M37&lt;&gt;1,"",COUNTIFS($M$5:$M$304,1,$N$5:$N$304,"&lt;"&amp;N37)+1)</f>
        <v/>
      </c>
      <c r="P37" s="68" t="n">
        <f aca="false">IF(OR(B37="",取込チェック!$K$3=0),"",SUMIF(取込チェック!$K$6:$K$505,B37,取込チェック!$L$6:$L$505))</f>
        <v>3285560</v>
      </c>
      <c r="Q37" s="68" t="n">
        <f aca="false">IF(OR(B37="",取込チェック!$K$3=0),"",SUMIF(取込チェック!$K$6:$K$505,B37,取込チェック!$M$6:$M$505))</f>
        <v>2162590</v>
      </c>
      <c r="R37" s="68" t="n">
        <f aca="false">IF(P37="","",G37-P37)</f>
        <v>0</v>
      </c>
      <c r="S37" s="68" t="n">
        <f aca="false">IF(Q37="","",I37-Q37)</f>
        <v>445700</v>
      </c>
    </row>
    <row r="38" customFormat="false" ht="15" hidden="false" customHeight="false" outlineLevel="0" collapsed="false">
      <c r="A38" s="64" t="n">
        <f aca="false">IF(B38="","",ROW()-4)</f>
        <v>34</v>
      </c>
      <c r="B38" s="65" t="n">
        <v>32676700</v>
      </c>
      <c r="C38" s="66" t="s">
        <v>166</v>
      </c>
      <c r="D38" s="66" t="s">
        <v>148</v>
      </c>
      <c r="E38" s="66" t="s">
        <v>13</v>
      </c>
      <c r="F38" s="67" t="n">
        <f aca="false">IF(B38="","",IF(COUNTIF(取込チェック!$C$6:$C$505,B38)&gt;0,1,0))</f>
        <v>1</v>
      </c>
      <c r="G38" s="68" t="n">
        <f aca="false">IF(B38="","",SUMIF(取込チェック!$C$6:$C$505,B38,取込チェック!$D$6:$D$505))</f>
        <v>627595</v>
      </c>
      <c r="H38" s="68" t="n">
        <f aca="false">IF(B38="","",SUMIF(取込チェック!$C$6:$C$505,B38,取込チェック!$E$6:$E$505))</f>
        <v>1800000</v>
      </c>
      <c r="I38" s="68" t="n">
        <f aca="false">IF(B38="","",SUMIF(取込チェック!$C$6:$C$505,B38,取込チェック!$F$6:$F$505))</f>
        <v>0</v>
      </c>
      <c r="J38" s="69" t="n">
        <f aca="false">IF(F38&lt;&gt;1,"",IF(H38=0,"-",G38/H38))</f>
        <v>0.348663888888889</v>
      </c>
      <c r="K38" s="67" t="n">
        <f aca="false">IF(F38&lt;&gt;1,"",COUNTIFS($E$5:$E$304,E38,$F$5:$F$304,1,$B$5:$B$304,"&lt;"&amp;B38)+1)</f>
        <v>23</v>
      </c>
      <c r="L38" s="67" t="str">
        <f aca="false">IF(K38="","",E38&amp;"|"&amp;K38)</f>
        <v>スタジオピッコーネ／ピッコーネクラブ|23</v>
      </c>
      <c r="M38" s="67" t="n">
        <f aca="false">IF(F38&lt;&gt;1,"",IF(COUNTIFS($C$5:C38,C38,$F$5:F38,1)=1,1,0))</f>
        <v>1</v>
      </c>
      <c r="N38" s="67" t="n">
        <f aca="false">IF(M38&lt;&gt;1,"",_xlfn.MINIFS($B$5:$B$304,$C$5:$C$304,C38,$F$5:$F$304,1))</f>
        <v>32676700</v>
      </c>
      <c r="O38" s="67" t="n">
        <f aca="false">IF(M38&lt;&gt;1,"",COUNTIFS($M$5:$M$304,1,$N$5:$N$304,"&lt;"&amp;N38)+1)</f>
        <v>36</v>
      </c>
      <c r="P38" s="68" t="n">
        <f aca="false">IF(OR(B38="",取込チェック!$K$3=0),"",SUMIF(取込チェック!$K$6:$K$505,B38,取込チェック!$L$6:$L$505))</f>
        <v>449395</v>
      </c>
      <c r="Q38" s="68" t="n">
        <f aca="false">IF(OR(B38="",取込チェック!$K$3=0),"",SUMIF(取込チェック!$K$6:$K$505,B38,取込チェック!$M$6:$M$505))</f>
        <v>0</v>
      </c>
      <c r="R38" s="68" t="n">
        <f aca="false">IF(P38="","",G38-P38)</f>
        <v>178200</v>
      </c>
      <c r="S38" s="68" t="n">
        <f aca="false">IF(Q38="","",I38-Q38)</f>
        <v>0</v>
      </c>
    </row>
    <row r="39" customFormat="false" ht="15" hidden="false" customHeight="false" outlineLevel="0" collapsed="false">
      <c r="A39" s="64" t="n">
        <f aca="false">IF(B39="","",ROW()-4)</f>
        <v>35</v>
      </c>
      <c r="B39" s="65" t="n">
        <v>32580600</v>
      </c>
      <c r="C39" s="66" t="s">
        <v>167</v>
      </c>
      <c r="D39" s="66" t="s">
        <v>14</v>
      </c>
      <c r="E39" s="66" t="s">
        <v>14</v>
      </c>
      <c r="F39" s="67" t="n">
        <f aca="false">IF(B39="","",IF(COUNTIF(取込チェック!$C$6:$C$505,B39)&gt;0,1,0))</f>
        <v>1</v>
      </c>
      <c r="G39" s="68" t="n">
        <f aca="false">IF(B39="","",SUMIF(取込チェック!$C$6:$C$505,B39,取込チェック!$D$6:$D$505))</f>
        <v>3138950</v>
      </c>
      <c r="H39" s="68" t="n">
        <f aca="false">IF(B39="","",SUMIF(取込チェック!$C$6:$C$505,B39,取込チェック!$E$6:$E$505))</f>
        <v>2500000</v>
      </c>
      <c r="I39" s="68" t="n">
        <f aca="false">IF(B39="","",SUMIF(取込チェック!$C$6:$C$505,B39,取込チェック!$F$6:$F$505))</f>
        <v>2031171</v>
      </c>
      <c r="J39" s="69" t="n">
        <f aca="false">IF(F39&lt;&gt;1,"",IF(H39=0,"-",G39/H39))</f>
        <v>1.25558</v>
      </c>
      <c r="K39" s="67" t="n">
        <f aca="false">IF(F39&lt;&gt;1,"",COUNTIFS($E$5:$E$304,E39,$F$5:$F$304,1,$B$5:$B$304,"&lt;"&amp;B39)+1)</f>
        <v>1</v>
      </c>
      <c r="L39" s="67" t="str">
        <f aca="false">IF(K39="","",E39&amp;"|"&amp;K39)</f>
        <v>ピッコーネ|1</v>
      </c>
      <c r="M39" s="67" t="n">
        <f aca="false">IF(F39&lt;&gt;1,"",IF(COUNTIFS($C$5:C39,C39,$F$5:F39,1)=1,1,0))</f>
        <v>1</v>
      </c>
      <c r="N39" s="67" t="n">
        <f aca="false">IF(M39&lt;&gt;1,"",_xlfn.MINIFS($B$5:$B$304,$C$5:$C$304,C39,$F$5:$F$304,1))</f>
        <v>32580600</v>
      </c>
      <c r="O39" s="67" t="n">
        <f aca="false">IF(M39&lt;&gt;1,"",COUNTIFS($M$5:$M$304,1,$N$5:$N$304,"&lt;"&amp;N39)+1)</f>
        <v>15</v>
      </c>
      <c r="P39" s="68" t="n">
        <f aca="false">IF(OR(B39="",取込チェック!$K$3=0),"",SUMIF(取込チェック!$K$6:$K$505,B39,取込チェック!$L$6:$L$505))</f>
        <v>978750</v>
      </c>
      <c r="Q39" s="68" t="n">
        <f aca="false">IF(OR(B39="",取込チェック!$K$3=0),"",SUMIF(取込チェック!$K$6:$K$505,B39,取込チェック!$M$6:$M$505))</f>
        <v>1368371</v>
      </c>
      <c r="R39" s="68" t="n">
        <f aca="false">IF(P39="","",G39-P39)</f>
        <v>2160200</v>
      </c>
      <c r="S39" s="68" t="n">
        <f aca="false">IF(Q39="","",I39-Q39)</f>
        <v>662800</v>
      </c>
    </row>
    <row r="40" customFormat="false" ht="15" hidden="false" customHeight="false" outlineLevel="0" collapsed="false">
      <c r="A40" s="64" t="n">
        <f aca="false">IF(B40="","",ROW()-4)</f>
        <v>36</v>
      </c>
      <c r="B40" s="65" t="n">
        <v>32580700</v>
      </c>
      <c r="C40" s="66" t="s">
        <v>168</v>
      </c>
      <c r="D40" s="66" t="s">
        <v>14</v>
      </c>
      <c r="E40" s="66" t="s">
        <v>14</v>
      </c>
      <c r="F40" s="67" t="n">
        <f aca="false">IF(B40="","",IF(COUNTIF(取込チェック!$C$6:$C$505,B40)&gt;0,1,0))</f>
        <v>1</v>
      </c>
      <c r="G40" s="68" t="n">
        <f aca="false">IF(B40="","",SUMIF(取込チェック!$C$6:$C$505,B40,取込チェック!$D$6:$D$505))</f>
        <v>946100</v>
      </c>
      <c r="H40" s="68" t="n">
        <f aca="false">IF(B40="","",SUMIF(取込チェック!$C$6:$C$505,B40,取込チェック!$E$6:$E$505))</f>
        <v>1550000</v>
      </c>
      <c r="I40" s="68" t="n">
        <f aca="false">IF(B40="","",SUMIF(取込チェック!$C$6:$C$505,B40,取込チェック!$F$6:$F$505))</f>
        <v>1285696</v>
      </c>
      <c r="J40" s="69" t="n">
        <f aca="false">IF(F40&lt;&gt;1,"",IF(H40=0,"-",G40/H40))</f>
        <v>0.610387096774194</v>
      </c>
      <c r="K40" s="67" t="n">
        <f aca="false">IF(F40&lt;&gt;1,"",COUNTIFS($E$5:$E$304,E40,$F$5:$F$304,1,$B$5:$B$304,"&lt;"&amp;B40)+1)</f>
        <v>2</v>
      </c>
      <c r="L40" s="67" t="str">
        <f aca="false">IF(K40="","",E40&amp;"|"&amp;K40)</f>
        <v>ピッコーネ|2</v>
      </c>
      <c r="M40" s="67" t="n">
        <f aca="false">IF(F40&lt;&gt;1,"",IF(COUNTIFS($C$5:C40,C40,$F$5:F40,1)=1,1,0))</f>
        <v>1</v>
      </c>
      <c r="N40" s="67" t="n">
        <f aca="false">IF(M40&lt;&gt;1,"",_xlfn.MINIFS($B$5:$B$304,$C$5:$C$304,C40,$F$5:$F$304,1))</f>
        <v>32580700</v>
      </c>
      <c r="O40" s="67" t="n">
        <f aca="false">IF(M40&lt;&gt;1,"",COUNTIFS($M$5:$M$304,1,$N$5:$N$304,"&lt;"&amp;N40)+1)</f>
        <v>16</v>
      </c>
      <c r="P40" s="68" t="n">
        <f aca="false">IF(OR(B40="",取込チェック!$K$3=0),"",SUMIF(取込チェック!$K$6:$K$505,B40,取込チェック!$L$6:$L$505))</f>
        <v>621400</v>
      </c>
      <c r="Q40" s="68" t="n">
        <f aca="false">IF(OR(B40="",取込チェック!$K$3=0),"",SUMIF(取込チェック!$K$6:$K$505,B40,取込チェック!$M$6:$M$505))</f>
        <v>785950</v>
      </c>
      <c r="R40" s="68" t="n">
        <f aca="false">IF(P40="","",G40-P40)</f>
        <v>324700</v>
      </c>
      <c r="S40" s="68" t="n">
        <f aca="false">IF(Q40="","",I40-Q40)</f>
        <v>499746</v>
      </c>
    </row>
    <row r="41" customFormat="false" ht="15" hidden="false" customHeight="false" outlineLevel="0" collapsed="false">
      <c r="A41" s="64" t="n">
        <f aca="false">IF(B41="","",ROW()-4)</f>
        <v>37</v>
      </c>
      <c r="B41" s="65" t="n">
        <v>32580900</v>
      </c>
      <c r="C41" s="66" t="s">
        <v>169</v>
      </c>
      <c r="D41" s="66" t="s">
        <v>14</v>
      </c>
      <c r="E41" s="66" t="s">
        <v>14</v>
      </c>
      <c r="F41" s="67" t="n">
        <f aca="false">IF(B41="","",IF(COUNTIF(取込チェック!$C$6:$C$505,B41)&gt;0,1,0))</f>
        <v>1</v>
      </c>
      <c r="G41" s="68" t="n">
        <f aca="false">IF(B41="","",SUMIF(取込チェック!$C$6:$C$505,B41,取込チェック!$D$6:$D$505))</f>
        <v>6773261</v>
      </c>
      <c r="H41" s="68" t="n">
        <f aca="false">IF(B41="","",SUMIF(取込チェック!$C$6:$C$505,B41,取込チェック!$E$6:$E$505))</f>
        <v>3500000</v>
      </c>
      <c r="I41" s="68" t="n">
        <f aca="false">IF(B41="","",SUMIF(取込チェック!$C$6:$C$505,B41,取込チェック!$F$6:$F$505))</f>
        <v>2378787</v>
      </c>
      <c r="J41" s="69" t="n">
        <f aca="false">IF(F41&lt;&gt;1,"",IF(H41=0,"-",G41/H41))</f>
        <v>1.93521742857143</v>
      </c>
      <c r="K41" s="67" t="n">
        <f aca="false">IF(F41&lt;&gt;1,"",COUNTIFS($E$5:$E$304,E41,$F$5:$F$304,1,$B$5:$B$304,"&lt;"&amp;B41)+1)</f>
        <v>3</v>
      </c>
      <c r="L41" s="67" t="str">
        <f aca="false">IF(K41="","",E41&amp;"|"&amp;K41)</f>
        <v>ピッコーネ|3</v>
      </c>
      <c r="M41" s="67" t="n">
        <f aca="false">IF(F41&lt;&gt;1,"",IF(COUNTIFS($C$5:C41,C41,$F$5:F41,1)=1,1,0))</f>
        <v>1</v>
      </c>
      <c r="N41" s="67" t="n">
        <f aca="false">IF(M41&lt;&gt;1,"",_xlfn.MINIFS($B$5:$B$304,$C$5:$C$304,C41,$F$5:$F$304,1))</f>
        <v>32580900</v>
      </c>
      <c r="O41" s="67" t="n">
        <f aca="false">IF(M41&lt;&gt;1,"",COUNTIFS($M$5:$M$304,1,$N$5:$N$304,"&lt;"&amp;N41)+1)</f>
        <v>17</v>
      </c>
      <c r="P41" s="68" t="n">
        <f aca="false">IF(OR(B41="",取込チェック!$K$3=0),"",SUMIF(取込チェック!$K$6:$K$505,B41,取込チェック!$L$6:$L$505))</f>
        <v>904121</v>
      </c>
      <c r="Q41" s="68" t="n">
        <f aca="false">IF(OR(B41="",取込チェック!$K$3=0),"",SUMIF(取込チェック!$K$6:$K$505,B41,取込チェック!$M$6:$M$505))</f>
        <v>1132287</v>
      </c>
      <c r="R41" s="68" t="n">
        <f aca="false">IF(P41="","",G41-P41)</f>
        <v>5869140</v>
      </c>
      <c r="S41" s="68" t="n">
        <f aca="false">IF(Q41="","",I41-Q41)</f>
        <v>1246500</v>
      </c>
    </row>
    <row r="42" customFormat="false" ht="15" hidden="false" customHeight="false" outlineLevel="0" collapsed="false">
      <c r="A42" s="64" t="n">
        <f aca="false">IF(B42="","",ROW()-4)</f>
        <v>38</v>
      </c>
      <c r="B42" s="65" t="n">
        <v>32675100</v>
      </c>
      <c r="C42" s="66" t="s">
        <v>170</v>
      </c>
      <c r="D42" s="66" t="s">
        <v>14</v>
      </c>
      <c r="E42" s="66" t="s">
        <v>14</v>
      </c>
      <c r="F42" s="67" t="n">
        <f aca="false">IF(B42="","",IF(COUNTIF(取込チェック!$C$6:$C$505,B42)&gt;0,1,0))</f>
        <v>1</v>
      </c>
      <c r="G42" s="68" t="n">
        <f aca="false">IF(B42="","",SUMIF(取込チェック!$C$6:$C$505,B42,取込チェック!$D$6:$D$505))</f>
        <v>3108900</v>
      </c>
      <c r="H42" s="68" t="n">
        <f aca="false">IF(B42="","",SUMIF(取込チェック!$C$6:$C$505,B42,取込チェック!$E$6:$E$505))</f>
        <v>4800000</v>
      </c>
      <c r="I42" s="68" t="n">
        <f aca="false">IF(B42="","",SUMIF(取込チェック!$C$6:$C$505,B42,取込チェック!$F$6:$F$505))</f>
        <v>4852400</v>
      </c>
      <c r="J42" s="69" t="n">
        <f aca="false">IF(F42&lt;&gt;1,"",IF(H42=0,"-",G42/H42))</f>
        <v>0.6476875</v>
      </c>
      <c r="K42" s="67" t="n">
        <f aca="false">IF(F42&lt;&gt;1,"",COUNTIFS($E$5:$E$304,E42,$F$5:$F$304,1,$B$5:$B$304,"&lt;"&amp;B42)+1)</f>
        <v>4</v>
      </c>
      <c r="L42" s="67" t="str">
        <f aca="false">IF(K42="","",E42&amp;"|"&amp;K42)</f>
        <v>ピッコーネ|4</v>
      </c>
      <c r="M42" s="67" t="n">
        <f aca="false">IF(F42&lt;&gt;1,"",IF(COUNTIFS($C$5:C42,C42,$F$5:F42,1)=1,1,0))</f>
        <v>1</v>
      </c>
      <c r="N42" s="67" t="n">
        <f aca="false">IF(M42&lt;&gt;1,"",_xlfn.MINIFS($B$5:$B$304,$C$5:$C$304,C42,$F$5:$F$304,1))</f>
        <v>32675100</v>
      </c>
      <c r="O42" s="67" t="n">
        <f aca="false">IF(M42&lt;&gt;1,"",COUNTIFS($M$5:$M$304,1,$N$5:$N$304,"&lt;"&amp;N42)+1)</f>
        <v>30</v>
      </c>
      <c r="P42" s="68" t="n">
        <f aca="false">IF(OR(B42="",取込チェック!$K$3=0),"",SUMIF(取込チェック!$K$6:$K$505,B42,取込チェック!$L$6:$L$505))</f>
        <v>2879800</v>
      </c>
      <c r="Q42" s="68" t="n">
        <f aca="false">IF(OR(B42="",取込チェック!$K$3=0),"",SUMIF(取込チェック!$K$6:$K$505,B42,取込チェック!$M$6:$M$505))</f>
        <v>4498600</v>
      </c>
      <c r="R42" s="68" t="n">
        <f aca="false">IF(P42="","",G42-P42)</f>
        <v>229100</v>
      </c>
      <c r="S42" s="68" t="n">
        <f aca="false">IF(Q42="","",I42-Q42)</f>
        <v>353800</v>
      </c>
    </row>
    <row r="43" customFormat="false" ht="15" hidden="false" customHeight="false" outlineLevel="0" collapsed="false">
      <c r="A43" s="64" t="n">
        <f aca="false">IF(B43="","",ROW()-4)</f>
        <v>39</v>
      </c>
      <c r="B43" s="65" t="n">
        <v>32675300</v>
      </c>
      <c r="C43" s="66" t="s">
        <v>171</v>
      </c>
      <c r="D43" s="66" t="s">
        <v>14</v>
      </c>
      <c r="E43" s="66" t="s">
        <v>14</v>
      </c>
      <c r="F43" s="67" t="n">
        <f aca="false">IF(B43="","",IF(COUNTIF(取込チェック!$C$6:$C$505,B43)&gt;0,1,0))</f>
        <v>1</v>
      </c>
      <c r="G43" s="68" t="n">
        <f aca="false">IF(B43="","",SUMIF(取込チェック!$C$6:$C$505,B43,取込チェック!$D$6:$D$505))</f>
        <v>2224545</v>
      </c>
      <c r="H43" s="68" t="n">
        <f aca="false">IF(B43="","",SUMIF(取込チェック!$C$6:$C$505,B43,取込チェック!$E$6:$E$505))</f>
        <v>3200000</v>
      </c>
      <c r="I43" s="68" t="n">
        <f aca="false">IF(B43="","",SUMIF(取込チェック!$C$6:$C$505,B43,取込チェック!$F$6:$F$505))</f>
        <v>3080805</v>
      </c>
      <c r="J43" s="69" t="n">
        <f aca="false">IF(F43&lt;&gt;1,"",IF(H43=0,"-",G43/H43))</f>
        <v>0.6951703125</v>
      </c>
      <c r="K43" s="67" t="n">
        <f aca="false">IF(F43&lt;&gt;1,"",COUNTIFS($E$5:$E$304,E43,$F$5:$F$304,1,$B$5:$B$304,"&lt;"&amp;B43)+1)</f>
        <v>5</v>
      </c>
      <c r="L43" s="67" t="str">
        <f aca="false">IF(K43="","",E43&amp;"|"&amp;K43)</f>
        <v>ピッコーネ|5</v>
      </c>
      <c r="M43" s="67" t="n">
        <f aca="false">IF(F43&lt;&gt;1,"",IF(COUNTIFS($C$5:C43,C43,$F$5:F43,1)=1,1,0))</f>
        <v>1</v>
      </c>
      <c r="N43" s="67" t="n">
        <f aca="false">IF(M43&lt;&gt;1,"",_xlfn.MINIFS($B$5:$B$304,$C$5:$C$304,C43,$F$5:$F$304,1))</f>
        <v>32675300</v>
      </c>
      <c r="O43" s="67" t="n">
        <f aca="false">IF(M43&lt;&gt;1,"",COUNTIFS($M$5:$M$304,1,$N$5:$N$304,"&lt;"&amp;N43)+1)</f>
        <v>31</v>
      </c>
      <c r="P43" s="68" t="n">
        <f aca="false">IF(OR(B43="",取込チェック!$K$3=0),"",SUMIF(取込チェック!$K$6:$K$505,B43,取込チェック!$L$6:$L$505))</f>
        <v>2102845</v>
      </c>
      <c r="Q43" s="68" t="n">
        <f aca="false">IF(OR(B43="",取込チェック!$K$3=0),"",SUMIF(取込チェック!$K$6:$K$505,B43,取込チェック!$M$6:$M$505))</f>
        <v>2919305</v>
      </c>
      <c r="R43" s="68" t="n">
        <f aca="false">IF(P43="","",G43-P43)</f>
        <v>121700</v>
      </c>
      <c r="S43" s="68" t="n">
        <f aca="false">IF(Q43="","",I43-Q43)</f>
        <v>161500</v>
      </c>
    </row>
    <row r="44" customFormat="false" ht="15" hidden="false" customHeight="false" outlineLevel="0" collapsed="false">
      <c r="A44" s="64" t="n">
        <f aca="false">IF(B44="","",ROW()-4)</f>
        <v>40</v>
      </c>
      <c r="B44" s="65" t="n">
        <v>32570700</v>
      </c>
      <c r="C44" s="66" t="s">
        <v>172</v>
      </c>
      <c r="D44" s="66" t="s">
        <v>173</v>
      </c>
      <c r="E44" s="66" t="s">
        <v>15</v>
      </c>
      <c r="F44" s="67" t="n">
        <f aca="false">IF(B44="","",IF(COUNTIF(取込チェック!$C$6:$C$505,B44)&gt;0,1,0))</f>
        <v>1</v>
      </c>
      <c r="G44" s="68" t="n">
        <f aca="false">IF(B44="","",SUMIF(取込チェック!$C$6:$C$505,B44,取込チェック!$D$6:$D$505))</f>
        <v>3113117</v>
      </c>
      <c r="H44" s="68" t="n">
        <f aca="false">IF(B44="","",SUMIF(取込チェック!$C$6:$C$505,B44,取込チェック!$E$6:$E$505))</f>
        <v>2820000</v>
      </c>
      <c r="I44" s="68" t="n">
        <f aca="false">IF(B44="","",SUMIF(取込チェック!$C$6:$C$505,B44,取込チェック!$F$6:$F$505))</f>
        <v>1836100</v>
      </c>
      <c r="J44" s="69" t="n">
        <f aca="false">IF(F44&lt;&gt;1,"",IF(H44=0,"-",G44/H44))</f>
        <v>1.10394219858156</v>
      </c>
      <c r="K44" s="67" t="n">
        <f aca="false">IF(F44&lt;&gt;1,"",COUNTIFS($E$5:$E$304,E44,$F$5:$F$304,1,$B$5:$B$304,"&lt;"&amp;B44)+1)</f>
        <v>1</v>
      </c>
      <c r="L44" s="67" t="str">
        <f aca="false">IF(K44="","",E44&amp;"|"&amp;K44)</f>
        <v>複合（アルチビオ＋ピッコーネ系）|1</v>
      </c>
      <c r="M44" s="67" t="n">
        <f aca="false">IF(F44&lt;&gt;1,"",IF(COUNTIFS($C$5:C44,C44,$F$5:F44,1)=1,1,0))</f>
        <v>1</v>
      </c>
      <c r="N44" s="67" t="n">
        <f aca="false">IF(M44&lt;&gt;1,"",_xlfn.MINIFS($B$5:$B$304,$C$5:$C$304,C44,$F$5:$F$304,1))</f>
        <v>32570700</v>
      </c>
      <c r="O44" s="67" t="n">
        <f aca="false">IF(M44&lt;&gt;1,"",COUNTIFS($M$5:$M$304,1,$N$5:$N$304,"&lt;"&amp;N44)+1)</f>
        <v>2</v>
      </c>
      <c r="P44" s="68" t="n">
        <f aca="false">IF(OR(B44="",取込チェック!$K$3=0),"",SUMIF(取込チェック!$K$6:$K$505,B44,取込チェック!$L$6:$L$505))</f>
        <v>2262257</v>
      </c>
      <c r="Q44" s="68" t="n">
        <f aca="false">IF(OR(B44="",取込チェック!$K$3=0),"",SUMIF(取込チェック!$K$6:$K$505,B44,取込チェック!$M$6:$M$505))</f>
        <v>1460300</v>
      </c>
      <c r="R44" s="68" t="n">
        <f aca="false">IF(P44="","",G44-P44)</f>
        <v>850860</v>
      </c>
      <c r="S44" s="68" t="n">
        <f aca="false">IF(Q44="","",I44-Q44)</f>
        <v>375800</v>
      </c>
    </row>
    <row r="45" customFormat="false" ht="15" hidden="false" customHeight="false" outlineLevel="0" collapsed="false">
      <c r="A45" s="64" t="n">
        <f aca="false">IF(B45="","",ROW()-4)</f>
        <v>41</v>
      </c>
      <c r="B45" s="65" t="n">
        <v>32570800</v>
      </c>
      <c r="C45" s="66" t="s">
        <v>174</v>
      </c>
      <c r="D45" s="66" t="s">
        <v>175</v>
      </c>
      <c r="E45" s="66" t="s">
        <v>15</v>
      </c>
      <c r="F45" s="67" t="n">
        <f aca="false">IF(B45="","",IF(COUNTIF(取込チェック!$C$6:$C$505,B45)&gt;0,1,0))</f>
        <v>1</v>
      </c>
      <c r="G45" s="68" t="n">
        <f aca="false">IF(B45="","",SUMIF(取込チェック!$C$6:$C$505,B45,取込チェック!$D$6:$D$505))</f>
        <v>2791782</v>
      </c>
      <c r="H45" s="68" t="n">
        <f aca="false">IF(B45="","",SUMIF(取込チェック!$C$6:$C$505,B45,取込チェック!$E$6:$E$505))</f>
        <v>2782000</v>
      </c>
      <c r="I45" s="68" t="n">
        <f aca="false">IF(B45="","",SUMIF(取込チェック!$C$6:$C$505,B45,取込チェック!$F$6:$F$505))</f>
        <v>2122155</v>
      </c>
      <c r="J45" s="69" t="n">
        <f aca="false">IF(F45&lt;&gt;1,"",IF(H45=0,"-",G45/H45))</f>
        <v>1.00351617541337</v>
      </c>
      <c r="K45" s="67" t="n">
        <f aca="false">IF(F45&lt;&gt;1,"",COUNTIFS($E$5:$E$304,E45,$F$5:$F$304,1,$B$5:$B$304,"&lt;"&amp;B45)+1)</f>
        <v>2</v>
      </c>
      <c r="L45" s="67" t="str">
        <f aca="false">IF(K45="","",E45&amp;"|"&amp;K45)</f>
        <v>複合（アルチビオ＋ピッコーネ系）|2</v>
      </c>
      <c r="M45" s="67" t="n">
        <f aca="false">IF(F45&lt;&gt;1,"",IF(COUNTIFS($C$5:C45,C45,$F$5:F45,1)=1,1,0))</f>
        <v>1</v>
      </c>
      <c r="N45" s="67" t="n">
        <f aca="false">IF(M45&lt;&gt;1,"",_xlfn.MINIFS($B$5:$B$304,$C$5:$C$304,C45,$F$5:$F$304,1))</f>
        <v>32570800</v>
      </c>
      <c r="O45" s="67" t="n">
        <f aca="false">IF(M45&lt;&gt;1,"",COUNTIFS($M$5:$M$304,1,$N$5:$N$304,"&lt;"&amp;N45)+1)</f>
        <v>3</v>
      </c>
      <c r="P45" s="68" t="n">
        <f aca="false">IF(OR(B45="",取込チェック!$K$3=0),"",SUMIF(取込チェック!$K$6:$K$505,B45,取込チェック!$L$6:$L$505))</f>
        <v>1985522</v>
      </c>
      <c r="Q45" s="68" t="n">
        <f aca="false">IF(OR(B45="",取込チェック!$K$3=0),"",SUMIF(取込チェック!$K$6:$K$505,B45,取込チェック!$M$6:$M$505))</f>
        <v>1409475</v>
      </c>
      <c r="R45" s="68" t="n">
        <f aca="false">IF(P45="","",G45-P45)</f>
        <v>806260</v>
      </c>
      <c r="S45" s="68" t="n">
        <f aca="false">IF(Q45="","",I45-Q45)</f>
        <v>712680</v>
      </c>
    </row>
    <row r="46" customFormat="false" ht="15" hidden="false" customHeight="false" outlineLevel="0" collapsed="false">
      <c r="A46" s="64" t="n">
        <f aca="false">IF(B46="","",ROW()-4)</f>
        <v>42</v>
      </c>
      <c r="B46" s="65" t="n">
        <v>32572200</v>
      </c>
      <c r="C46" s="66" t="s">
        <v>176</v>
      </c>
      <c r="D46" s="66" t="s">
        <v>175</v>
      </c>
      <c r="E46" s="66" t="s">
        <v>15</v>
      </c>
      <c r="F46" s="67" t="n">
        <f aca="false">IF(B46="","",IF(COUNTIF(取込チェック!$C$6:$C$505,B46)&gt;0,1,0))</f>
        <v>1</v>
      </c>
      <c r="G46" s="68" t="n">
        <f aca="false">IF(B46="","",SUMIF(取込チェック!$C$6:$C$505,B46,取込チェック!$D$6:$D$505))</f>
        <v>3842428</v>
      </c>
      <c r="H46" s="68" t="n">
        <f aca="false">IF(B46="","",SUMIF(取込チェック!$C$6:$C$505,B46,取込チェック!$E$6:$E$505))</f>
        <v>6627000</v>
      </c>
      <c r="I46" s="68" t="n">
        <f aca="false">IF(B46="","",SUMIF(取込チェック!$C$6:$C$505,B46,取込チェック!$F$6:$F$505))</f>
        <v>6146895</v>
      </c>
      <c r="J46" s="69" t="n">
        <f aca="false">IF(F46&lt;&gt;1,"",IF(H46=0,"-",G46/H46))</f>
        <v>0.579814093858458</v>
      </c>
      <c r="K46" s="67" t="n">
        <f aca="false">IF(F46&lt;&gt;1,"",COUNTIFS($E$5:$E$304,E46,$F$5:$F$304,1,$B$5:$B$304,"&lt;"&amp;B46)+1)</f>
        <v>3</v>
      </c>
      <c r="L46" s="67" t="str">
        <f aca="false">IF(K46="","",E46&amp;"|"&amp;K46)</f>
        <v>複合（アルチビオ＋ピッコーネ系）|3</v>
      </c>
      <c r="M46" s="67" t="n">
        <f aca="false">IF(F46&lt;&gt;1,"",IF(COUNTIFS($C$5:C46,C46,$F$5:F46,1)=1,1,0))</f>
        <v>1</v>
      </c>
      <c r="N46" s="67" t="n">
        <f aca="false">IF(M46&lt;&gt;1,"",_xlfn.MINIFS($B$5:$B$304,$C$5:$C$304,C46,$F$5:$F$304,1))</f>
        <v>32572200</v>
      </c>
      <c r="O46" s="67" t="n">
        <f aca="false">IF(M46&lt;&gt;1,"",COUNTIFS($M$5:$M$304,1,$N$5:$N$304,"&lt;"&amp;N46)+1)</f>
        <v>5</v>
      </c>
      <c r="P46" s="68" t="n">
        <f aca="false">IF(OR(B46="",取込チェック!$K$3=0),"",SUMIF(取込チェック!$K$6:$K$505,B46,取込チェック!$L$6:$L$505))</f>
        <v>2779498</v>
      </c>
      <c r="Q46" s="68" t="n">
        <f aca="false">IF(OR(B46="",取込チェック!$K$3=0),"",SUMIF(取込チェック!$K$6:$K$505,B46,取込チェック!$M$6:$M$505))</f>
        <v>5135835</v>
      </c>
      <c r="R46" s="68" t="n">
        <f aca="false">IF(P46="","",G46-P46)</f>
        <v>1062930</v>
      </c>
      <c r="S46" s="68" t="n">
        <f aca="false">IF(Q46="","",I46-Q46)</f>
        <v>1011060</v>
      </c>
    </row>
    <row r="47" customFormat="false" ht="15" hidden="false" customHeight="false" outlineLevel="0" collapsed="false">
      <c r="A47" s="64" t="n">
        <f aca="false">IF(B47="","",ROW()-4)</f>
        <v>43</v>
      </c>
      <c r="B47" s="65" t="n">
        <v>32573300</v>
      </c>
      <c r="C47" s="66" t="s">
        <v>150</v>
      </c>
      <c r="D47" s="66" t="s">
        <v>177</v>
      </c>
      <c r="E47" s="66" t="s">
        <v>15</v>
      </c>
      <c r="F47" s="67" t="n">
        <f aca="false">IF(B47="","",IF(COUNTIF(取込チェック!$C$6:$C$505,B47)&gt;0,1,0))</f>
        <v>1</v>
      </c>
      <c r="G47" s="68" t="n">
        <f aca="false">IF(B47="","",SUMIF(取込チェック!$C$6:$C$505,B47,取込チェック!$D$6:$D$505))</f>
        <v>1647880</v>
      </c>
      <c r="H47" s="68" t="n">
        <f aca="false">IF(B47="","",SUMIF(取込チェック!$C$6:$C$505,B47,取込チェック!$E$6:$E$505))</f>
        <v>2207000</v>
      </c>
      <c r="I47" s="68" t="n">
        <f aca="false">IF(B47="","",SUMIF(取込チェック!$C$6:$C$505,B47,取込チェック!$F$6:$F$505))</f>
        <v>1610900</v>
      </c>
      <c r="J47" s="69" t="n">
        <f aca="false">IF(F47&lt;&gt;1,"",IF(H47=0,"-",G47/H47))</f>
        <v>0.74666062528319</v>
      </c>
      <c r="K47" s="67" t="n">
        <f aca="false">IF(F47&lt;&gt;1,"",COUNTIFS($E$5:$E$304,E47,$F$5:$F$304,1,$B$5:$B$304,"&lt;"&amp;B47)+1)</f>
        <v>4</v>
      </c>
      <c r="L47" s="67" t="str">
        <f aca="false">IF(K47="","",E47&amp;"|"&amp;K47)</f>
        <v>複合（アルチビオ＋ピッコーネ系）|4</v>
      </c>
      <c r="M47" s="67" t="n">
        <f aca="false">IF(F47&lt;&gt;1,"",IF(COUNTIFS($C$5:C47,C47,$F$5:F47,1)=1,1,0))</f>
        <v>0</v>
      </c>
      <c r="N47" s="67" t="str">
        <f aca="false">IF(M47&lt;&gt;1,"",_xlfn.MINIFS($B$5:$B$304,$C$5:$C$304,C47,$F$5:$F$304,1))</f>
        <v/>
      </c>
      <c r="O47" s="67" t="str">
        <f aca="false">IF(M47&lt;&gt;1,"",COUNTIFS($M$5:$M$304,1,$N$5:$N$304,"&lt;"&amp;N47)+1)</f>
        <v/>
      </c>
      <c r="P47" s="68" t="n">
        <f aca="false">IF(OR(B47="",取込チェック!$K$3=0),"",SUMIF(取込チェック!$K$6:$K$505,B47,取込チェック!$L$6:$L$505))</f>
        <v>1159540</v>
      </c>
      <c r="Q47" s="68" t="n">
        <f aca="false">IF(OR(B47="",取込チェック!$K$3=0),"",SUMIF(取込チェック!$K$6:$K$505,B47,取込チェック!$M$6:$M$505))</f>
        <v>1399900</v>
      </c>
      <c r="R47" s="68" t="n">
        <f aca="false">IF(P47="","",G47-P47)</f>
        <v>488340</v>
      </c>
      <c r="S47" s="68" t="n">
        <f aca="false">IF(Q47="","",I47-Q47)</f>
        <v>211000</v>
      </c>
    </row>
    <row r="48" customFormat="false" ht="15" hidden="false" customHeight="false" outlineLevel="0" collapsed="false">
      <c r="A48" s="64" t="n">
        <f aca="false">IF(B48="","",ROW()-4)</f>
        <v>44</v>
      </c>
      <c r="B48" s="65" t="n">
        <v>32671500</v>
      </c>
      <c r="C48" s="66" t="s">
        <v>178</v>
      </c>
      <c r="D48" s="66" t="s">
        <v>179</v>
      </c>
      <c r="E48" s="66" t="s">
        <v>15</v>
      </c>
      <c r="F48" s="67" t="n">
        <f aca="false">IF(B48="","",IF(COUNTIF(取込チェック!$C$6:$C$505,B48)&gt;0,1,0))</f>
        <v>1</v>
      </c>
      <c r="G48" s="68" t="n">
        <f aca="false">IF(B48="","",SUMIF(取込チェック!$C$6:$C$505,B48,取込チェック!$D$6:$D$505))</f>
        <v>2572970</v>
      </c>
      <c r="H48" s="68" t="n">
        <f aca="false">IF(B48="","",SUMIF(取込チェック!$C$6:$C$505,B48,取込チェック!$E$6:$E$505))</f>
        <v>3404000</v>
      </c>
      <c r="I48" s="68" t="n">
        <f aca="false">IF(B48="","",SUMIF(取込チェック!$C$6:$C$505,B48,取込チェック!$F$6:$F$505))</f>
        <v>3225660</v>
      </c>
      <c r="J48" s="69" t="n">
        <f aca="false">IF(F48&lt;&gt;1,"",IF(H48=0,"-",G48/H48))</f>
        <v>0.755866627497062</v>
      </c>
      <c r="K48" s="67" t="n">
        <f aca="false">IF(F48&lt;&gt;1,"",COUNTIFS($E$5:$E$304,E48,$F$5:$F$304,1,$B$5:$B$304,"&lt;"&amp;B48)+1)</f>
        <v>5</v>
      </c>
      <c r="L48" s="67" t="str">
        <f aca="false">IF(K48="","",E48&amp;"|"&amp;K48)</f>
        <v>複合（アルチビオ＋ピッコーネ系）|5</v>
      </c>
      <c r="M48" s="67" t="n">
        <f aca="false">IF(F48&lt;&gt;1,"",IF(COUNTIFS($C$5:C48,C48,$F$5:F48,1)=1,1,0))</f>
        <v>1</v>
      </c>
      <c r="N48" s="67" t="n">
        <f aca="false">IF(M48&lt;&gt;1,"",_xlfn.MINIFS($B$5:$B$304,$C$5:$C$304,C48,$F$5:$F$304,1))</f>
        <v>32671500</v>
      </c>
      <c r="O48" s="67" t="n">
        <f aca="false">IF(M48&lt;&gt;1,"",COUNTIFS($M$5:$M$304,1,$N$5:$N$304,"&lt;"&amp;N48)+1)</f>
        <v>24</v>
      </c>
      <c r="P48" s="68" t="n">
        <f aca="false">IF(OR(B48="",取込チェック!$K$3=0),"",SUMIF(取込チェック!$K$6:$K$505,B48,取込チェック!$L$6:$L$505))</f>
        <v>1960000</v>
      </c>
      <c r="Q48" s="68" t="n">
        <f aca="false">IF(OR(B48="",取込チェック!$K$3=0),"",SUMIF(取込チェック!$K$6:$K$505,B48,取込チェック!$M$6:$M$505))</f>
        <v>2635200</v>
      </c>
      <c r="R48" s="68" t="n">
        <f aca="false">IF(P48="","",G48-P48)</f>
        <v>612970</v>
      </c>
      <c r="S48" s="68" t="n">
        <f aca="false">IF(Q48="","",I48-Q48)</f>
        <v>590460</v>
      </c>
    </row>
    <row r="49" customFormat="false" ht="15" hidden="false" customHeight="false" outlineLevel="0" collapsed="false">
      <c r="A49" s="64" t="str">
        <f aca="false">IF(B49="","",ROW()-4)</f>
        <v/>
      </c>
      <c r="B49" s="65"/>
      <c r="C49" s="65"/>
      <c r="D49" s="65"/>
      <c r="E49" s="66"/>
      <c r="F49" s="67" t="str">
        <f aca="false">IF(B49="","",IF(COUNTIF(取込チェック!$C$6:$C$505,B49)&gt;0,1,0))</f>
        <v/>
      </c>
      <c r="G49" s="68" t="str">
        <f aca="false">IF(B49="","",SUMIF(取込チェック!$C$6:$C$505,B49,取込チェック!$D$6:$D$505))</f>
        <v/>
      </c>
      <c r="H49" s="68" t="str">
        <f aca="false">IF(B49="","",SUMIF(取込チェック!$C$6:$C$505,B49,取込チェック!$E$6:$E$505))</f>
        <v/>
      </c>
      <c r="I49" s="68" t="str">
        <f aca="false">IF(B49="","",SUMIF(取込チェック!$C$6:$C$505,B49,取込チェック!$F$6:$F$505))</f>
        <v/>
      </c>
      <c r="J49" s="69" t="str">
        <f aca="false">IF(F49&lt;&gt;1,"",IF(H49=0,"-",G49/H49))</f>
        <v/>
      </c>
      <c r="K49" s="67" t="str">
        <f aca="false">IF(F49&lt;&gt;1,"",COUNTIFS($E$5:$E$304,E49,$F$5:$F$304,1,$B$5:$B$304,"&lt;"&amp;B49)+1)</f>
        <v/>
      </c>
      <c r="L49" s="67" t="str">
        <f aca="false">IF(K49="","",E49&amp;"|"&amp;K49)</f>
        <v/>
      </c>
      <c r="M49" s="67" t="str">
        <f aca="false">IF(F49&lt;&gt;1,"",IF(COUNTIFS($C$5:C49,C49,$F$5:F49,1)=1,1,0))</f>
        <v/>
      </c>
      <c r="N49" s="67" t="str">
        <f aca="false">IF(M49&lt;&gt;1,"",_xlfn.MINIFS($B$5:$B$304,$C$5:$C$304,C49,$F$5:$F$304,1))</f>
        <v/>
      </c>
      <c r="O49" s="67" t="str">
        <f aca="false">IF(M49&lt;&gt;1,"",COUNTIFS($M$5:$M$304,1,$N$5:$N$304,"&lt;"&amp;N49)+1)</f>
        <v/>
      </c>
      <c r="P49" s="68" t="str">
        <f aca="false">IF(OR(B49="",取込チェック!$K$3=0),"",SUMIF(取込チェック!$K$6:$K$505,B49,取込チェック!$L$6:$L$505))</f>
        <v/>
      </c>
      <c r="Q49" s="68" t="str">
        <f aca="false">IF(OR(B49="",取込チェック!$K$3=0),"",SUMIF(取込チェック!$K$6:$K$505,B49,取込チェック!$M$6:$M$505))</f>
        <v/>
      </c>
      <c r="R49" s="68" t="str">
        <f aca="false">IF(P49="","",G49-P49)</f>
        <v/>
      </c>
      <c r="S49" s="68" t="str">
        <f aca="false">IF(Q49="","",I49-Q49)</f>
        <v/>
      </c>
    </row>
    <row r="50" customFormat="false" ht="15" hidden="false" customHeight="false" outlineLevel="0" collapsed="false">
      <c r="A50" s="64" t="str">
        <f aca="false">IF(B50="","",ROW()-4)</f>
        <v/>
      </c>
      <c r="B50" s="65"/>
      <c r="C50" s="65"/>
      <c r="D50" s="65"/>
      <c r="E50" s="66"/>
      <c r="F50" s="67" t="str">
        <f aca="false">IF(B50="","",IF(COUNTIF(取込チェック!$C$6:$C$505,B50)&gt;0,1,0))</f>
        <v/>
      </c>
      <c r="G50" s="68" t="str">
        <f aca="false">IF(B50="","",SUMIF(取込チェック!$C$6:$C$505,B50,取込チェック!$D$6:$D$505))</f>
        <v/>
      </c>
      <c r="H50" s="68" t="str">
        <f aca="false">IF(B50="","",SUMIF(取込チェック!$C$6:$C$505,B50,取込チェック!$E$6:$E$505))</f>
        <v/>
      </c>
      <c r="I50" s="68" t="str">
        <f aca="false">IF(B50="","",SUMIF(取込チェック!$C$6:$C$505,B50,取込チェック!$F$6:$F$505))</f>
        <v/>
      </c>
      <c r="J50" s="69" t="str">
        <f aca="false">IF(F50&lt;&gt;1,"",IF(H50=0,"-",G50/H50))</f>
        <v/>
      </c>
      <c r="K50" s="67" t="str">
        <f aca="false">IF(F50&lt;&gt;1,"",COUNTIFS($E$5:$E$304,E50,$F$5:$F$304,1,$B$5:$B$304,"&lt;"&amp;B50)+1)</f>
        <v/>
      </c>
      <c r="L50" s="67" t="str">
        <f aca="false">IF(K50="","",E50&amp;"|"&amp;K50)</f>
        <v/>
      </c>
      <c r="M50" s="67" t="str">
        <f aca="false">IF(F50&lt;&gt;1,"",IF(COUNTIFS($C$5:C50,C50,$F$5:F50,1)=1,1,0))</f>
        <v/>
      </c>
      <c r="N50" s="67" t="str">
        <f aca="false">IF(M50&lt;&gt;1,"",_xlfn.MINIFS($B$5:$B$304,$C$5:$C$304,C50,$F$5:$F$304,1))</f>
        <v/>
      </c>
      <c r="O50" s="67" t="str">
        <f aca="false">IF(M50&lt;&gt;1,"",COUNTIFS($M$5:$M$304,1,$N$5:$N$304,"&lt;"&amp;N50)+1)</f>
        <v/>
      </c>
      <c r="P50" s="68" t="str">
        <f aca="false">IF(OR(B50="",取込チェック!$K$3=0),"",SUMIF(取込チェック!$K$6:$K$505,B50,取込チェック!$L$6:$L$505))</f>
        <v/>
      </c>
      <c r="Q50" s="68" t="str">
        <f aca="false">IF(OR(B50="",取込チェック!$K$3=0),"",SUMIF(取込チェック!$K$6:$K$505,B50,取込チェック!$M$6:$M$505))</f>
        <v/>
      </c>
      <c r="R50" s="68" t="str">
        <f aca="false">IF(P50="","",G50-P50)</f>
        <v/>
      </c>
      <c r="S50" s="68" t="str">
        <f aca="false">IF(Q50="","",I50-Q50)</f>
        <v/>
      </c>
    </row>
    <row r="51" customFormat="false" ht="15" hidden="false" customHeight="false" outlineLevel="0" collapsed="false">
      <c r="A51" s="64" t="str">
        <f aca="false">IF(B51="","",ROW()-4)</f>
        <v/>
      </c>
      <c r="B51" s="65"/>
      <c r="C51" s="65"/>
      <c r="D51" s="65"/>
      <c r="E51" s="66"/>
      <c r="F51" s="67" t="str">
        <f aca="false">IF(B51="","",IF(COUNTIF(取込チェック!$C$6:$C$505,B51)&gt;0,1,0))</f>
        <v/>
      </c>
      <c r="G51" s="68" t="str">
        <f aca="false">IF(B51="","",SUMIF(取込チェック!$C$6:$C$505,B51,取込チェック!$D$6:$D$505))</f>
        <v/>
      </c>
      <c r="H51" s="68" t="str">
        <f aca="false">IF(B51="","",SUMIF(取込チェック!$C$6:$C$505,B51,取込チェック!$E$6:$E$505))</f>
        <v/>
      </c>
      <c r="I51" s="68" t="str">
        <f aca="false">IF(B51="","",SUMIF(取込チェック!$C$6:$C$505,B51,取込チェック!$F$6:$F$505))</f>
        <v/>
      </c>
      <c r="J51" s="69" t="str">
        <f aca="false">IF(F51&lt;&gt;1,"",IF(H51=0,"-",G51/H51))</f>
        <v/>
      </c>
      <c r="K51" s="67" t="str">
        <f aca="false">IF(F51&lt;&gt;1,"",COUNTIFS($E$5:$E$304,E51,$F$5:$F$304,1,$B$5:$B$304,"&lt;"&amp;B51)+1)</f>
        <v/>
      </c>
      <c r="L51" s="67" t="str">
        <f aca="false">IF(K51="","",E51&amp;"|"&amp;K51)</f>
        <v/>
      </c>
      <c r="M51" s="67" t="str">
        <f aca="false">IF(F51&lt;&gt;1,"",IF(COUNTIFS($C$5:C51,C51,$F$5:F51,1)=1,1,0))</f>
        <v/>
      </c>
      <c r="N51" s="67" t="str">
        <f aca="false">IF(M51&lt;&gt;1,"",_xlfn.MINIFS($B$5:$B$304,$C$5:$C$304,C51,$F$5:$F$304,1))</f>
        <v/>
      </c>
      <c r="O51" s="67" t="str">
        <f aca="false">IF(M51&lt;&gt;1,"",COUNTIFS($M$5:$M$304,1,$N$5:$N$304,"&lt;"&amp;N51)+1)</f>
        <v/>
      </c>
      <c r="P51" s="68" t="str">
        <f aca="false">IF(OR(B51="",取込チェック!$K$3=0),"",SUMIF(取込チェック!$K$6:$K$505,B51,取込チェック!$L$6:$L$505))</f>
        <v/>
      </c>
      <c r="Q51" s="68" t="str">
        <f aca="false">IF(OR(B51="",取込チェック!$K$3=0),"",SUMIF(取込チェック!$K$6:$K$505,B51,取込チェック!$M$6:$M$505))</f>
        <v/>
      </c>
      <c r="R51" s="68" t="str">
        <f aca="false">IF(P51="","",G51-P51)</f>
        <v/>
      </c>
      <c r="S51" s="68" t="str">
        <f aca="false">IF(Q51="","",I51-Q51)</f>
        <v/>
      </c>
    </row>
    <row r="52" customFormat="false" ht="15" hidden="false" customHeight="false" outlineLevel="0" collapsed="false">
      <c r="A52" s="64" t="str">
        <f aca="false">IF(B52="","",ROW()-4)</f>
        <v/>
      </c>
      <c r="B52" s="65"/>
      <c r="C52" s="65"/>
      <c r="D52" s="65"/>
      <c r="E52" s="66"/>
      <c r="F52" s="67" t="str">
        <f aca="false">IF(B52="","",IF(COUNTIF(取込チェック!$C$6:$C$505,B52)&gt;0,1,0))</f>
        <v/>
      </c>
      <c r="G52" s="68" t="str">
        <f aca="false">IF(B52="","",SUMIF(取込チェック!$C$6:$C$505,B52,取込チェック!$D$6:$D$505))</f>
        <v/>
      </c>
      <c r="H52" s="68" t="str">
        <f aca="false">IF(B52="","",SUMIF(取込チェック!$C$6:$C$505,B52,取込チェック!$E$6:$E$505))</f>
        <v/>
      </c>
      <c r="I52" s="68" t="str">
        <f aca="false">IF(B52="","",SUMIF(取込チェック!$C$6:$C$505,B52,取込チェック!$F$6:$F$505))</f>
        <v/>
      </c>
      <c r="J52" s="69" t="str">
        <f aca="false">IF(F52&lt;&gt;1,"",IF(H52=0,"-",G52/H52))</f>
        <v/>
      </c>
      <c r="K52" s="67" t="str">
        <f aca="false">IF(F52&lt;&gt;1,"",COUNTIFS($E$5:$E$304,E52,$F$5:$F$304,1,$B$5:$B$304,"&lt;"&amp;B52)+1)</f>
        <v/>
      </c>
      <c r="L52" s="67" t="str">
        <f aca="false">IF(K52="","",E52&amp;"|"&amp;K52)</f>
        <v/>
      </c>
      <c r="M52" s="67" t="str">
        <f aca="false">IF(F52&lt;&gt;1,"",IF(COUNTIFS($C$5:C52,C52,$F$5:F52,1)=1,1,0))</f>
        <v/>
      </c>
      <c r="N52" s="67" t="str">
        <f aca="false">IF(M52&lt;&gt;1,"",_xlfn.MINIFS($B$5:$B$304,$C$5:$C$304,C52,$F$5:$F$304,1))</f>
        <v/>
      </c>
      <c r="O52" s="67" t="str">
        <f aca="false">IF(M52&lt;&gt;1,"",COUNTIFS($M$5:$M$304,1,$N$5:$N$304,"&lt;"&amp;N52)+1)</f>
        <v/>
      </c>
      <c r="P52" s="68" t="str">
        <f aca="false">IF(OR(B52="",取込チェック!$K$3=0),"",SUMIF(取込チェック!$K$6:$K$505,B52,取込チェック!$L$6:$L$505))</f>
        <v/>
      </c>
      <c r="Q52" s="68" t="str">
        <f aca="false">IF(OR(B52="",取込チェック!$K$3=0),"",SUMIF(取込チェック!$K$6:$K$505,B52,取込チェック!$M$6:$M$505))</f>
        <v/>
      </c>
      <c r="R52" s="68" t="str">
        <f aca="false">IF(P52="","",G52-P52)</f>
        <v/>
      </c>
      <c r="S52" s="68" t="str">
        <f aca="false">IF(Q52="","",I52-Q52)</f>
        <v/>
      </c>
    </row>
    <row r="53" customFormat="false" ht="15" hidden="false" customHeight="false" outlineLevel="0" collapsed="false">
      <c r="A53" s="64" t="str">
        <f aca="false">IF(B53="","",ROW()-4)</f>
        <v/>
      </c>
      <c r="B53" s="65"/>
      <c r="C53" s="65"/>
      <c r="D53" s="65"/>
      <c r="E53" s="66"/>
      <c r="F53" s="67" t="str">
        <f aca="false">IF(B53="","",IF(COUNTIF(取込チェック!$C$6:$C$505,B53)&gt;0,1,0))</f>
        <v/>
      </c>
      <c r="G53" s="68" t="str">
        <f aca="false">IF(B53="","",SUMIF(取込チェック!$C$6:$C$505,B53,取込チェック!$D$6:$D$505))</f>
        <v/>
      </c>
      <c r="H53" s="68" t="str">
        <f aca="false">IF(B53="","",SUMIF(取込チェック!$C$6:$C$505,B53,取込チェック!$E$6:$E$505))</f>
        <v/>
      </c>
      <c r="I53" s="68" t="str">
        <f aca="false">IF(B53="","",SUMIF(取込チェック!$C$6:$C$505,B53,取込チェック!$F$6:$F$505))</f>
        <v/>
      </c>
      <c r="J53" s="69" t="str">
        <f aca="false">IF(F53&lt;&gt;1,"",IF(H53=0,"-",G53/H53))</f>
        <v/>
      </c>
      <c r="K53" s="67" t="str">
        <f aca="false">IF(F53&lt;&gt;1,"",COUNTIFS($E$5:$E$304,E53,$F$5:$F$304,1,$B$5:$B$304,"&lt;"&amp;B53)+1)</f>
        <v/>
      </c>
      <c r="L53" s="67" t="str">
        <f aca="false">IF(K53="","",E53&amp;"|"&amp;K53)</f>
        <v/>
      </c>
      <c r="M53" s="67" t="str">
        <f aca="false">IF(F53&lt;&gt;1,"",IF(COUNTIFS($C$5:C53,C53,$F$5:F53,1)=1,1,0))</f>
        <v/>
      </c>
      <c r="N53" s="67" t="str">
        <f aca="false">IF(M53&lt;&gt;1,"",_xlfn.MINIFS($B$5:$B$304,$C$5:$C$304,C53,$F$5:$F$304,1))</f>
        <v/>
      </c>
      <c r="O53" s="67" t="str">
        <f aca="false">IF(M53&lt;&gt;1,"",COUNTIFS($M$5:$M$304,1,$N$5:$N$304,"&lt;"&amp;N53)+1)</f>
        <v/>
      </c>
      <c r="P53" s="68" t="str">
        <f aca="false">IF(OR(B53="",取込チェック!$K$3=0),"",SUMIF(取込チェック!$K$6:$K$505,B53,取込チェック!$L$6:$L$505))</f>
        <v/>
      </c>
      <c r="Q53" s="68" t="str">
        <f aca="false">IF(OR(B53="",取込チェック!$K$3=0),"",SUMIF(取込チェック!$K$6:$K$505,B53,取込チェック!$M$6:$M$505))</f>
        <v/>
      </c>
      <c r="R53" s="68" t="str">
        <f aca="false">IF(P53="","",G53-P53)</f>
        <v/>
      </c>
      <c r="S53" s="68" t="str">
        <f aca="false">IF(Q53="","",I53-Q53)</f>
        <v/>
      </c>
    </row>
    <row r="54" customFormat="false" ht="15" hidden="false" customHeight="false" outlineLevel="0" collapsed="false">
      <c r="A54" s="64" t="str">
        <f aca="false">IF(B54="","",ROW()-4)</f>
        <v/>
      </c>
      <c r="B54" s="65"/>
      <c r="C54" s="65"/>
      <c r="D54" s="65"/>
      <c r="E54" s="66"/>
      <c r="F54" s="67" t="str">
        <f aca="false">IF(B54="","",IF(COUNTIF(取込チェック!$C$6:$C$505,B54)&gt;0,1,0))</f>
        <v/>
      </c>
      <c r="G54" s="68" t="str">
        <f aca="false">IF(B54="","",SUMIF(取込チェック!$C$6:$C$505,B54,取込チェック!$D$6:$D$505))</f>
        <v/>
      </c>
      <c r="H54" s="68" t="str">
        <f aca="false">IF(B54="","",SUMIF(取込チェック!$C$6:$C$505,B54,取込チェック!$E$6:$E$505))</f>
        <v/>
      </c>
      <c r="I54" s="68" t="str">
        <f aca="false">IF(B54="","",SUMIF(取込チェック!$C$6:$C$505,B54,取込チェック!$F$6:$F$505))</f>
        <v/>
      </c>
      <c r="J54" s="69" t="str">
        <f aca="false">IF(F54&lt;&gt;1,"",IF(H54=0,"-",G54/H54))</f>
        <v/>
      </c>
      <c r="K54" s="67" t="str">
        <f aca="false">IF(F54&lt;&gt;1,"",COUNTIFS($E$5:$E$304,E54,$F$5:$F$304,1,$B$5:$B$304,"&lt;"&amp;B54)+1)</f>
        <v/>
      </c>
      <c r="L54" s="67" t="str">
        <f aca="false">IF(K54="","",E54&amp;"|"&amp;K54)</f>
        <v/>
      </c>
      <c r="M54" s="67" t="str">
        <f aca="false">IF(F54&lt;&gt;1,"",IF(COUNTIFS($C$5:C54,C54,$F$5:F54,1)=1,1,0))</f>
        <v/>
      </c>
      <c r="N54" s="67" t="str">
        <f aca="false">IF(M54&lt;&gt;1,"",_xlfn.MINIFS($B$5:$B$304,$C$5:$C$304,C54,$F$5:$F$304,1))</f>
        <v/>
      </c>
      <c r="O54" s="67" t="str">
        <f aca="false">IF(M54&lt;&gt;1,"",COUNTIFS($M$5:$M$304,1,$N$5:$N$304,"&lt;"&amp;N54)+1)</f>
        <v/>
      </c>
      <c r="P54" s="68" t="str">
        <f aca="false">IF(OR(B54="",取込チェック!$K$3=0),"",SUMIF(取込チェック!$K$6:$K$505,B54,取込チェック!$L$6:$L$505))</f>
        <v/>
      </c>
      <c r="Q54" s="68" t="str">
        <f aca="false">IF(OR(B54="",取込チェック!$K$3=0),"",SUMIF(取込チェック!$K$6:$K$505,B54,取込チェック!$M$6:$M$505))</f>
        <v/>
      </c>
      <c r="R54" s="68" t="str">
        <f aca="false">IF(P54="","",G54-P54)</f>
        <v/>
      </c>
      <c r="S54" s="68" t="str">
        <f aca="false">IF(Q54="","",I54-Q54)</f>
        <v/>
      </c>
    </row>
    <row r="55" customFormat="false" ht="15" hidden="false" customHeight="false" outlineLevel="0" collapsed="false">
      <c r="A55" s="64" t="str">
        <f aca="false">IF(B55="","",ROW()-4)</f>
        <v/>
      </c>
      <c r="B55" s="65"/>
      <c r="C55" s="65"/>
      <c r="D55" s="65"/>
      <c r="E55" s="66"/>
      <c r="F55" s="67" t="str">
        <f aca="false">IF(B55="","",IF(COUNTIF(取込チェック!$C$6:$C$505,B55)&gt;0,1,0))</f>
        <v/>
      </c>
      <c r="G55" s="68" t="str">
        <f aca="false">IF(B55="","",SUMIF(取込チェック!$C$6:$C$505,B55,取込チェック!$D$6:$D$505))</f>
        <v/>
      </c>
      <c r="H55" s="68" t="str">
        <f aca="false">IF(B55="","",SUMIF(取込チェック!$C$6:$C$505,B55,取込チェック!$E$6:$E$505))</f>
        <v/>
      </c>
      <c r="I55" s="68" t="str">
        <f aca="false">IF(B55="","",SUMIF(取込チェック!$C$6:$C$505,B55,取込チェック!$F$6:$F$505))</f>
        <v/>
      </c>
      <c r="J55" s="69" t="str">
        <f aca="false">IF(F55&lt;&gt;1,"",IF(H55=0,"-",G55/H55))</f>
        <v/>
      </c>
      <c r="K55" s="67" t="str">
        <f aca="false">IF(F55&lt;&gt;1,"",COUNTIFS($E$5:$E$304,E55,$F$5:$F$304,1,$B$5:$B$304,"&lt;"&amp;B55)+1)</f>
        <v/>
      </c>
      <c r="L55" s="67" t="str">
        <f aca="false">IF(K55="","",E55&amp;"|"&amp;K55)</f>
        <v/>
      </c>
      <c r="M55" s="67" t="str">
        <f aca="false">IF(F55&lt;&gt;1,"",IF(COUNTIFS($C$5:C55,C55,$F$5:F55,1)=1,1,0))</f>
        <v/>
      </c>
      <c r="N55" s="67" t="str">
        <f aca="false">IF(M55&lt;&gt;1,"",_xlfn.MINIFS($B$5:$B$304,$C$5:$C$304,C55,$F$5:$F$304,1))</f>
        <v/>
      </c>
      <c r="O55" s="67" t="str">
        <f aca="false">IF(M55&lt;&gt;1,"",COUNTIFS($M$5:$M$304,1,$N$5:$N$304,"&lt;"&amp;N55)+1)</f>
        <v/>
      </c>
      <c r="P55" s="68" t="str">
        <f aca="false">IF(OR(B55="",取込チェック!$K$3=0),"",SUMIF(取込チェック!$K$6:$K$505,B55,取込チェック!$L$6:$L$505))</f>
        <v/>
      </c>
      <c r="Q55" s="68" t="str">
        <f aca="false">IF(OR(B55="",取込チェック!$K$3=0),"",SUMIF(取込チェック!$K$6:$K$505,B55,取込チェック!$M$6:$M$505))</f>
        <v/>
      </c>
      <c r="R55" s="68" t="str">
        <f aca="false">IF(P55="","",G55-P55)</f>
        <v/>
      </c>
      <c r="S55" s="68" t="str">
        <f aca="false">IF(Q55="","",I55-Q55)</f>
        <v/>
      </c>
    </row>
    <row r="56" customFormat="false" ht="15" hidden="false" customHeight="false" outlineLevel="0" collapsed="false">
      <c r="A56" s="64" t="str">
        <f aca="false">IF(B56="","",ROW()-4)</f>
        <v/>
      </c>
      <c r="B56" s="65"/>
      <c r="C56" s="65"/>
      <c r="D56" s="65"/>
      <c r="E56" s="66"/>
      <c r="F56" s="67" t="str">
        <f aca="false">IF(B56="","",IF(COUNTIF(取込チェック!$C$6:$C$505,B56)&gt;0,1,0))</f>
        <v/>
      </c>
      <c r="G56" s="68" t="str">
        <f aca="false">IF(B56="","",SUMIF(取込チェック!$C$6:$C$505,B56,取込チェック!$D$6:$D$505))</f>
        <v/>
      </c>
      <c r="H56" s="68" t="str">
        <f aca="false">IF(B56="","",SUMIF(取込チェック!$C$6:$C$505,B56,取込チェック!$E$6:$E$505))</f>
        <v/>
      </c>
      <c r="I56" s="68" t="str">
        <f aca="false">IF(B56="","",SUMIF(取込チェック!$C$6:$C$505,B56,取込チェック!$F$6:$F$505))</f>
        <v/>
      </c>
      <c r="J56" s="69" t="str">
        <f aca="false">IF(F56&lt;&gt;1,"",IF(H56=0,"-",G56/H56))</f>
        <v/>
      </c>
      <c r="K56" s="67" t="str">
        <f aca="false">IF(F56&lt;&gt;1,"",COUNTIFS($E$5:$E$304,E56,$F$5:$F$304,1,$B$5:$B$304,"&lt;"&amp;B56)+1)</f>
        <v/>
      </c>
      <c r="L56" s="67" t="str">
        <f aca="false">IF(K56="","",E56&amp;"|"&amp;K56)</f>
        <v/>
      </c>
      <c r="M56" s="67" t="str">
        <f aca="false">IF(F56&lt;&gt;1,"",IF(COUNTIFS($C$5:C56,C56,$F$5:F56,1)=1,1,0))</f>
        <v/>
      </c>
      <c r="N56" s="67" t="str">
        <f aca="false">IF(M56&lt;&gt;1,"",_xlfn.MINIFS($B$5:$B$304,$C$5:$C$304,C56,$F$5:$F$304,1))</f>
        <v/>
      </c>
      <c r="O56" s="67" t="str">
        <f aca="false">IF(M56&lt;&gt;1,"",COUNTIFS($M$5:$M$304,1,$N$5:$N$304,"&lt;"&amp;N56)+1)</f>
        <v/>
      </c>
      <c r="P56" s="68" t="str">
        <f aca="false">IF(OR(B56="",取込チェック!$K$3=0),"",SUMIF(取込チェック!$K$6:$K$505,B56,取込チェック!$L$6:$L$505))</f>
        <v/>
      </c>
      <c r="Q56" s="68" t="str">
        <f aca="false">IF(OR(B56="",取込チェック!$K$3=0),"",SUMIF(取込チェック!$K$6:$K$505,B56,取込チェック!$M$6:$M$505))</f>
        <v/>
      </c>
      <c r="R56" s="68" t="str">
        <f aca="false">IF(P56="","",G56-P56)</f>
        <v/>
      </c>
      <c r="S56" s="68" t="str">
        <f aca="false">IF(Q56="","",I56-Q56)</f>
        <v/>
      </c>
    </row>
    <row r="57" customFormat="false" ht="15" hidden="false" customHeight="false" outlineLevel="0" collapsed="false">
      <c r="A57" s="64" t="str">
        <f aca="false">IF(B57="","",ROW()-4)</f>
        <v/>
      </c>
      <c r="B57" s="65"/>
      <c r="C57" s="65"/>
      <c r="D57" s="65"/>
      <c r="E57" s="66"/>
      <c r="F57" s="67" t="str">
        <f aca="false">IF(B57="","",IF(COUNTIF(取込チェック!$C$6:$C$505,B57)&gt;0,1,0))</f>
        <v/>
      </c>
      <c r="G57" s="68" t="str">
        <f aca="false">IF(B57="","",SUMIF(取込チェック!$C$6:$C$505,B57,取込チェック!$D$6:$D$505))</f>
        <v/>
      </c>
      <c r="H57" s="68" t="str">
        <f aca="false">IF(B57="","",SUMIF(取込チェック!$C$6:$C$505,B57,取込チェック!$E$6:$E$505))</f>
        <v/>
      </c>
      <c r="I57" s="68" t="str">
        <f aca="false">IF(B57="","",SUMIF(取込チェック!$C$6:$C$505,B57,取込チェック!$F$6:$F$505))</f>
        <v/>
      </c>
      <c r="J57" s="69" t="str">
        <f aca="false">IF(F57&lt;&gt;1,"",IF(H57=0,"-",G57/H57))</f>
        <v/>
      </c>
      <c r="K57" s="67" t="str">
        <f aca="false">IF(F57&lt;&gt;1,"",COUNTIFS($E$5:$E$304,E57,$F$5:$F$304,1,$B$5:$B$304,"&lt;"&amp;B57)+1)</f>
        <v/>
      </c>
      <c r="L57" s="67" t="str">
        <f aca="false">IF(K57="","",E57&amp;"|"&amp;K57)</f>
        <v/>
      </c>
      <c r="M57" s="67" t="str">
        <f aca="false">IF(F57&lt;&gt;1,"",IF(COUNTIFS($C$5:C57,C57,$F$5:F57,1)=1,1,0))</f>
        <v/>
      </c>
      <c r="N57" s="67" t="str">
        <f aca="false">IF(M57&lt;&gt;1,"",_xlfn.MINIFS($B$5:$B$304,$C$5:$C$304,C57,$F$5:$F$304,1))</f>
        <v/>
      </c>
      <c r="O57" s="67" t="str">
        <f aca="false">IF(M57&lt;&gt;1,"",COUNTIFS($M$5:$M$304,1,$N$5:$N$304,"&lt;"&amp;N57)+1)</f>
        <v/>
      </c>
      <c r="P57" s="68" t="str">
        <f aca="false">IF(OR(B57="",取込チェック!$K$3=0),"",SUMIF(取込チェック!$K$6:$K$505,B57,取込チェック!$L$6:$L$505))</f>
        <v/>
      </c>
      <c r="Q57" s="68" t="str">
        <f aca="false">IF(OR(B57="",取込チェック!$K$3=0),"",SUMIF(取込チェック!$K$6:$K$505,B57,取込チェック!$M$6:$M$505))</f>
        <v/>
      </c>
      <c r="R57" s="68" t="str">
        <f aca="false">IF(P57="","",G57-P57)</f>
        <v/>
      </c>
      <c r="S57" s="68" t="str">
        <f aca="false">IF(Q57="","",I57-Q57)</f>
        <v/>
      </c>
    </row>
    <row r="58" customFormat="false" ht="15" hidden="false" customHeight="false" outlineLevel="0" collapsed="false">
      <c r="A58" s="64" t="str">
        <f aca="false">IF(B58="","",ROW()-4)</f>
        <v/>
      </c>
      <c r="B58" s="65"/>
      <c r="C58" s="65"/>
      <c r="D58" s="65"/>
      <c r="E58" s="66"/>
      <c r="F58" s="67" t="str">
        <f aca="false">IF(B58="","",IF(COUNTIF(取込チェック!$C$6:$C$505,B58)&gt;0,1,0))</f>
        <v/>
      </c>
      <c r="G58" s="68" t="str">
        <f aca="false">IF(B58="","",SUMIF(取込チェック!$C$6:$C$505,B58,取込チェック!$D$6:$D$505))</f>
        <v/>
      </c>
      <c r="H58" s="68" t="str">
        <f aca="false">IF(B58="","",SUMIF(取込チェック!$C$6:$C$505,B58,取込チェック!$E$6:$E$505))</f>
        <v/>
      </c>
      <c r="I58" s="68" t="str">
        <f aca="false">IF(B58="","",SUMIF(取込チェック!$C$6:$C$505,B58,取込チェック!$F$6:$F$505))</f>
        <v/>
      </c>
      <c r="J58" s="69" t="str">
        <f aca="false">IF(F58&lt;&gt;1,"",IF(H58=0,"-",G58/H58))</f>
        <v/>
      </c>
      <c r="K58" s="67" t="str">
        <f aca="false">IF(F58&lt;&gt;1,"",COUNTIFS($E$5:$E$304,E58,$F$5:$F$304,1,$B$5:$B$304,"&lt;"&amp;B58)+1)</f>
        <v/>
      </c>
      <c r="L58" s="67" t="str">
        <f aca="false">IF(K58="","",E58&amp;"|"&amp;K58)</f>
        <v/>
      </c>
      <c r="M58" s="67" t="str">
        <f aca="false">IF(F58&lt;&gt;1,"",IF(COUNTIFS($C$5:C58,C58,$F$5:F58,1)=1,1,0))</f>
        <v/>
      </c>
      <c r="N58" s="67" t="str">
        <f aca="false">IF(M58&lt;&gt;1,"",_xlfn.MINIFS($B$5:$B$304,$C$5:$C$304,C58,$F$5:$F$304,1))</f>
        <v/>
      </c>
      <c r="O58" s="67" t="str">
        <f aca="false">IF(M58&lt;&gt;1,"",COUNTIFS($M$5:$M$304,1,$N$5:$N$304,"&lt;"&amp;N58)+1)</f>
        <v/>
      </c>
      <c r="P58" s="68" t="str">
        <f aca="false">IF(OR(B58="",取込チェック!$K$3=0),"",SUMIF(取込チェック!$K$6:$K$505,B58,取込チェック!$L$6:$L$505))</f>
        <v/>
      </c>
      <c r="Q58" s="68" t="str">
        <f aca="false">IF(OR(B58="",取込チェック!$K$3=0),"",SUMIF(取込チェック!$K$6:$K$505,B58,取込チェック!$M$6:$M$505))</f>
        <v/>
      </c>
      <c r="R58" s="68" t="str">
        <f aca="false">IF(P58="","",G58-P58)</f>
        <v/>
      </c>
      <c r="S58" s="68" t="str">
        <f aca="false">IF(Q58="","",I58-Q58)</f>
        <v/>
      </c>
    </row>
    <row r="59" customFormat="false" ht="15" hidden="false" customHeight="false" outlineLevel="0" collapsed="false">
      <c r="A59" s="64" t="str">
        <f aca="false">IF(B59="","",ROW()-4)</f>
        <v/>
      </c>
      <c r="B59" s="65"/>
      <c r="C59" s="65"/>
      <c r="D59" s="65"/>
      <c r="E59" s="66"/>
      <c r="F59" s="67" t="str">
        <f aca="false">IF(B59="","",IF(COUNTIF(取込チェック!$C$6:$C$505,B59)&gt;0,1,0))</f>
        <v/>
      </c>
      <c r="G59" s="68" t="str">
        <f aca="false">IF(B59="","",SUMIF(取込チェック!$C$6:$C$505,B59,取込チェック!$D$6:$D$505))</f>
        <v/>
      </c>
      <c r="H59" s="68" t="str">
        <f aca="false">IF(B59="","",SUMIF(取込チェック!$C$6:$C$505,B59,取込チェック!$E$6:$E$505))</f>
        <v/>
      </c>
      <c r="I59" s="68" t="str">
        <f aca="false">IF(B59="","",SUMIF(取込チェック!$C$6:$C$505,B59,取込チェック!$F$6:$F$505))</f>
        <v/>
      </c>
      <c r="J59" s="69" t="str">
        <f aca="false">IF(F59&lt;&gt;1,"",IF(H59=0,"-",G59/H59))</f>
        <v/>
      </c>
      <c r="K59" s="67" t="str">
        <f aca="false">IF(F59&lt;&gt;1,"",COUNTIFS($E$5:$E$304,E59,$F$5:$F$304,1,$B$5:$B$304,"&lt;"&amp;B59)+1)</f>
        <v/>
      </c>
      <c r="L59" s="67" t="str">
        <f aca="false">IF(K59="","",E59&amp;"|"&amp;K59)</f>
        <v/>
      </c>
      <c r="M59" s="67" t="str">
        <f aca="false">IF(F59&lt;&gt;1,"",IF(COUNTIFS($C$5:C59,C59,$F$5:F59,1)=1,1,0))</f>
        <v/>
      </c>
      <c r="N59" s="67" t="str">
        <f aca="false">IF(M59&lt;&gt;1,"",_xlfn.MINIFS($B$5:$B$304,$C$5:$C$304,C59,$F$5:$F$304,1))</f>
        <v/>
      </c>
      <c r="O59" s="67" t="str">
        <f aca="false">IF(M59&lt;&gt;1,"",COUNTIFS($M$5:$M$304,1,$N$5:$N$304,"&lt;"&amp;N59)+1)</f>
        <v/>
      </c>
      <c r="P59" s="68" t="str">
        <f aca="false">IF(OR(B59="",取込チェック!$K$3=0),"",SUMIF(取込チェック!$K$6:$K$505,B59,取込チェック!$L$6:$L$505))</f>
        <v/>
      </c>
      <c r="Q59" s="68" t="str">
        <f aca="false">IF(OR(B59="",取込チェック!$K$3=0),"",SUMIF(取込チェック!$K$6:$K$505,B59,取込チェック!$M$6:$M$505))</f>
        <v/>
      </c>
      <c r="R59" s="68" t="str">
        <f aca="false">IF(P59="","",G59-P59)</f>
        <v/>
      </c>
      <c r="S59" s="68" t="str">
        <f aca="false">IF(Q59="","",I59-Q59)</f>
        <v/>
      </c>
    </row>
    <row r="60" customFormat="false" ht="15" hidden="false" customHeight="false" outlineLevel="0" collapsed="false">
      <c r="A60" s="64" t="str">
        <f aca="false">IF(B60="","",ROW()-4)</f>
        <v/>
      </c>
      <c r="B60" s="65"/>
      <c r="C60" s="65"/>
      <c r="D60" s="65"/>
      <c r="E60" s="66"/>
      <c r="F60" s="67" t="str">
        <f aca="false">IF(B60="","",IF(COUNTIF(取込チェック!$C$6:$C$505,B60)&gt;0,1,0))</f>
        <v/>
      </c>
      <c r="G60" s="68" t="str">
        <f aca="false">IF(B60="","",SUMIF(取込チェック!$C$6:$C$505,B60,取込チェック!$D$6:$D$505))</f>
        <v/>
      </c>
      <c r="H60" s="68" t="str">
        <f aca="false">IF(B60="","",SUMIF(取込チェック!$C$6:$C$505,B60,取込チェック!$E$6:$E$505))</f>
        <v/>
      </c>
      <c r="I60" s="68" t="str">
        <f aca="false">IF(B60="","",SUMIF(取込チェック!$C$6:$C$505,B60,取込チェック!$F$6:$F$505))</f>
        <v/>
      </c>
      <c r="J60" s="69" t="str">
        <f aca="false">IF(F60&lt;&gt;1,"",IF(H60=0,"-",G60/H60))</f>
        <v/>
      </c>
      <c r="K60" s="67" t="str">
        <f aca="false">IF(F60&lt;&gt;1,"",COUNTIFS($E$5:$E$304,E60,$F$5:$F$304,1,$B$5:$B$304,"&lt;"&amp;B60)+1)</f>
        <v/>
      </c>
      <c r="L60" s="67" t="str">
        <f aca="false">IF(K60="","",E60&amp;"|"&amp;K60)</f>
        <v/>
      </c>
      <c r="M60" s="67" t="str">
        <f aca="false">IF(F60&lt;&gt;1,"",IF(COUNTIFS($C$5:C60,C60,$F$5:F60,1)=1,1,0))</f>
        <v/>
      </c>
      <c r="N60" s="67" t="str">
        <f aca="false">IF(M60&lt;&gt;1,"",_xlfn.MINIFS($B$5:$B$304,$C$5:$C$304,C60,$F$5:$F$304,1))</f>
        <v/>
      </c>
      <c r="O60" s="67" t="str">
        <f aca="false">IF(M60&lt;&gt;1,"",COUNTIFS($M$5:$M$304,1,$N$5:$N$304,"&lt;"&amp;N60)+1)</f>
        <v/>
      </c>
      <c r="P60" s="68" t="str">
        <f aca="false">IF(OR(B60="",取込チェック!$K$3=0),"",SUMIF(取込チェック!$K$6:$K$505,B60,取込チェック!$L$6:$L$505))</f>
        <v/>
      </c>
      <c r="Q60" s="68" t="str">
        <f aca="false">IF(OR(B60="",取込チェック!$K$3=0),"",SUMIF(取込チェック!$K$6:$K$505,B60,取込チェック!$M$6:$M$505))</f>
        <v/>
      </c>
      <c r="R60" s="68" t="str">
        <f aca="false">IF(P60="","",G60-P60)</f>
        <v/>
      </c>
      <c r="S60" s="68" t="str">
        <f aca="false">IF(Q60="","",I60-Q60)</f>
        <v/>
      </c>
    </row>
    <row r="61" customFormat="false" ht="15" hidden="false" customHeight="false" outlineLevel="0" collapsed="false">
      <c r="A61" s="64" t="str">
        <f aca="false">IF(B61="","",ROW()-4)</f>
        <v/>
      </c>
      <c r="B61" s="65"/>
      <c r="C61" s="65"/>
      <c r="D61" s="65"/>
      <c r="E61" s="66"/>
      <c r="F61" s="67" t="str">
        <f aca="false">IF(B61="","",IF(COUNTIF(取込チェック!$C$6:$C$505,B61)&gt;0,1,0))</f>
        <v/>
      </c>
      <c r="G61" s="68" t="str">
        <f aca="false">IF(B61="","",SUMIF(取込チェック!$C$6:$C$505,B61,取込チェック!$D$6:$D$505))</f>
        <v/>
      </c>
      <c r="H61" s="68" t="str">
        <f aca="false">IF(B61="","",SUMIF(取込チェック!$C$6:$C$505,B61,取込チェック!$E$6:$E$505))</f>
        <v/>
      </c>
      <c r="I61" s="68" t="str">
        <f aca="false">IF(B61="","",SUMIF(取込チェック!$C$6:$C$505,B61,取込チェック!$F$6:$F$505))</f>
        <v/>
      </c>
      <c r="J61" s="69" t="str">
        <f aca="false">IF(F61&lt;&gt;1,"",IF(H61=0,"-",G61/H61))</f>
        <v/>
      </c>
      <c r="K61" s="67" t="str">
        <f aca="false">IF(F61&lt;&gt;1,"",COUNTIFS($E$5:$E$304,E61,$F$5:$F$304,1,$B$5:$B$304,"&lt;"&amp;B61)+1)</f>
        <v/>
      </c>
      <c r="L61" s="67" t="str">
        <f aca="false">IF(K61="","",E61&amp;"|"&amp;K61)</f>
        <v/>
      </c>
      <c r="M61" s="67" t="str">
        <f aca="false">IF(F61&lt;&gt;1,"",IF(COUNTIFS($C$5:C61,C61,$F$5:F61,1)=1,1,0))</f>
        <v/>
      </c>
      <c r="N61" s="67" t="str">
        <f aca="false">IF(M61&lt;&gt;1,"",_xlfn.MINIFS($B$5:$B$304,$C$5:$C$304,C61,$F$5:$F$304,1))</f>
        <v/>
      </c>
      <c r="O61" s="67" t="str">
        <f aca="false">IF(M61&lt;&gt;1,"",COUNTIFS($M$5:$M$304,1,$N$5:$N$304,"&lt;"&amp;N61)+1)</f>
        <v/>
      </c>
      <c r="P61" s="68" t="str">
        <f aca="false">IF(OR(B61="",取込チェック!$K$3=0),"",SUMIF(取込チェック!$K$6:$K$505,B61,取込チェック!$L$6:$L$505))</f>
        <v/>
      </c>
      <c r="Q61" s="68" t="str">
        <f aca="false">IF(OR(B61="",取込チェック!$K$3=0),"",SUMIF(取込チェック!$K$6:$K$505,B61,取込チェック!$M$6:$M$505))</f>
        <v/>
      </c>
      <c r="R61" s="68" t="str">
        <f aca="false">IF(P61="","",G61-P61)</f>
        <v/>
      </c>
      <c r="S61" s="68" t="str">
        <f aca="false">IF(Q61="","",I61-Q61)</f>
        <v/>
      </c>
    </row>
    <row r="62" customFormat="false" ht="15" hidden="false" customHeight="false" outlineLevel="0" collapsed="false">
      <c r="A62" s="64" t="str">
        <f aca="false">IF(B62="","",ROW()-4)</f>
        <v/>
      </c>
      <c r="B62" s="65"/>
      <c r="C62" s="65"/>
      <c r="D62" s="65"/>
      <c r="E62" s="66"/>
      <c r="F62" s="67" t="str">
        <f aca="false">IF(B62="","",IF(COUNTIF(取込チェック!$C$6:$C$505,B62)&gt;0,1,0))</f>
        <v/>
      </c>
      <c r="G62" s="68" t="str">
        <f aca="false">IF(B62="","",SUMIF(取込チェック!$C$6:$C$505,B62,取込チェック!$D$6:$D$505))</f>
        <v/>
      </c>
      <c r="H62" s="68" t="str">
        <f aca="false">IF(B62="","",SUMIF(取込チェック!$C$6:$C$505,B62,取込チェック!$E$6:$E$505))</f>
        <v/>
      </c>
      <c r="I62" s="68" t="str">
        <f aca="false">IF(B62="","",SUMIF(取込チェック!$C$6:$C$505,B62,取込チェック!$F$6:$F$505))</f>
        <v/>
      </c>
      <c r="J62" s="69" t="str">
        <f aca="false">IF(F62&lt;&gt;1,"",IF(H62=0,"-",G62/H62))</f>
        <v/>
      </c>
      <c r="K62" s="67" t="str">
        <f aca="false">IF(F62&lt;&gt;1,"",COUNTIFS($E$5:$E$304,E62,$F$5:$F$304,1,$B$5:$B$304,"&lt;"&amp;B62)+1)</f>
        <v/>
      </c>
      <c r="L62" s="67" t="str">
        <f aca="false">IF(K62="","",E62&amp;"|"&amp;K62)</f>
        <v/>
      </c>
      <c r="M62" s="67" t="str">
        <f aca="false">IF(F62&lt;&gt;1,"",IF(COUNTIFS($C$5:C62,C62,$F$5:F62,1)=1,1,0))</f>
        <v/>
      </c>
      <c r="N62" s="67" t="str">
        <f aca="false">IF(M62&lt;&gt;1,"",_xlfn.MINIFS($B$5:$B$304,$C$5:$C$304,C62,$F$5:$F$304,1))</f>
        <v/>
      </c>
      <c r="O62" s="67" t="str">
        <f aca="false">IF(M62&lt;&gt;1,"",COUNTIFS($M$5:$M$304,1,$N$5:$N$304,"&lt;"&amp;N62)+1)</f>
        <v/>
      </c>
      <c r="P62" s="68" t="str">
        <f aca="false">IF(OR(B62="",取込チェック!$K$3=0),"",SUMIF(取込チェック!$K$6:$K$505,B62,取込チェック!$L$6:$L$505))</f>
        <v/>
      </c>
      <c r="Q62" s="68" t="str">
        <f aca="false">IF(OR(B62="",取込チェック!$K$3=0),"",SUMIF(取込チェック!$K$6:$K$505,B62,取込チェック!$M$6:$M$505))</f>
        <v/>
      </c>
      <c r="R62" s="68" t="str">
        <f aca="false">IF(P62="","",G62-P62)</f>
        <v/>
      </c>
      <c r="S62" s="68" t="str">
        <f aca="false">IF(Q62="","",I62-Q62)</f>
        <v/>
      </c>
    </row>
    <row r="63" customFormat="false" ht="15" hidden="false" customHeight="false" outlineLevel="0" collapsed="false">
      <c r="A63" s="64" t="str">
        <f aca="false">IF(B63="","",ROW()-4)</f>
        <v/>
      </c>
      <c r="B63" s="65"/>
      <c r="C63" s="65"/>
      <c r="D63" s="65"/>
      <c r="E63" s="66"/>
      <c r="F63" s="67" t="str">
        <f aca="false">IF(B63="","",IF(COUNTIF(取込チェック!$C$6:$C$505,B63)&gt;0,1,0))</f>
        <v/>
      </c>
      <c r="G63" s="68" t="str">
        <f aca="false">IF(B63="","",SUMIF(取込チェック!$C$6:$C$505,B63,取込チェック!$D$6:$D$505))</f>
        <v/>
      </c>
      <c r="H63" s="68" t="str">
        <f aca="false">IF(B63="","",SUMIF(取込チェック!$C$6:$C$505,B63,取込チェック!$E$6:$E$505))</f>
        <v/>
      </c>
      <c r="I63" s="68" t="str">
        <f aca="false">IF(B63="","",SUMIF(取込チェック!$C$6:$C$505,B63,取込チェック!$F$6:$F$505))</f>
        <v/>
      </c>
      <c r="J63" s="69" t="str">
        <f aca="false">IF(F63&lt;&gt;1,"",IF(H63=0,"-",G63/H63))</f>
        <v/>
      </c>
      <c r="K63" s="67" t="str">
        <f aca="false">IF(F63&lt;&gt;1,"",COUNTIFS($E$5:$E$304,E63,$F$5:$F$304,1,$B$5:$B$304,"&lt;"&amp;B63)+1)</f>
        <v/>
      </c>
      <c r="L63" s="67" t="str">
        <f aca="false">IF(K63="","",E63&amp;"|"&amp;K63)</f>
        <v/>
      </c>
      <c r="M63" s="67" t="str">
        <f aca="false">IF(F63&lt;&gt;1,"",IF(COUNTIFS($C$5:C63,C63,$F$5:F63,1)=1,1,0))</f>
        <v/>
      </c>
      <c r="N63" s="67" t="str">
        <f aca="false">IF(M63&lt;&gt;1,"",_xlfn.MINIFS($B$5:$B$304,$C$5:$C$304,C63,$F$5:$F$304,1))</f>
        <v/>
      </c>
      <c r="O63" s="67" t="str">
        <f aca="false">IF(M63&lt;&gt;1,"",COUNTIFS($M$5:$M$304,1,$N$5:$N$304,"&lt;"&amp;N63)+1)</f>
        <v/>
      </c>
      <c r="P63" s="68" t="str">
        <f aca="false">IF(OR(B63="",取込チェック!$K$3=0),"",SUMIF(取込チェック!$K$6:$K$505,B63,取込チェック!$L$6:$L$505))</f>
        <v/>
      </c>
      <c r="Q63" s="68" t="str">
        <f aca="false">IF(OR(B63="",取込チェック!$K$3=0),"",SUMIF(取込チェック!$K$6:$K$505,B63,取込チェック!$M$6:$M$505))</f>
        <v/>
      </c>
      <c r="R63" s="68" t="str">
        <f aca="false">IF(P63="","",G63-P63)</f>
        <v/>
      </c>
      <c r="S63" s="68" t="str">
        <f aca="false">IF(Q63="","",I63-Q63)</f>
        <v/>
      </c>
    </row>
    <row r="64" customFormat="false" ht="15" hidden="false" customHeight="false" outlineLevel="0" collapsed="false">
      <c r="A64" s="64" t="str">
        <f aca="false">IF(B64="","",ROW()-4)</f>
        <v/>
      </c>
      <c r="B64" s="65"/>
      <c r="C64" s="65"/>
      <c r="D64" s="65"/>
      <c r="E64" s="66"/>
      <c r="F64" s="67" t="str">
        <f aca="false">IF(B64="","",IF(COUNTIF(取込チェック!$C$6:$C$505,B64)&gt;0,1,0))</f>
        <v/>
      </c>
      <c r="G64" s="68" t="str">
        <f aca="false">IF(B64="","",SUMIF(取込チェック!$C$6:$C$505,B64,取込チェック!$D$6:$D$505))</f>
        <v/>
      </c>
      <c r="H64" s="68" t="str">
        <f aca="false">IF(B64="","",SUMIF(取込チェック!$C$6:$C$505,B64,取込チェック!$E$6:$E$505))</f>
        <v/>
      </c>
      <c r="I64" s="68" t="str">
        <f aca="false">IF(B64="","",SUMIF(取込チェック!$C$6:$C$505,B64,取込チェック!$F$6:$F$505))</f>
        <v/>
      </c>
      <c r="J64" s="69" t="str">
        <f aca="false">IF(F64&lt;&gt;1,"",IF(H64=0,"-",G64/H64))</f>
        <v/>
      </c>
      <c r="K64" s="67" t="str">
        <f aca="false">IF(F64&lt;&gt;1,"",COUNTIFS($E$5:$E$304,E64,$F$5:$F$304,1,$B$5:$B$304,"&lt;"&amp;B64)+1)</f>
        <v/>
      </c>
      <c r="L64" s="67" t="str">
        <f aca="false">IF(K64="","",E64&amp;"|"&amp;K64)</f>
        <v/>
      </c>
      <c r="M64" s="67" t="str">
        <f aca="false">IF(F64&lt;&gt;1,"",IF(COUNTIFS($C$5:C64,C64,$F$5:F64,1)=1,1,0))</f>
        <v/>
      </c>
      <c r="N64" s="67" t="str">
        <f aca="false">IF(M64&lt;&gt;1,"",_xlfn.MINIFS($B$5:$B$304,$C$5:$C$304,C64,$F$5:$F$304,1))</f>
        <v/>
      </c>
      <c r="O64" s="67" t="str">
        <f aca="false">IF(M64&lt;&gt;1,"",COUNTIFS($M$5:$M$304,1,$N$5:$N$304,"&lt;"&amp;N64)+1)</f>
        <v/>
      </c>
      <c r="P64" s="68" t="str">
        <f aca="false">IF(OR(B64="",取込チェック!$K$3=0),"",SUMIF(取込チェック!$K$6:$K$505,B64,取込チェック!$L$6:$L$505))</f>
        <v/>
      </c>
      <c r="Q64" s="68" t="str">
        <f aca="false">IF(OR(B64="",取込チェック!$K$3=0),"",SUMIF(取込チェック!$K$6:$K$505,B64,取込チェック!$M$6:$M$505))</f>
        <v/>
      </c>
      <c r="R64" s="68" t="str">
        <f aca="false">IF(P64="","",G64-P64)</f>
        <v/>
      </c>
      <c r="S64" s="68" t="str">
        <f aca="false">IF(Q64="","",I64-Q64)</f>
        <v/>
      </c>
    </row>
    <row r="65" customFormat="false" ht="15" hidden="false" customHeight="false" outlineLevel="0" collapsed="false">
      <c r="A65" s="64" t="str">
        <f aca="false">IF(B65="","",ROW()-4)</f>
        <v/>
      </c>
      <c r="B65" s="65"/>
      <c r="C65" s="65"/>
      <c r="D65" s="65"/>
      <c r="E65" s="66"/>
      <c r="F65" s="67" t="str">
        <f aca="false">IF(B65="","",IF(COUNTIF(取込チェック!$C$6:$C$505,B65)&gt;0,1,0))</f>
        <v/>
      </c>
      <c r="G65" s="68" t="str">
        <f aca="false">IF(B65="","",SUMIF(取込チェック!$C$6:$C$505,B65,取込チェック!$D$6:$D$505))</f>
        <v/>
      </c>
      <c r="H65" s="68" t="str">
        <f aca="false">IF(B65="","",SUMIF(取込チェック!$C$6:$C$505,B65,取込チェック!$E$6:$E$505))</f>
        <v/>
      </c>
      <c r="I65" s="68" t="str">
        <f aca="false">IF(B65="","",SUMIF(取込チェック!$C$6:$C$505,B65,取込チェック!$F$6:$F$505))</f>
        <v/>
      </c>
      <c r="J65" s="69" t="str">
        <f aca="false">IF(F65&lt;&gt;1,"",IF(H65=0,"-",G65/H65))</f>
        <v/>
      </c>
      <c r="K65" s="67" t="str">
        <f aca="false">IF(F65&lt;&gt;1,"",COUNTIFS($E$5:$E$304,E65,$F$5:$F$304,1,$B$5:$B$304,"&lt;"&amp;B65)+1)</f>
        <v/>
      </c>
      <c r="L65" s="67" t="str">
        <f aca="false">IF(K65="","",E65&amp;"|"&amp;K65)</f>
        <v/>
      </c>
      <c r="M65" s="67" t="str">
        <f aca="false">IF(F65&lt;&gt;1,"",IF(COUNTIFS($C$5:C65,C65,$F$5:F65,1)=1,1,0))</f>
        <v/>
      </c>
      <c r="N65" s="67" t="str">
        <f aca="false">IF(M65&lt;&gt;1,"",_xlfn.MINIFS($B$5:$B$304,$C$5:$C$304,C65,$F$5:$F$304,1))</f>
        <v/>
      </c>
      <c r="O65" s="67" t="str">
        <f aca="false">IF(M65&lt;&gt;1,"",COUNTIFS($M$5:$M$304,1,$N$5:$N$304,"&lt;"&amp;N65)+1)</f>
        <v/>
      </c>
      <c r="P65" s="68" t="str">
        <f aca="false">IF(OR(B65="",取込チェック!$K$3=0),"",SUMIF(取込チェック!$K$6:$K$505,B65,取込チェック!$L$6:$L$505))</f>
        <v/>
      </c>
      <c r="Q65" s="68" t="str">
        <f aca="false">IF(OR(B65="",取込チェック!$K$3=0),"",SUMIF(取込チェック!$K$6:$K$505,B65,取込チェック!$M$6:$M$505))</f>
        <v/>
      </c>
      <c r="R65" s="68" t="str">
        <f aca="false">IF(P65="","",G65-P65)</f>
        <v/>
      </c>
      <c r="S65" s="68" t="str">
        <f aca="false">IF(Q65="","",I65-Q65)</f>
        <v/>
      </c>
    </row>
    <row r="66" customFormat="false" ht="15" hidden="false" customHeight="false" outlineLevel="0" collapsed="false">
      <c r="A66" s="64" t="str">
        <f aca="false">IF(B66="","",ROW()-4)</f>
        <v/>
      </c>
      <c r="B66" s="65"/>
      <c r="C66" s="65"/>
      <c r="D66" s="65"/>
      <c r="E66" s="66"/>
      <c r="F66" s="67" t="str">
        <f aca="false">IF(B66="","",IF(COUNTIF(取込チェック!$C$6:$C$505,B66)&gt;0,1,0))</f>
        <v/>
      </c>
      <c r="G66" s="68" t="str">
        <f aca="false">IF(B66="","",SUMIF(取込チェック!$C$6:$C$505,B66,取込チェック!$D$6:$D$505))</f>
        <v/>
      </c>
      <c r="H66" s="68" t="str">
        <f aca="false">IF(B66="","",SUMIF(取込チェック!$C$6:$C$505,B66,取込チェック!$E$6:$E$505))</f>
        <v/>
      </c>
      <c r="I66" s="68" t="str">
        <f aca="false">IF(B66="","",SUMIF(取込チェック!$C$6:$C$505,B66,取込チェック!$F$6:$F$505))</f>
        <v/>
      </c>
      <c r="J66" s="69" t="str">
        <f aca="false">IF(F66&lt;&gt;1,"",IF(H66=0,"-",G66/H66))</f>
        <v/>
      </c>
      <c r="K66" s="67" t="str">
        <f aca="false">IF(F66&lt;&gt;1,"",COUNTIFS($E$5:$E$304,E66,$F$5:$F$304,1,$B$5:$B$304,"&lt;"&amp;B66)+1)</f>
        <v/>
      </c>
      <c r="L66" s="67" t="str">
        <f aca="false">IF(K66="","",E66&amp;"|"&amp;K66)</f>
        <v/>
      </c>
      <c r="M66" s="67" t="str">
        <f aca="false">IF(F66&lt;&gt;1,"",IF(COUNTIFS($C$5:C66,C66,$F$5:F66,1)=1,1,0))</f>
        <v/>
      </c>
      <c r="N66" s="67" t="str">
        <f aca="false">IF(M66&lt;&gt;1,"",_xlfn.MINIFS($B$5:$B$304,$C$5:$C$304,C66,$F$5:$F$304,1))</f>
        <v/>
      </c>
      <c r="O66" s="67" t="str">
        <f aca="false">IF(M66&lt;&gt;1,"",COUNTIFS($M$5:$M$304,1,$N$5:$N$304,"&lt;"&amp;N66)+1)</f>
        <v/>
      </c>
      <c r="P66" s="68" t="str">
        <f aca="false">IF(OR(B66="",取込チェック!$K$3=0),"",SUMIF(取込チェック!$K$6:$K$505,B66,取込チェック!$L$6:$L$505))</f>
        <v/>
      </c>
      <c r="Q66" s="68" t="str">
        <f aca="false">IF(OR(B66="",取込チェック!$K$3=0),"",SUMIF(取込チェック!$K$6:$K$505,B66,取込チェック!$M$6:$M$505))</f>
        <v/>
      </c>
      <c r="R66" s="68" t="str">
        <f aca="false">IF(P66="","",G66-P66)</f>
        <v/>
      </c>
      <c r="S66" s="68" t="str">
        <f aca="false">IF(Q66="","",I66-Q66)</f>
        <v/>
      </c>
    </row>
    <row r="67" customFormat="false" ht="15" hidden="false" customHeight="false" outlineLevel="0" collapsed="false">
      <c r="A67" s="64" t="str">
        <f aca="false">IF(B67="","",ROW()-4)</f>
        <v/>
      </c>
      <c r="B67" s="65"/>
      <c r="C67" s="65"/>
      <c r="D67" s="65"/>
      <c r="E67" s="66"/>
      <c r="F67" s="67" t="str">
        <f aca="false">IF(B67="","",IF(COUNTIF(取込チェック!$C$6:$C$505,B67)&gt;0,1,0))</f>
        <v/>
      </c>
      <c r="G67" s="68" t="str">
        <f aca="false">IF(B67="","",SUMIF(取込チェック!$C$6:$C$505,B67,取込チェック!$D$6:$D$505))</f>
        <v/>
      </c>
      <c r="H67" s="68" t="str">
        <f aca="false">IF(B67="","",SUMIF(取込チェック!$C$6:$C$505,B67,取込チェック!$E$6:$E$505))</f>
        <v/>
      </c>
      <c r="I67" s="68" t="str">
        <f aca="false">IF(B67="","",SUMIF(取込チェック!$C$6:$C$505,B67,取込チェック!$F$6:$F$505))</f>
        <v/>
      </c>
      <c r="J67" s="69" t="str">
        <f aca="false">IF(F67&lt;&gt;1,"",IF(H67=0,"-",G67/H67))</f>
        <v/>
      </c>
      <c r="K67" s="67" t="str">
        <f aca="false">IF(F67&lt;&gt;1,"",COUNTIFS($E$5:$E$304,E67,$F$5:$F$304,1,$B$5:$B$304,"&lt;"&amp;B67)+1)</f>
        <v/>
      </c>
      <c r="L67" s="67" t="str">
        <f aca="false">IF(K67="","",E67&amp;"|"&amp;K67)</f>
        <v/>
      </c>
      <c r="M67" s="67" t="str">
        <f aca="false">IF(F67&lt;&gt;1,"",IF(COUNTIFS($C$5:C67,C67,$F$5:F67,1)=1,1,0))</f>
        <v/>
      </c>
      <c r="N67" s="67" t="str">
        <f aca="false">IF(M67&lt;&gt;1,"",_xlfn.MINIFS($B$5:$B$304,$C$5:$C$304,C67,$F$5:$F$304,1))</f>
        <v/>
      </c>
      <c r="O67" s="67" t="str">
        <f aca="false">IF(M67&lt;&gt;1,"",COUNTIFS($M$5:$M$304,1,$N$5:$N$304,"&lt;"&amp;N67)+1)</f>
        <v/>
      </c>
      <c r="P67" s="68" t="str">
        <f aca="false">IF(OR(B67="",取込チェック!$K$3=0),"",SUMIF(取込チェック!$K$6:$K$505,B67,取込チェック!$L$6:$L$505))</f>
        <v/>
      </c>
      <c r="Q67" s="68" t="str">
        <f aca="false">IF(OR(B67="",取込チェック!$K$3=0),"",SUMIF(取込チェック!$K$6:$K$505,B67,取込チェック!$M$6:$M$505))</f>
        <v/>
      </c>
      <c r="R67" s="68" t="str">
        <f aca="false">IF(P67="","",G67-P67)</f>
        <v/>
      </c>
      <c r="S67" s="68" t="str">
        <f aca="false">IF(Q67="","",I67-Q67)</f>
        <v/>
      </c>
    </row>
    <row r="68" customFormat="false" ht="15" hidden="false" customHeight="false" outlineLevel="0" collapsed="false">
      <c r="A68" s="64" t="str">
        <f aca="false">IF(B68="","",ROW()-4)</f>
        <v/>
      </c>
      <c r="B68" s="65"/>
      <c r="C68" s="65"/>
      <c r="D68" s="65"/>
      <c r="E68" s="66"/>
      <c r="F68" s="67" t="str">
        <f aca="false">IF(B68="","",IF(COUNTIF(取込チェック!$C$6:$C$505,B68)&gt;0,1,0))</f>
        <v/>
      </c>
      <c r="G68" s="68" t="str">
        <f aca="false">IF(B68="","",SUMIF(取込チェック!$C$6:$C$505,B68,取込チェック!$D$6:$D$505))</f>
        <v/>
      </c>
      <c r="H68" s="68" t="str">
        <f aca="false">IF(B68="","",SUMIF(取込チェック!$C$6:$C$505,B68,取込チェック!$E$6:$E$505))</f>
        <v/>
      </c>
      <c r="I68" s="68" t="str">
        <f aca="false">IF(B68="","",SUMIF(取込チェック!$C$6:$C$505,B68,取込チェック!$F$6:$F$505))</f>
        <v/>
      </c>
      <c r="J68" s="69" t="str">
        <f aca="false">IF(F68&lt;&gt;1,"",IF(H68=0,"-",G68/H68))</f>
        <v/>
      </c>
      <c r="K68" s="67" t="str">
        <f aca="false">IF(F68&lt;&gt;1,"",COUNTIFS($E$5:$E$304,E68,$F$5:$F$304,1,$B$5:$B$304,"&lt;"&amp;B68)+1)</f>
        <v/>
      </c>
      <c r="L68" s="67" t="str">
        <f aca="false">IF(K68="","",E68&amp;"|"&amp;K68)</f>
        <v/>
      </c>
      <c r="M68" s="67" t="str">
        <f aca="false">IF(F68&lt;&gt;1,"",IF(COUNTIFS($C$5:C68,C68,$F$5:F68,1)=1,1,0))</f>
        <v/>
      </c>
      <c r="N68" s="67" t="str">
        <f aca="false">IF(M68&lt;&gt;1,"",_xlfn.MINIFS($B$5:$B$304,$C$5:$C$304,C68,$F$5:$F$304,1))</f>
        <v/>
      </c>
      <c r="O68" s="67" t="str">
        <f aca="false">IF(M68&lt;&gt;1,"",COUNTIFS($M$5:$M$304,1,$N$5:$N$304,"&lt;"&amp;N68)+1)</f>
        <v/>
      </c>
      <c r="P68" s="68" t="str">
        <f aca="false">IF(OR(B68="",取込チェック!$K$3=0),"",SUMIF(取込チェック!$K$6:$K$505,B68,取込チェック!$L$6:$L$505))</f>
        <v/>
      </c>
      <c r="Q68" s="68" t="str">
        <f aca="false">IF(OR(B68="",取込チェック!$K$3=0),"",SUMIF(取込チェック!$K$6:$K$505,B68,取込チェック!$M$6:$M$505))</f>
        <v/>
      </c>
      <c r="R68" s="68" t="str">
        <f aca="false">IF(P68="","",G68-P68)</f>
        <v/>
      </c>
      <c r="S68" s="68" t="str">
        <f aca="false">IF(Q68="","",I68-Q68)</f>
        <v/>
      </c>
    </row>
    <row r="69" customFormat="false" ht="15" hidden="false" customHeight="false" outlineLevel="0" collapsed="false">
      <c r="A69" s="64" t="str">
        <f aca="false">IF(B69="","",ROW()-4)</f>
        <v/>
      </c>
      <c r="B69" s="65"/>
      <c r="C69" s="65"/>
      <c r="D69" s="65"/>
      <c r="E69" s="66"/>
      <c r="F69" s="67" t="str">
        <f aca="false">IF(B69="","",IF(COUNTIF(取込チェック!$C$6:$C$505,B69)&gt;0,1,0))</f>
        <v/>
      </c>
      <c r="G69" s="68" t="str">
        <f aca="false">IF(B69="","",SUMIF(取込チェック!$C$6:$C$505,B69,取込チェック!$D$6:$D$505))</f>
        <v/>
      </c>
      <c r="H69" s="68" t="str">
        <f aca="false">IF(B69="","",SUMIF(取込チェック!$C$6:$C$505,B69,取込チェック!$E$6:$E$505))</f>
        <v/>
      </c>
      <c r="I69" s="68" t="str">
        <f aca="false">IF(B69="","",SUMIF(取込チェック!$C$6:$C$505,B69,取込チェック!$F$6:$F$505))</f>
        <v/>
      </c>
      <c r="J69" s="69" t="str">
        <f aca="false">IF(F69&lt;&gt;1,"",IF(H69=0,"-",G69/H69))</f>
        <v/>
      </c>
      <c r="K69" s="67" t="str">
        <f aca="false">IF(F69&lt;&gt;1,"",COUNTIFS($E$5:$E$304,E69,$F$5:$F$304,1,$B$5:$B$304,"&lt;"&amp;B69)+1)</f>
        <v/>
      </c>
      <c r="L69" s="67" t="str">
        <f aca="false">IF(K69="","",E69&amp;"|"&amp;K69)</f>
        <v/>
      </c>
      <c r="M69" s="67" t="str">
        <f aca="false">IF(F69&lt;&gt;1,"",IF(COUNTIFS($C$5:C69,C69,$F$5:F69,1)=1,1,0))</f>
        <v/>
      </c>
      <c r="N69" s="67" t="str">
        <f aca="false">IF(M69&lt;&gt;1,"",_xlfn.MINIFS($B$5:$B$304,$C$5:$C$304,C69,$F$5:$F$304,1))</f>
        <v/>
      </c>
      <c r="O69" s="67" t="str">
        <f aca="false">IF(M69&lt;&gt;1,"",COUNTIFS($M$5:$M$304,1,$N$5:$N$304,"&lt;"&amp;N69)+1)</f>
        <v/>
      </c>
      <c r="P69" s="68" t="str">
        <f aca="false">IF(OR(B69="",取込チェック!$K$3=0),"",SUMIF(取込チェック!$K$6:$K$505,B69,取込チェック!$L$6:$L$505))</f>
        <v/>
      </c>
      <c r="Q69" s="68" t="str">
        <f aca="false">IF(OR(B69="",取込チェック!$K$3=0),"",SUMIF(取込チェック!$K$6:$K$505,B69,取込チェック!$M$6:$M$505))</f>
        <v/>
      </c>
      <c r="R69" s="68" t="str">
        <f aca="false">IF(P69="","",G69-P69)</f>
        <v/>
      </c>
      <c r="S69" s="68" t="str">
        <f aca="false">IF(Q69="","",I69-Q69)</f>
        <v/>
      </c>
    </row>
    <row r="70" customFormat="false" ht="15" hidden="false" customHeight="false" outlineLevel="0" collapsed="false">
      <c r="A70" s="64" t="str">
        <f aca="false">IF(B70="","",ROW()-4)</f>
        <v/>
      </c>
      <c r="B70" s="65"/>
      <c r="C70" s="65"/>
      <c r="D70" s="65"/>
      <c r="E70" s="66"/>
      <c r="F70" s="67" t="str">
        <f aca="false">IF(B70="","",IF(COUNTIF(取込チェック!$C$6:$C$505,B70)&gt;0,1,0))</f>
        <v/>
      </c>
      <c r="G70" s="68" t="str">
        <f aca="false">IF(B70="","",SUMIF(取込チェック!$C$6:$C$505,B70,取込チェック!$D$6:$D$505))</f>
        <v/>
      </c>
      <c r="H70" s="68" t="str">
        <f aca="false">IF(B70="","",SUMIF(取込チェック!$C$6:$C$505,B70,取込チェック!$E$6:$E$505))</f>
        <v/>
      </c>
      <c r="I70" s="68" t="str">
        <f aca="false">IF(B70="","",SUMIF(取込チェック!$C$6:$C$505,B70,取込チェック!$F$6:$F$505))</f>
        <v/>
      </c>
      <c r="J70" s="69" t="str">
        <f aca="false">IF(F70&lt;&gt;1,"",IF(H70=0,"-",G70/H70))</f>
        <v/>
      </c>
      <c r="K70" s="67" t="str">
        <f aca="false">IF(F70&lt;&gt;1,"",COUNTIFS($E$5:$E$304,E70,$F$5:$F$304,1,$B$5:$B$304,"&lt;"&amp;B70)+1)</f>
        <v/>
      </c>
      <c r="L70" s="67" t="str">
        <f aca="false">IF(K70="","",E70&amp;"|"&amp;K70)</f>
        <v/>
      </c>
      <c r="M70" s="67" t="str">
        <f aca="false">IF(F70&lt;&gt;1,"",IF(COUNTIFS($C$5:C70,C70,$F$5:F70,1)=1,1,0))</f>
        <v/>
      </c>
      <c r="N70" s="67" t="str">
        <f aca="false">IF(M70&lt;&gt;1,"",_xlfn.MINIFS($B$5:$B$304,$C$5:$C$304,C70,$F$5:$F$304,1))</f>
        <v/>
      </c>
      <c r="O70" s="67" t="str">
        <f aca="false">IF(M70&lt;&gt;1,"",COUNTIFS($M$5:$M$304,1,$N$5:$N$304,"&lt;"&amp;N70)+1)</f>
        <v/>
      </c>
      <c r="P70" s="68" t="str">
        <f aca="false">IF(OR(B70="",取込チェック!$K$3=0),"",SUMIF(取込チェック!$K$6:$K$505,B70,取込チェック!$L$6:$L$505))</f>
        <v/>
      </c>
      <c r="Q70" s="68" t="str">
        <f aca="false">IF(OR(B70="",取込チェック!$K$3=0),"",SUMIF(取込チェック!$K$6:$K$505,B70,取込チェック!$M$6:$M$505))</f>
        <v/>
      </c>
      <c r="R70" s="68" t="str">
        <f aca="false">IF(P70="","",G70-P70)</f>
        <v/>
      </c>
      <c r="S70" s="68" t="str">
        <f aca="false">IF(Q70="","",I70-Q70)</f>
        <v/>
      </c>
    </row>
    <row r="71" customFormat="false" ht="15" hidden="false" customHeight="false" outlineLevel="0" collapsed="false">
      <c r="A71" s="64" t="str">
        <f aca="false">IF(B71="","",ROW()-4)</f>
        <v/>
      </c>
      <c r="B71" s="65"/>
      <c r="C71" s="65"/>
      <c r="D71" s="65"/>
      <c r="E71" s="66"/>
      <c r="F71" s="67" t="str">
        <f aca="false">IF(B71="","",IF(COUNTIF(取込チェック!$C$6:$C$505,B71)&gt;0,1,0))</f>
        <v/>
      </c>
      <c r="G71" s="68" t="str">
        <f aca="false">IF(B71="","",SUMIF(取込チェック!$C$6:$C$505,B71,取込チェック!$D$6:$D$505))</f>
        <v/>
      </c>
      <c r="H71" s="68" t="str">
        <f aca="false">IF(B71="","",SUMIF(取込チェック!$C$6:$C$505,B71,取込チェック!$E$6:$E$505))</f>
        <v/>
      </c>
      <c r="I71" s="68" t="str">
        <f aca="false">IF(B71="","",SUMIF(取込チェック!$C$6:$C$505,B71,取込チェック!$F$6:$F$505))</f>
        <v/>
      </c>
      <c r="J71" s="69" t="str">
        <f aca="false">IF(F71&lt;&gt;1,"",IF(H71=0,"-",G71/H71))</f>
        <v/>
      </c>
      <c r="K71" s="67" t="str">
        <f aca="false">IF(F71&lt;&gt;1,"",COUNTIFS($E$5:$E$304,E71,$F$5:$F$304,1,$B$5:$B$304,"&lt;"&amp;B71)+1)</f>
        <v/>
      </c>
      <c r="L71" s="67" t="str">
        <f aca="false">IF(K71="","",E71&amp;"|"&amp;K71)</f>
        <v/>
      </c>
      <c r="M71" s="67" t="str">
        <f aca="false">IF(F71&lt;&gt;1,"",IF(COUNTIFS($C$5:C71,C71,$F$5:F71,1)=1,1,0))</f>
        <v/>
      </c>
      <c r="N71" s="67" t="str">
        <f aca="false">IF(M71&lt;&gt;1,"",_xlfn.MINIFS($B$5:$B$304,$C$5:$C$304,C71,$F$5:$F$304,1))</f>
        <v/>
      </c>
      <c r="O71" s="67" t="str">
        <f aca="false">IF(M71&lt;&gt;1,"",COUNTIFS($M$5:$M$304,1,$N$5:$N$304,"&lt;"&amp;N71)+1)</f>
        <v/>
      </c>
      <c r="P71" s="68" t="str">
        <f aca="false">IF(OR(B71="",取込チェック!$K$3=0),"",SUMIF(取込チェック!$K$6:$K$505,B71,取込チェック!$L$6:$L$505))</f>
        <v/>
      </c>
      <c r="Q71" s="68" t="str">
        <f aca="false">IF(OR(B71="",取込チェック!$K$3=0),"",SUMIF(取込チェック!$K$6:$K$505,B71,取込チェック!$M$6:$M$505))</f>
        <v/>
      </c>
      <c r="R71" s="68" t="str">
        <f aca="false">IF(P71="","",G71-P71)</f>
        <v/>
      </c>
      <c r="S71" s="68" t="str">
        <f aca="false">IF(Q71="","",I71-Q71)</f>
        <v/>
      </c>
    </row>
    <row r="72" customFormat="false" ht="15" hidden="false" customHeight="false" outlineLevel="0" collapsed="false">
      <c r="A72" s="64" t="str">
        <f aca="false">IF(B72="","",ROW()-4)</f>
        <v/>
      </c>
      <c r="B72" s="65"/>
      <c r="C72" s="65"/>
      <c r="D72" s="65"/>
      <c r="E72" s="66"/>
      <c r="F72" s="67" t="str">
        <f aca="false">IF(B72="","",IF(COUNTIF(取込チェック!$C$6:$C$505,B72)&gt;0,1,0))</f>
        <v/>
      </c>
      <c r="G72" s="68" t="str">
        <f aca="false">IF(B72="","",SUMIF(取込チェック!$C$6:$C$505,B72,取込チェック!$D$6:$D$505))</f>
        <v/>
      </c>
      <c r="H72" s="68" t="str">
        <f aca="false">IF(B72="","",SUMIF(取込チェック!$C$6:$C$505,B72,取込チェック!$E$6:$E$505))</f>
        <v/>
      </c>
      <c r="I72" s="68" t="str">
        <f aca="false">IF(B72="","",SUMIF(取込チェック!$C$6:$C$505,B72,取込チェック!$F$6:$F$505))</f>
        <v/>
      </c>
      <c r="J72" s="69" t="str">
        <f aca="false">IF(F72&lt;&gt;1,"",IF(H72=0,"-",G72/H72))</f>
        <v/>
      </c>
      <c r="K72" s="67" t="str">
        <f aca="false">IF(F72&lt;&gt;1,"",COUNTIFS($E$5:$E$304,E72,$F$5:$F$304,1,$B$5:$B$304,"&lt;"&amp;B72)+1)</f>
        <v/>
      </c>
      <c r="L72" s="67" t="str">
        <f aca="false">IF(K72="","",E72&amp;"|"&amp;K72)</f>
        <v/>
      </c>
      <c r="M72" s="67" t="str">
        <f aca="false">IF(F72&lt;&gt;1,"",IF(COUNTIFS($C$5:C72,C72,$F$5:F72,1)=1,1,0))</f>
        <v/>
      </c>
      <c r="N72" s="67" t="str">
        <f aca="false">IF(M72&lt;&gt;1,"",_xlfn.MINIFS($B$5:$B$304,$C$5:$C$304,C72,$F$5:$F$304,1))</f>
        <v/>
      </c>
      <c r="O72" s="67" t="str">
        <f aca="false">IF(M72&lt;&gt;1,"",COUNTIFS($M$5:$M$304,1,$N$5:$N$304,"&lt;"&amp;N72)+1)</f>
        <v/>
      </c>
      <c r="P72" s="68" t="str">
        <f aca="false">IF(OR(B72="",取込チェック!$K$3=0),"",SUMIF(取込チェック!$K$6:$K$505,B72,取込チェック!$L$6:$L$505))</f>
        <v/>
      </c>
      <c r="Q72" s="68" t="str">
        <f aca="false">IF(OR(B72="",取込チェック!$K$3=0),"",SUMIF(取込チェック!$K$6:$K$505,B72,取込チェック!$M$6:$M$505))</f>
        <v/>
      </c>
      <c r="R72" s="68" t="str">
        <f aca="false">IF(P72="","",G72-P72)</f>
        <v/>
      </c>
      <c r="S72" s="68" t="str">
        <f aca="false">IF(Q72="","",I72-Q72)</f>
        <v/>
      </c>
    </row>
    <row r="73" customFormat="false" ht="15" hidden="false" customHeight="false" outlineLevel="0" collapsed="false">
      <c r="A73" s="64" t="str">
        <f aca="false">IF(B73="","",ROW()-4)</f>
        <v/>
      </c>
      <c r="B73" s="65"/>
      <c r="C73" s="65"/>
      <c r="D73" s="65"/>
      <c r="E73" s="66"/>
      <c r="F73" s="67" t="str">
        <f aca="false">IF(B73="","",IF(COUNTIF(取込チェック!$C$6:$C$505,B73)&gt;0,1,0))</f>
        <v/>
      </c>
      <c r="G73" s="68" t="str">
        <f aca="false">IF(B73="","",SUMIF(取込チェック!$C$6:$C$505,B73,取込チェック!$D$6:$D$505))</f>
        <v/>
      </c>
      <c r="H73" s="68" t="str">
        <f aca="false">IF(B73="","",SUMIF(取込チェック!$C$6:$C$505,B73,取込チェック!$E$6:$E$505))</f>
        <v/>
      </c>
      <c r="I73" s="68" t="str">
        <f aca="false">IF(B73="","",SUMIF(取込チェック!$C$6:$C$505,B73,取込チェック!$F$6:$F$505))</f>
        <v/>
      </c>
      <c r="J73" s="69" t="str">
        <f aca="false">IF(F73&lt;&gt;1,"",IF(H73=0,"-",G73/H73))</f>
        <v/>
      </c>
      <c r="K73" s="67" t="str">
        <f aca="false">IF(F73&lt;&gt;1,"",COUNTIFS($E$5:$E$304,E73,$F$5:$F$304,1,$B$5:$B$304,"&lt;"&amp;B73)+1)</f>
        <v/>
      </c>
      <c r="L73" s="67" t="str">
        <f aca="false">IF(K73="","",E73&amp;"|"&amp;K73)</f>
        <v/>
      </c>
      <c r="M73" s="67" t="str">
        <f aca="false">IF(F73&lt;&gt;1,"",IF(COUNTIFS($C$5:C73,C73,$F$5:F73,1)=1,1,0))</f>
        <v/>
      </c>
      <c r="N73" s="67" t="str">
        <f aca="false">IF(M73&lt;&gt;1,"",_xlfn.MINIFS($B$5:$B$304,$C$5:$C$304,C73,$F$5:$F$304,1))</f>
        <v/>
      </c>
      <c r="O73" s="67" t="str">
        <f aca="false">IF(M73&lt;&gt;1,"",COUNTIFS($M$5:$M$304,1,$N$5:$N$304,"&lt;"&amp;N73)+1)</f>
        <v/>
      </c>
      <c r="P73" s="68" t="str">
        <f aca="false">IF(OR(B73="",取込チェック!$K$3=0),"",SUMIF(取込チェック!$K$6:$K$505,B73,取込チェック!$L$6:$L$505))</f>
        <v/>
      </c>
      <c r="Q73" s="68" t="str">
        <f aca="false">IF(OR(B73="",取込チェック!$K$3=0),"",SUMIF(取込チェック!$K$6:$K$505,B73,取込チェック!$M$6:$M$505))</f>
        <v/>
      </c>
      <c r="R73" s="68" t="str">
        <f aca="false">IF(P73="","",G73-P73)</f>
        <v/>
      </c>
      <c r="S73" s="68" t="str">
        <f aca="false">IF(Q73="","",I73-Q73)</f>
        <v/>
      </c>
    </row>
    <row r="74" customFormat="false" ht="15" hidden="false" customHeight="false" outlineLevel="0" collapsed="false">
      <c r="A74" s="64" t="str">
        <f aca="false">IF(B74="","",ROW()-4)</f>
        <v/>
      </c>
      <c r="B74" s="65"/>
      <c r="C74" s="65"/>
      <c r="D74" s="65"/>
      <c r="E74" s="66"/>
      <c r="F74" s="67" t="str">
        <f aca="false">IF(B74="","",IF(COUNTIF(取込チェック!$C$6:$C$505,B74)&gt;0,1,0))</f>
        <v/>
      </c>
      <c r="G74" s="68" t="str">
        <f aca="false">IF(B74="","",SUMIF(取込チェック!$C$6:$C$505,B74,取込チェック!$D$6:$D$505))</f>
        <v/>
      </c>
      <c r="H74" s="68" t="str">
        <f aca="false">IF(B74="","",SUMIF(取込チェック!$C$6:$C$505,B74,取込チェック!$E$6:$E$505))</f>
        <v/>
      </c>
      <c r="I74" s="68" t="str">
        <f aca="false">IF(B74="","",SUMIF(取込チェック!$C$6:$C$505,B74,取込チェック!$F$6:$F$505))</f>
        <v/>
      </c>
      <c r="J74" s="69" t="str">
        <f aca="false">IF(F74&lt;&gt;1,"",IF(H74=0,"-",G74/H74))</f>
        <v/>
      </c>
      <c r="K74" s="67" t="str">
        <f aca="false">IF(F74&lt;&gt;1,"",COUNTIFS($E$5:$E$304,E74,$F$5:$F$304,1,$B$5:$B$304,"&lt;"&amp;B74)+1)</f>
        <v/>
      </c>
      <c r="L74" s="67" t="str">
        <f aca="false">IF(K74="","",E74&amp;"|"&amp;K74)</f>
        <v/>
      </c>
      <c r="M74" s="67" t="str">
        <f aca="false">IF(F74&lt;&gt;1,"",IF(COUNTIFS($C$5:C74,C74,$F$5:F74,1)=1,1,0))</f>
        <v/>
      </c>
      <c r="N74" s="67" t="str">
        <f aca="false">IF(M74&lt;&gt;1,"",_xlfn.MINIFS($B$5:$B$304,$C$5:$C$304,C74,$F$5:$F$304,1))</f>
        <v/>
      </c>
      <c r="O74" s="67" t="str">
        <f aca="false">IF(M74&lt;&gt;1,"",COUNTIFS($M$5:$M$304,1,$N$5:$N$304,"&lt;"&amp;N74)+1)</f>
        <v/>
      </c>
      <c r="P74" s="68" t="str">
        <f aca="false">IF(OR(B74="",取込チェック!$K$3=0),"",SUMIF(取込チェック!$K$6:$K$505,B74,取込チェック!$L$6:$L$505))</f>
        <v/>
      </c>
      <c r="Q74" s="68" t="str">
        <f aca="false">IF(OR(B74="",取込チェック!$K$3=0),"",SUMIF(取込チェック!$K$6:$K$505,B74,取込チェック!$M$6:$M$505))</f>
        <v/>
      </c>
      <c r="R74" s="68" t="str">
        <f aca="false">IF(P74="","",G74-P74)</f>
        <v/>
      </c>
      <c r="S74" s="68" t="str">
        <f aca="false">IF(Q74="","",I74-Q74)</f>
        <v/>
      </c>
    </row>
    <row r="75" customFormat="false" ht="15" hidden="false" customHeight="false" outlineLevel="0" collapsed="false">
      <c r="A75" s="64" t="str">
        <f aca="false">IF(B75="","",ROW()-4)</f>
        <v/>
      </c>
      <c r="B75" s="65"/>
      <c r="C75" s="65"/>
      <c r="D75" s="65"/>
      <c r="E75" s="66"/>
      <c r="F75" s="67" t="str">
        <f aca="false">IF(B75="","",IF(COUNTIF(取込チェック!$C$6:$C$505,B75)&gt;0,1,0))</f>
        <v/>
      </c>
      <c r="G75" s="68" t="str">
        <f aca="false">IF(B75="","",SUMIF(取込チェック!$C$6:$C$505,B75,取込チェック!$D$6:$D$505))</f>
        <v/>
      </c>
      <c r="H75" s="68" t="str">
        <f aca="false">IF(B75="","",SUMIF(取込チェック!$C$6:$C$505,B75,取込チェック!$E$6:$E$505))</f>
        <v/>
      </c>
      <c r="I75" s="68" t="str">
        <f aca="false">IF(B75="","",SUMIF(取込チェック!$C$6:$C$505,B75,取込チェック!$F$6:$F$505))</f>
        <v/>
      </c>
      <c r="J75" s="69" t="str">
        <f aca="false">IF(F75&lt;&gt;1,"",IF(H75=0,"-",G75/H75))</f>
        <v/>
      </c>
      <c r="K75" s="67" t="str">
        <f aca="false">IF(F75&lt;&gt;1,"",COUNTIFS($E$5:$E$304,E75,$F$5:$F$304,1,$B$5:$B$304,"&lt;"&amp;B75)+1)</f>
        <v/>
      </c>
      <c r="L75" s="67" t="str">
        <f aca="false">IF(K75="","",E75&amp;"|"&amp;K75)</f>
        <v/>
      </c>
      <c r="M75" s="67" t="str">
        <f aca="false">IF(F75&lt;&gt;1,"",IF(COUNTIFS($C$5:C75,C75,$F$5:F75,1)=1,1,0))</f>
        <v/>
      </c>
      <c r="N75" s="67" t="str">
        <f aca="false">IF(M75&lt;&gt;1,"",_xlfn.MINIFS($B$5:$B$304,$C$5:$C$304,C75,$F$5:$F$304,1))</f>
        <v/>
      </c>
      <c r="O75" s="67" t="str">
        <f aca="false">IF(M75&lt;&gt;1,"",COUNTIFS($M$5:$M$304,1,$N$5:$N$304,"&lt;"&amp;N75)+1)</f>
        <v/>
      </c>
      <c r="P75" s="68" t="str">
        <f aca="false">IF(OR(B75="",取込チェック!$K$3=0),"",SUMIF(取込チェック!$K$6:$K$505,B75,取込チェック!$L$6:$L$505))</f>
        <v/>
      </c>
      <c r="Q75" s="68" t="str">
        <f aca="false">IF(OR(B75="",取込チェック!$K$3=0),"",SUMIF(取込チェック!$K$6:$K$505,B75,取込チェック!$M$6:$M$505))</f>
        <v/>
      </c>
      <c r="R75" s="68" t="str">
        <f aca="false">IF(P75="","",G75-P75)</f>
        <v/>
      </c>
      <c r="S75" s="68" t="str">
        <f aca="false">IF(Q75="","",I75-Q75)</f>
        <v/>
      </c>
    </row>
    <row r="76" customFormat="false" ht="15" hidden="false" customHeight="false" outlineLevel="0" collapsed="false">
      <c r="A76" s="64" t="str">
        <f aca="false">IF(B76="","",ROW()-4)</f>
        <v/>
      </c>
      <c r="B76" s="65"/>
      <c r="C76" s="65"/>
      <c r="D76" s="65"/>
      <c r="E76" s="66"/>
      <c r="F76" s="67" t="str">
        <f aca="false">IF(B76="","",IF(COUNTIF(取込チェック!$C$6:$C$505,B76)&gt;0,1,0))</f>
        <v/>
      </c>
      <c r="G76" s="68" t="str">
        <f aca="false">IF(B76="","",SUMIF(取込チェック!$C$6:$C$505,B76,取込チェック!$D$6:$D$505))</f>
        <v/>
      </c>
      <c r="H76" s="68" t="str">
        <f aca="false">IF(B76="","",SUMIF(取込チェック!$C$6:$C$505,B76,取込チェック!$E$6:$E$505))</f>
        <v/>
      </c>
      <c r="I76" s="68" t="str">
        <f aca="false">IF(B76="","",SUMIF(取込チェック!$C$6:$C$505,B76,取込チェック!$F$6:$F$505))</f>
        <v/>
      </c>
      <c r="J76" s="69" t="str">
        <f aca="false">IF(F76&lt;&gt;1,"",IF(H76=0,"-",G76/H76))</f>
        <v/>
      </c>
      <c r="K76" s="67" t="str">
        <f aca="false">IF(F76&lt;&gt;1,"",COUNTIFS($E$5:$E$304,E76,$F$5:$F$304,1,$B$5:$B$304,"&lt;"&amp;B76)+1)</f>
        <v/>
      </c>
      <c r="L76" s="67" t="str">
        <f aca="false">IF(K76="","",E76&amp;"|"&amp;K76)</f>
        <v/>
      </c>
      <c r="M76" s="67" t="str">
        <f aca="false">IF(F76&lt;&gt;1,"",IF(COUNTIFS($C$5:C76,C76,$F$5:F76,1)=1,1,0))</f>
        <v/>
      </c>
      <c r="N76" s="67" t="str">
        <f aca="false">IF(M76&lt;&gt;1,"",_xlfn.MINIFS($B$5:$B$304,$C$5:$C$304,C76,$F$5:$F$304,1))</f>
        <v/>
      </c>
      <c r="O76" s="67" t="str">
        <f aca="false">IF(M76&lt;&gt;1,"",COUNTIFS($M$5:$M$304,1,$N$5:$N$304,"&lt;"&amp;N76)+1)</f>
        <v/>
      </c>
      <c r="P76" s="68" t="str">
        <f aca="false">IF(OR(B76="",取込チェック!$K$3=0),"",SUMIF(取込チェック!$K$6:$K$505,B76,取込チェック!$L$6:$L$505))</f>
        <v/>
      </c>
      <c r="Q76" s="68" t="str">
        <f aca="false">IF(OR(B76="",取込チェック!$K$3=0),"",SUMIF(取込チェック!$K$6:$K$505,B76,取込チェック!$M$6:$M$505))</f>
        <v/>
      </c>
      <c r="R76" s="68" t="str">
        <f aca="false">IF(P76="","",G76-P76)</f>
        <v/>
      </c>
      <c r="S76" s="68" t="str">
        <f aca="false">IF(Q76="","",I76-Q76)</f>
        <v/>
      </c>
    </row>
    <row r="77" customFormat="false" ht="15" hidden="false" customHeight="false" outlineLevel="0" collapsed="false">
      <c r="A77" s="64" t="str">
        <f aca="false">IF(B77="","",ROW()-4)</f>
        <v/>
      </c>
      <c r="B77" s="65"/>
      <c r="C77" s="65"/>
      <c r="D77" s="65"/>
      <c r="E77" s="66"/>
      <c r="F77" s="67" t="str">
        <f aca="false">IF(B77="","",IF(COUNTIF(取込チェック!$C$6:$C$505,B77)&gt;0,1,0))</f>
        <v/>
      </c>
      <c r="G77" s="68" t="str">
        <f aca="false">IF(B77="","",SUMIF(取込チェック!$C$6:$C$505,B77,取込チェック!$D$6:$D$505))</f>
        <v/>
      </c>
      <c r="H77" s="68" t="str">
        <f aca="false">IF(B77="","",SUMIF(取込チェック!$C$6:$C$505,B77,取込チェック!$E$6:$E$505))</f>
        <v/>
      </c>
      <c r="I77" s="68" t="str">
        <f aca="false">IF(B77="","",SUMIF(取込チェック!$C$6:$C$505,B77,取込チェック!$F$6:$F$505))</f>
        <v/>
      </c>
      <c r="J77" s="69" t="str">
        <f aca="false">IF(F77&lt;&gt;1,"",IF(H77=0,"-",G77/H77))</f>
        <v/>
      </c>
      <c r="K77" s="67" t="str">
        <f aca="false">IF(F77&lt;&gt;1,"",COUNTIFS($E$5:$E$304,E77,$F$5:$F$304,1,$B$5:$B$304,"&lt;"&amp;B77)+1)</f>
        <v/>
      </c>
      <c r="L77" s="67" t="str">
        <f aca="false">IF(K77="","",E77&amp;"|"&amp;K77)</f>
        <v/>
      </c>
      <c r="M77" s="67" t="str">
        <f aca="false">IF(F77&lt;&gt;1,"",IF(COUNTIFS($C$5:C77,C77,$F$5:F77,1)=1,1,0))</f>
        <v/>
      </c>
      <c r="N77" s="67" t="str">
        <f aca="false">IF(M77&lt;&gt;1,"",_xlfn.MINIFS($B$5:$B$304,$C$5:$C$304,C77,$F$5:$F$304,1))</f>
        <v/>
      </c>
      <c r="O77" s="67" t="str">
        <f aca="false">IF(M77&lt;&gt;1,"",COUNTIFS($M$5:$M$304,1,$N$5:$N$304,"&lt;"&amp;N77)+1)</f>
        <v/>
      </c>
      <c r="P77" s="68" t="str">
        <f aca="false">IF(OR(B77="",取込チェック!$K$3=0),"",SUMIF(取込チェック!$K$6:$K$505,B77,取込チェック!$L$6:$L$505))</f>
        <v/>
      </c>
      <c r="Q77" s="68" t="str">
        <f aca="false">IF(OR(B77="",取込チェック!$K$3=0),"",SUMIF(取込チェック!$K$6:$K$505,B77,取込チェック!$M$6:$M$505))</f>
        <v/>
      </c>
      <c r="R77" s="68" t="str">
        <f aca="false">IF(P77="","",G77-P77)</f>
        <v/>
      </c>
      <c r="S77" s="68" t="str">
        <f aca="false">IF(Q77="","",I77-Q77)</f>
        <v/>
      </c>
    </row>
    <row r="78" customFormat="false" ht="15" hidden="false" customHeight="false" outlineLevel="0" collapsed="false">
      <c r="A78" s="64" t="str">
        <f aca="false">IF(B78="","",ROW()-4)</f>
        <v/>
      </c>
      <c r="B78" s="65"/>
      <c r="C78" s="65"/>
      <c r="D78" s="65"/>
      <c r="E78" s="66"/>
      <c r="F78" s="67" t="str">
        <f aca="false">IF(B78="","",IF(COUNTIF(取込チェック!$C$6:$C$505,B78)&gt;0,1,0))</f>
        <v/>
      </c>
      <c r="G78" s="68" t="str">
        <f aca="false">IF(B78="","",SUMIF(取込チェック!$C$6:$C$505,B78,取込チェック!$D$6:$D$505))</f>
        <v/>
      </c>
      <c r="H78" s="68" t="str">
        <f aca="false">IF(B78="","",SUMIF(取込チェック!$C$6:$C$505,B78,取込チェック!$E$6:$E$505))</f>
        <v/>
      </c>
      <c r="I78" s="68" t="str">
        <f aca="false">IF(B78="","",SUMIF(取込チェック!$C$6:$C$505,B78,取込チェック!$F$6:$F$505))</f>
        <v/>
      </c>
      <c r="J78" s="69" t="str">
        <f aca="false">IF(F78&lt;&gt;1,"",IF(H78=0,"-",G78/H78))</f>
        <v/>
      </c>
      <c r="K78" s="67" t="str">
        <f aca="false">IF(F78&lt;&gt;1,"",COUNTIFS($E$5:$E$304,E78,$F$5:$F$304,1,$B$5:$B$304,"&lt;"&amp;B78)+1)</f>
        <v/>
      </c>
      <c r="L78" s="67" t="str">
        <f aca="false">IF(K78="","",E78&amp;"|"&amp;K78)</f>
        <v/>
      </c>
      <c r="M78" s="67" t="str">
        <f aca="false">IF(F78&lt;&gt;1,"",IF(COUNTIFS($C$5:C78,C78,$F$5:F78,1)=1,1,0))</f>
        <v/>
      </c>
      <c r="N78" s="67" t="str">
        <f aca="false">IF(M78&lt;&gt;1,"",_xlfn.MINIFS($B$5:$B$304,$C$5:$C$304,C78,$F$5:$F$304,1))</f>
        <v/>
      </c>
      <c r="O78" s="67" t="str">
        <f aca="false">IF(M78&lt;&gt;1,"",COUNTIFS($M$5:$M$304,1,$N$5:$N$304,"&lt;"&amp;N78)+1)</f>
        <v/>
      </c>
      <c r="P78" s="68" t="str">
        <f aca="false">IF(OR(B78="",取込チェック!$K$3=0),"",SUMIF(取込チェック!$K$6:$K$505,B78,取込チェック!$L$6:$L$505))</f>
        <v/>
      </c>
      <c r="Q78" s="68" t="str">
        <f aca="false">IF(OR(B78="",取込チェック!$K$3=0),"",SUMIF(取込チェック!$K$6:$K$505,B78,取込チェック!$M$6:$M$505))</f>
        <v/>
      </c>
      <c r="R78" s="68" t="str">
        <f aca="false">IF(P78="","",G78-P78)</f>
        <v/>
      </c>
      <c r="S78" s="68" t="str">
        <f aca="false">IF(Q78="","",I78-Q78)</f>
        <v/>
      </c>
    </row>
    <row r="79" customFormat="false" ht="15" hidden="false" customHeight="false" outlineLevel="0" collapsed="false">
      <c r="A79" s="64" t="str">
        <f aca="false">IF(B79="","",ROW()-4)</f>
        <v/>
      </c>
      <c r="B79" s="65"/>
      <c r="C79" s="65"/>
      <c r="D79" s="65"/>
      <c r="E79" s="66"/>
      <c r="F79" s="67" t="str">
        <f aca="false">IF(B79="","",IF(COUNTIF(取込チェック!$C$6:$C$505,B79)&gt;0,1,0))</f>
        <v/>
      </c>
      <c r="G79" s="68" t="str">
        <f aca="false">IF(B79="","",SUMIF(取込チェック!$C$6:$C$505,B79,取込チェック!$D$6:$D$505))</f>
        <v/>
      </c>
      <c r="H79" s="68" t="str">
        <f aca="false">IF(B79="","",SUMIF(取込チェック!$C$6:$C$505,B79,取込チェック!$E$6:$E$505))</f>
        <v/>
      </c>
      <c r="I79" s="68" t="str">
        <f aca="false">IF(B79="","",SUMIF(取込チェック!$C$6:$C$505,B79,取込チェック!$F$6:$F$505))</f>
        <v/>
      </c>
      <c r="J79" s="69" t="str">
        <f aca="false">IF(F79&lt;&gt;1,"",IF(H79=0,"-",G79/H79))</f>
        <v/>
      </c>
      <c r="K79" s="67" t="str">
        <f aca="false">IF(F79&lt;&gt;1,"",COUNTIFS($E$5:$E$304,E79,$F$5:$F$304,1,$B$5:$B$304,"&lt;"&amp;B79)+1)</f>
        <v/>
      </c>
      <c r="L79" s="67" t="str">
        <f aca="false">IF(K79="","",E79&amp;"|"&amp;K79)</f>
        <v/>
      </c>
      <c r="M79" s="67" t="str">
        <f aca="false">IF(F79&lt;&gt;1,"",IF(COUNTIFS($C$5:C79,C79,$F$5:F79,1)=1,1,0))</f>
        <v/>
      </c>
      <c r="N79" s="67" t="str">
        <f aca="false">IF(M79&lt;&gt;1,"",_xlfn.MINIFS($B$5:$B$304,$C$5:$C$304,C79,$F$5:$F$304,1))</f>
        <v/>
      </c>
      <c r="O79" s="67" t="str">
        <f aca="false">IF(M79&lt;&gt;1,"",COUNTIFS($M$5:$M$304,1,$N$5:$N$304,"&lt;"&amp;N79)+1)</f>
        <v/>
      </c>
      <c r="P79" s="68" t="str">
        <f aca="false">IF(OR(B79="",取込チェック!$K$3=0),"",SUMIF(取込チェック!$K$6:$K$505,B79,取込チェック!$L$6:$L$505))</f>
        <v/>
      </c>
      <c r="Q79" s="68" t="str">
        <f aca="false">IF(OR(B79="",取込チェック!$K$3=0),"",SUMIF(取込チェック!$K$6:$K$505,B79,取込チェック!$M$6:$M$505))</f>
        <v/>
      </c>
      <c r="R79" s="68" t="str">
        <f aca="false">IF(P79="","",G79-P79)</f>
        <v/>
      </c>
      <c r="S79" s="68" t="str">
        <f aca="false">IF(Q79="","",I79-Q79)</f>
        <v/>
      </c>
    </row>
    <row r="80" customFormat="false" ht="15" hidden="false" customHeight="false" outlineLevel="0" collapsed="false">
      <c r="A80" s="64" t="str">
        <f aca="false">IF(B80="","",ROW()-4)</f>
        <v/>
      </c>
      <c r="B80" s="65"/>
      <c r="C80" s="65"/>
      <c r="D80" s="65"/>
      <c r="E80" s="66"/>
      <c r="F80" s="67" t="str">
        <f aca="false">IF(B80="","",IF(COUNTIF(取込チェック!$C$6:$C$505,B80)&gt;0,1,0))</f>
        <v/>
      </c>
      <c r="G80" s="68" t="str">
        <f aca="false">IF(B80="","",SUMIF(取込チェック!$C$6:$C$505,B80,取込チェック!$D$6:$D$505))</f>
        <v/>
      </c>
      <c r="H80" s="68" t="str">
        <f aca="false">IF(B80="","",SUMIF(取込チェック!$C$6:$C$505,B80,取込チェック!$E$6:$E$505))</f>
        <v/>
      </c>
      <c r="I80" s="68" t="str">
        <f aca="false">IF(B80="","",SUMIF(取込チェック!$C$6:$C$505,B80,取込チェック!$F$6:$F$505))</f>
        <v/>
      </c>
      <c r="J80" s="69" t="str">
        <f aca="false">IF(F80&lt;&gt;1,"",IF(H80=0,"-",G80/H80))</f>
        <v/>
      </c>
      <c r="K80" s="67" t="str">
        <f aca="false">IF(F80&lt;&gt;1,"",COUNTIFS($E$5:$E$304,E80,$F$5:$F$304,1,$B$5:$B$304,"&lt;"&amp;B80)+1)</f>
        <v/>
      </c>
      <c r="L80" s="67" t="str">
        <f aca="false">IF(K80="","",E80&amp;"|"&amp;K80)</f>
        <v/>
      </c>
      <c r="M80" s="67" t="str">
        <f aca="false">IF(F80&lt;&gt;1,"",IF(COUNTIFS($C$5:C80,C80,$F$5:F80,1)=1,1,0))</f>
        <v/>
      </c>
      <c r="N80" s="67" t="str">
        <f aca="false">IF(M80&lt;&gt;1,"",_xlfn.MINIFS($B$5:$B$304,$C$5:$C$304,C80,$F$5:$F$304,1))</f>
        <v/>
      </c>
      <c r="O80" s="67" t="str">
        <f aca="false">IF(M80&lt;&gt;1,"",COUNTIFS($M$5:$M$304,1,$N$5:$N$304,"&lt;"&amp;N80)+1)</f>
        <v/>
      </c>
      <c r="P80" s="68" t="str">
        <f aca="false">IF(OR(B80="",取込チェック!$K$3=0),"",SUMIF(取込チェック!$K$6:$K$505,B80,取込チェック!$L$6:$L$505))</f>
        <v/>
      </c>
      <c r="Q80" s="68" t="str">
        <f aca="false">IF(OR(B80="",取込チェック!$K$3=0),"",SUMIF(取込チェック!$K$6:$K$505,B80,取込チェック!$M$6:$M$505))</f>
        <v/>
      </c>
      <c r="R80" s="68" t="str">
        <f aca="false">IF(P80="","",G80-P80)</f>
        <v/>
      </c>
      <c r="S80" s="68" t="str">
        <f aca="false">IF(Q80="","",I80-Q80)</f>
        <v/>
      </c>
    </row>
    <row r="81" customFormat="false" ht="15" hidden="false" customHeight="false" outlineLevel="0" collapsed="false">
      <c r="A81" s="64" t="str">
        <f aca="false">IF(B81="","",ROW()-4)</f>
        <v/>
      </c>
      <c r="B81" s="65"/>
      <c r="C81" s="65"/>
      <c r="D81" s="65"/>
      <c r="E81" s="66"/>
      <c r="F81" s="67" t="str">
        <f aca="false">IF(B81="","",IF(COUNTIF(取込チェック!$C$6:$C$505,B81)&gt;0,1,0))</f>
        <v/>
      </c>
      <c r="G81" s="68" t="str">
        <f aca="false">IF(B81="","",SUMIF(取込チェック!$C$6:$C$505,B81,取込チェック!$D$6:$D$505))</f>
        <v/>
      </c>
      <c r="H81" s="68" t="str">
        <f aca="false">IF(B81="","",SUMIF(取込チェック!$C$6:$C$505,B81,取込チェック!$E$6:$E$505))</f>
        <v/>
      </c>
      <c r="I81" s="68" t="str">
        <f aca="false">IF(B81="","",SUMIF(取込チェック!$C$6:$C$505,B81,取込チェック!$F$6:$F$505))</f>
        <v/>
      </c>
      <c r="J81" s="69" t="str">
        <f aca="false">IF(F81&lt;&gt;1,"",IF(H81=0,"-",G81/H81))</f>
        <v/>
      </c>
      <c r="K81" s="67" t="str">
        <f aca="false">IF(F81&lt;&gt;1,"",COUNTIFS($E$5:$E$304,E81,$F$5:$F$304,1,$B$5:$B$304,"&lt;"&amp;B81)+1)</f>
        <v/>
      </c>
      <c r="L81" s="67" t="str">
        <f aca="false">IF(K81="","",E81&amp;"|"&amp;K81)</f>
        <v/>
      </c>
      <c r="M81" s="67" t="str">
        <f aca="false">IF(F81&lt;&gt;1,"",IF(COUNTIFS($C$5:C81,C81,$F$5:F81,1)=1,1,0))</f>
        <v/>
      </c>
      <c r="N81" s="67" t="str">
        <f aca="false">IF(M81&lt;&gt;1,"",_xlfn.MINIFS($B$5:$B$304,$C$5:$C$304,C81,$F$5:$F$304,1))</f>
        <v/>
      </c>
      <c r="O81" s="67" t="str">
        <f aca="false">IF(M81&lt;&gt;1,"",COUNTIFS($M$5:$M$304,1,$N$5:$N$304,"&lt;"&amp;N81)+1)</f>
        <v/>
      </c>
      <c r="P81" s="68" t="str">
        <f aca="false">IF(OR(B81="",取込チェック!$K$3=0),"",SUMIF(取込チェック!$K$6:$K$505,B81,取込チェック!$L$6:$L$505))</f>
        <v/>
      </c>
      <c r="Q81" s="68" t="str">
        <f aca="false">IF(OR(B81="",取込チェック!$K$3=0),"",SUMIF(取込チェック!$K$6:$K$505,B81,取込チェック!$M$6:$M$505))</f>
        <v/>
      </c>
      <c r="R81" s="68" t="str">
        <f aca="false">IF(P81="","",G81-P81)</f>
        <v/>
      </c>
      <c r="S81" s="68" t="str">
        <f aca="false">IF(Q81="","",I81-Q81)</f>
        <v/>
      </c>
    </row>
    <row r="82" customFormat="false" ht="15" hidden="false" customHeight="false" outlineLevel="0" collapsed="false">
      <c r="A82" s="64" t="str">
        <f aca="false">IF(B82="","",ROW()-4)</f>
        <v/>
      </c>
      <c r="B82" s="65"/>
      <c r="C82" s="65"/>
      <c r="D82" s="65"/>
      <c r="E82" s="66"/>
      <c r="F82" s="67" t="str">
        <f aca="false">IF(B82="","",IF(COUNTIF(取込チェック!$C$6:$C$505,B82)&gt;0,1,0))</f>
        <v/>
      </c>
      <c r="G82" s="68" t="str">
        <f aca="false">IF(B82="","",SUMIF(取込チェック!$C$6:$C$505,B82,取込チェック!$D$6:$D$505))</f>
        <v/>
      </c>
      <c r="H82" s="68" t="str">
        <f aca="false">IF(B82="","",SUMIF(取込チェック!$C$6:$C$505,B82,取込チェック!$E$6:$E$505))</f>
        <v/>
      </c>
      <c r="I82" s="68" t="str">
        <f aca="false">IF(B82="","",SUMIF(取込チェック!$C$6:$C$505,B82,取込チェック!$F$6:$F$505))</f>
        <v/>
      </c>
      <c r="J82" s="69" t="str">
        <f aca="false">IF(F82&lt;&gt;1,"",IF(H82=0,"-",G82/H82))</f>
        <v/>
      </c>
      <c r="K82" s="67" t="str">
        <f aca="false">IF(F82&lt;&gt;1,"",COUNTIFS($E$5:$E$304,E82,$F$5:$F$304,1,$B$5:$B$304,"&lt;"&amp;B82)+1)</f>
        <v/>
      </c>
      <c r="L82" s="67" t="str">
        <f aca="false">IF(K82="","",E82&amp;"|"&amp;K82)</f>
        <v/>
      </c>
      <c r="M82" s="67" t="str">
        <f aca="false">IF(F82&lt;&gt;1,"",IF(COUNTIFS($C$5:C82,C82,$F$5:F82,1)=1,1,0))</f>
        <v/>
      </c>
      <c r="N82" s="67" t="str">
        <f aca="false">IF(M82&lt;&gt;1,"",_xlfn.MINIFS($B$5:$B$304,$C$5:$C$304,C82,$F$5:$F$304,1))</f>
        <v/>
      </c>
      <c r="O82" s="67" t="str">
        <f aca="false">IF(M82&lt;&gt;1,"",COUNTIFS($M$5:$M$304,1,$N$5:$N$304,"&lt;"&amp;N82)+1)</f>
        <v/>
      </c>
      <c r="P82" s="68" t="str">
        <f aca="false">IF(OR(B82="",取込チェック!$K$3=0),"",SUMIF(取込チェック!$K$6:$K$505,B82,取込チェック!$L$6:$L$505))</f>
        <v/>
      </c>
      <c r="Q82" s="68" t="str">
        <f aca="false">IF(OR(B82="",取込チェック!$K$3=0),"",SUMIF(取込チェック!$K$6:$K$505,B82,取込チェック!$M$6:$M$505))</f>
        <v/>
      </c>
      <c r="R82" s="68" t="str">
        <f aca="false">IF(P82="","",G82-P82)</f>
        <v/>
      </c>
      <c r="S82" s="68" t="str">
        <f aca="false">IF(Q82="","",I82-Q82)</f>
        <v/>
      </c>
    </row>
    <row r="83" customFormat="false" ht="15" hidden="false" customHeight="false" outlineLevel="0" collapsed="false">
      <c r="A83" s="64" t="str">
        <f aca="false">IF(B83="","",ROW()-4)</f>
        <v/>
      </c>
      <c r="B83" s="65"/>
      <c r="C83" s="65"/>
      <c r="D83" s="65"/>
      <c r="E83" s="66"/>
      <c r="F83" s="67" t="str">
        <f aca="false">IF(B83="","",IF(COUNTIF(取込チェック!$C$6:$C$505,B83)&gt;0,1,0))</f>
        <v/>
      </c>
      <c r="G83" s="68" t="str">
        <f aca="false">IF(B83="","",SUMIF(取込チェック!$C$6:$C$505,B83,取込チェック!$D$6:$D$505))</f>
        <v/>
      </c>
      <c r="H83" s="68" t="str">
        <f aca="false">IF(B83="","",SUMIF(取込チェック!$C$6:$C$505,B83,取込チェック!$E$6:$E$505))</f>
        <v/>
      </c>
      <c r="I83" s="68" t="str">
        <f aca="false">IF(B83="","",SUMIF(取込チェック!$C$6:$C$505,B83,取込チェック!$F$6:$F$505))</f>
        <v/>
      </c>
      <c r="J83" s="69" t="str">
        <f aca="false">IF(F83&lt;&gt;1,"",IF(H83=0,"-",G83/H83))</f>
        <v/>
      </c>
      <c r="K83" s="67" t="str">
        <f aca="false">IF(F83&lt;&gt;1,"",COUNTIFS($E$5:$E$304,E83,$F$5:$F$304,1,$B$5:$B$304,"&lt;"&amp;B83)+1)</f>
        <v/>
      </c>
      <c r="L83" s="67" t="str">
        <f aca="false">IF(K83="","",E83&amp;"|"&amp;K83)</f>
        <v/>
      </c>
      <c r="M83" s="67" t="str">
        <f aca="false">IF(F83&lt;&gt;1,"",IF(COUNTIFS($C$5:C83,C83,$F$5:F83,1)=1,1,0))</f>
        <v/>
      </c>
      <c r="N83" s="67" t="str">
        <f aca="false">IF(M83&lt;&gt;1,"",_xlfn.MINIFS($B$5:$B$304,$C$5:$C$304,C83,$F$5:$F$304,1))</f>
        <v/>
      </c>
      <c r="O83" s="67" t="str">
        <f aca="false">IF(M83&lt;&gt;1,"",COUNTIFS($M$5:$M$304,1,$N$5:$N$304,"&lt;"&amp;N83)+1)</f>
        <v/>
      </c>
      <c r="P83" s="68" t="str">
        <f aca="false">IF(OR(B83="",取込チェック!$K$3=0),"",SUMIF(取込チェック!$K$6:$K$505,B83,取込チェック!$L$6:$L$505))</f>
        <v/>
      </c>
      <c r="Q83" s="68" t="str">
        <f aca="false">IF(OR(B83="",取込チェック!$K$3=0),"",SUMIF(取込チェック!$K$6:$K$505,B83,取込チェック!$M$6:$M$505))</f>
        <v/>
      </c>
      <c r="R83" s="68" t="str">
        <f aca="false">IF(P83="","",G83-P83)</f>
        <v/>
      </c>
      <c r="S83" s="68" t="str">
        <f aca="false">IF(Q83="","",I83-Q83)</f>
        <v/>
      </c>
    </row>
    <row r="84" customFormat="false" ht="15" hidden="false" customHeight="false" outlineLevel="0" collapsed="false">
      <c r="A84" s="64" t="str">
        <f aca="false">IF(B84="","",ROW()-4)</f>
        <v/>
      </c>
      <c r="B84" s="65"/>
      <c r="C84" s="65"/>
      <c r="D84" s="65"/>
      <c r="E84" s="66"/>
      <c r="F84" s="67" t="str">
        <f aca="false">IF(B84="","",IF(COUNTIF(取込チェック!$C$6:$C$505,B84)&gt;0,1,0))</f>
        <v/>
      </c>
      <c r="G84" s="68" t="str">
        <f aca="false">IF(B84="","",SUMIF(取込チェック!$C$6:$C$505,B84,取込チェック!$D$6:$D$505))</f>
        <v/>
      </c>
      <c r="H84" s="68" t="str">
        <f aca="false">IF(B84="","",SUMIF(取込チェック!$C$6:$C$505,B84,取込チェック!$E$6:$E$505))</f>
        <v/>
      </c>
      <c r="I84" s="68" t="str">
        <f aca="false">IF(B84="","",SUMIF(取込チェック!$C$6:$C$505,B84,取込チェック!$F$6:$F$505))</f>
        <v/>
      </c>
      <c r="J84" s="69" t="str">
        <f aca="false">IF(F84&lt;&gt;1,"",IF(H84=0,"-",G84/H84))</f>
        <v/>
      </c>
      <c r="K84" s="67" t="str">
        <f aca="false">IF(F84&lt;&gt;1,"",COUNTIFS($E$5:$E$304,E84,$F$5:$F$304,1,$B$5:$B$304,"&lt;"&amp;B84)+1)</f>
        <v/>
      </c>
      <c r="L84" s="67" t="str">
        <f aca="false">IF(K84="","",E84&amp;"|"&amp;K84)</f>
        <v/>
      </c>
      <c r="M84" s="67" t="str">
        <f aca="false">IF(F84&lt;&gt;1,"",IF(COUNTIFS($C$5:C84,C84,$F$5:F84,1)=1,1,0))</f>
        <v/>
      </c>
      <c r="N84" s="67" t="str">
        <f aca="false">IF(M84&lt;&gt;1,"",_xlfn.MINIFS($B$5:$B$304,$C$5:$C$304,C84,$F$5:$F$304,1))</f>
        <v/>
      </c>
      <c r="O84" s="67" t="str">
        <f aca="false">IF(M84&lt;&gt;1,"",COUNTIFS($M$5:$M$304,1,$N$5:$N$304,"&lt;"&amp;N84)+1)</f>
        <v/>
      </c>
      <c r="P84" s="68" t="str">
        <f aca="false">IF(OR(B84="",取込チェック!$K$3=0),"",SUMIF(取込チェック!$K$6:$K$505,B84,取込チェック!$L$6:$L$505))</f>
        <v/>
      </c>
      <c r="Q84" s="68" t="str">
        <f aca="false">IF(OR(B84="",取込チェック!$K$3=0),"",SUMIF(取込チェック!$K$6:$K$505,B84,取込チェック!$M$6:$M$505))</f>
        <v/>
      </c>
      <c r="R84" s="68" t="str">
        <f aca="false">IF(P84="","",G84-P84)</f>
        <v/>
      </c>
      <c r="S84" s="68" t="str">
        <f aca="false">IF(Q84="","",I84-Q84)</f>
        <v/>
      </c>
    </row>
    <row r="85" customFormat="false" ht="15" hidden="false" customHeight="false" outlineLevel="0" collapsed="false">
      <c r="A85" s="64" t="str">
        <f aca="false">IF(B85="","",ROW()-4)</f>
        <v/>
      </c>
      <c r="B85" s="65"/>
      <c r="C85" s="65"/>
      <c r="D85" s="65"/>
      <c r="E85" s="66"/>
      <c r="F85" s="67" t="str">
        <f aca="false">IF(B85="","",IF(COUNTIF(取込チェック!$C$6:$C$505,B85)&gt;0,1,0))</f>
        <v/>
      </c>
      <c r="G85" s="68" t="str">
        <f aca="false">IF(B85="","",SUMIF(取込チェック!$C$6:$C$505,B85,取込チェック!$D$6:$D$505))</f>
        <v/>
      </c>
      <c r="H85" s="68" t="str">
        <f aca="false">IF(B85="","",SUMIF(取込チェック!$C$6:$C$505,B85,取込チェック!$E$6:$E$505))</f>
        <v/>
      </c>
      <c r="I85" s="68" t="str">
        <f aca="false">IF(B85="","",SUMIF(取込チェック!$C$6:$C$505,B85,取込チェック!$F$6:$F$505))</f>
        <v/>
      </c>
      <c r="J85" s="69" t="str">
        <f aca="false">IF(F85&lt;&gt;1,"",IF(H85=0,"-",G85/H85))</f>
        <v/>
      </c>
      <c r="K85" s="67" t="str">
        <f aca="false">IF(F85&lt;&gt;1,"",COUNTIFS($E$5:$E$304,E85,$F$5:$F$304,1,$B$5:$B$304,"&lt;"&amp;B85)+1)</f>
        <v/>
      </c>
      <c r="L85" s="67" t="str">
        <f aca="false">IF(K85="","",E85&amp;"|"&amp;K85)</f>
        <v/>
      </c>
      <c r="M85" s="67" t="str">
        <f aca="false">IF(F85&lt;&gt;1,"",IF(COUNTIFS($C$5:C85,C85,$F$5:F85,1)=1,1,0))</f>
        <v/>
      </c>
      <c r="N85" s="67" t="str">
        <f aca="false">IF(M85&lt;&gt;1,"",_xlfn.MINIFS($B$5:$B$304,$C$5:$C$304,C85,$F$5:$F$304,1))</f>
        <v/>
      </c>
      <c r="O85" s="67" t="str">
        <f aca="false">IF(M85&lt;&gt;1,"",COUNTIFS($M$5:$M$304,1,$N$5:$N$304,"&lt;"&amp;N85)+1)</f>
        <v/>
      </c>
      <c r="P85" s="68" t="str">
        <f aca="false">IF(OR(B85="",取込チェック!$K$3=0),"",SUMIF(取込チェック!$K$6:$K$505,B85,取込チェック!$L$6:$L$505))</f>
        <v/>
      </c>
      <c r="Q85" s="68" t="str">
        <f aca="false">IF(OR(B85="",取込チェック!$K$3=0),"",SUMIF(取込チェック!$K$6:$K$505,B85,取込チェック!$M$6:$M$505))</f>
        <v/>
      </c>
      <c r="R85" s="68" t="str">
        <f aca="false">IF(P85="","",G85-P85)</f>
        <v/>
      </c>
      <c r="S85" s="68" t="str">
        <f aca="false">IF(Q85="","",I85-Q85)</f>
        <v/>
      </c>
    </row>
    <row r="86" customFormat="false" ht="15" hidden="false" customHeight="false" outlineLevel="0" collapsed="false">
      <c r="A86" s="64" t="str">
        <f aca="false">IF(B86="","",ROW()-4)</f>
        <v/>
      </c>
      <c r="B86" s="65"/>
      <c r="C86" s="65"/>
      <c r="D86" s="65"/>
      <c r="E86" s="66"/>
      <c r="F86" s="67" t="str">
        <f aca="false">IF(B86="","",IF(COUNTIF(取込チェック!$C$6:$C$505,B86)&gt;0,1,0))</f>
        <v/>
      </c>
      <c r="G86" s="68" t="str">
        <f aca="false">IF(B86="","",SUMIF(取込チェック!$C$6:$C$505,B86,取込チェック!$D$6:$D$505))</f>
        <v/>
      </c>
      <c r="H86" s="68" t="str">
        <f aca="false">IF(B86="","",SUMIF(取込チェック!$C$6:$C$505,B86,取込チェック!$E$6:$E$505))</f>
        <v/>
      </c>
      <c r="I86" s="68" t="str">
        <f aca="false">IF(B86="","",SUMIF(取込チェック!$C$6:$C$505,B86,取込チェック!$F$6:$F$505))</f>
        <v/>
      </c>
      <c r="J86" s="69" t="str">
        <f aca="false">IF(F86&lt;&gt;1,"",IF(H86=0,"-",G86/H86))</f>
        <v/>
      </c>
      <c r="K86" s="67" t="str">
        <f aca="false">IF(F86&lt;&gt;1,"",COUNTIFS($E$5:$E$304,E86,$F$5:$F$304,1,$B$5:$B$304,"&lt;"&amp;B86)+1)</f>
        <v/>
      </c>
      <c r="L86" s="67" t="str">
        <f aca="false">IF(K86="","",E86&amp;"|"&amp;K86)</f>
        <v/>
      </c>
      <c r="M86" s="67" t="str">
        <f aca="false">IF(F86&lt;&gt;1,"",IF(COUNTIFS($C$5:C86,C86,$F$5:F86,1)=1,1,0))</f>
        <v/>
      </c>
      <c r="N86" s="67" t="str">
        <f aca="false">IF(M86&lt;&gt;1,"",_xlfn.MINIFS($B$5:$B$304,$C$5:$C$304,C86,$F$5:$F$304,1))</f>
        <v/>
      </c>
      <c r="O86" s="67" t="str">
        <f aca="false">IF(M86&lt;&gt;1,"",COUNTIFS($M$5:$M$304,1,$N$5:$N$304,"&lt;"&amp;N86)+1)</f>
        <v/>
      </c>
      <c r="P86" s="68" t="str">
        <f aca="false">IF(OR(B86="",取込チェック!$K$3=0),"",SUMIF(取込チェック!$K$6:$K$505,B86,取込チェック!$L$6:$L$505))</f>
        <v/>
      </c>
      <c r="Q86" s="68" t="str">
        <f aca="false">IF(OR(B86="",取込チェック!$K$3=0),"",SUMIF(取込チェック!$K$6:$K$505,B86,取込チェック!$M$6:$M$505))</f>
        <v/>
      </c>
      <c r="R86" s="68" t="str">
        <f aca="false">IF(P86="","",G86-P86)</f>
        <v/>
      </c>
      <c r="S86" s="68" t="str">
        <f aca="false">IF(Q86="","",I86-Q86)</f>
        <v/>
      </c>
    </row>
    <row r="87" customFormat="false" ht="15" hidden="false" customHeight="false" outlineLevel="0" collapsed="false">
      <c r="A87" s="64" t="str">
        <f aca="false">IF(B87="","",ROW()-4)</f>
        <v/>
      </c>
      <c r="B87" s="65"/>
      <c r="C87" s="65"/>
      <c r="D87" s="65"/>
      <c r="E87" s="66"/>
      <c r="F87" s="67" t="str">
        <f aca="false">IF(B87="","",IF(COUNTIF(取込チェック!$C$6:$C$505,B87)&gt;0,1,0))</f>
        <v/>
      </c>
      <c r="G87" s="68" t="str">
        <f aca="false">IF(B87="","",SUMIF(取込チェック!$C$6:$C$505,B87,取込チェック!$D$6:$D$505))</f>
        <v/>
      </c>
      <c r="H87" s="68" t="str">
        <f aca="false">IF(B87="","",SUMIF(取込チェック!$C$6:$C$505,B87,取込チェック!$E$6:$E$505))</f>
        <v/>
      </c>
      <c r="I87" s="68" t="str">
        <f aca="false">IF(B87="","",SUMIF(取込チェック!$C$6:$C$505,B87,取込チェック!$F$6:$F$505))</f>
        <v/>
      </c>
      <c r="J87" s="69" t="str">
        <f aca="false">IF(F87&lt;&gt;1,"",IF(H87=0,"-",G87/H87))</f>
        <v/>
      </c>
      <c r="K87" s="67" t="str">
        <f aca="false">IF(F87&lt;&gt;1,"",COUNTIFS($E$5:$E$304,E87,$F$5:$F$304,1,$B$5:$B$304,"&lt;"&amp;B87)+1)</f>
        <v/>
      </c>
      <c r="L87" s="67" t="str">
        <f aca="false">IF(K87="","",E87&amp;"|"&amp;K87)</f>
        <v/>
      </c>
      <c r="M87" s="67" t="str">
        <f aca="false">IF(F87&lt;&gt;1,"",IF(COUNTIFS($C$5:C87,C87,$F$5:F87,1)=1,1,0))</f>
        <v/>
      </c>
      <c r="N87" s="67" t="str">
        <f aca="false">IF(M87&lt;&gt;1,"",_xlfn.MINIFS($B$5:$B$304,$C$5:$C$304,C87,$F$5:$F$304,1))</f>
        <v/>
      </c>
      <c r="O87" s="67" t="str">
        <f aca="false">IF(M87&lt;&gt;1,"",COUNTIFS($M$5:$M$304,1,$N$5:$N$304,"&lt;"&amp;N87)+1)</f>
        <v/>
      </c>
      <c r="P87" s="68" t="str">
        <f aca="false">IF(OR(B87="",取込チェック!$K$3=0),"",SUMIF(取込チェック!$K$6:$K$505,B87,取込チェック!$L$6:$L$505))</f>
        <v/>
      </c>
      <c r="Q87" s="68" t="str">
        <f aca="false">IF(OR(B87="",取込チェック!$K$3=0),"",SUMIF(取込チェック!$K$6:$K$505,B87,取込チェック!$M$6:$M$505))</f>
        <v/>
      </c>
      <c r="R87" s="68" t="str">
        <f aca="false">IF(P87="","",G87-P87)</f>
        <v/>
      </c>
      <c r="S87" s="68" t="str">
        <f aca="false">IF(Q87="","",I87-Q87)</f>
        <v/>
      </c>
    </row>
    <row r="88" customFormat="false" ht="15" hidden="false" customHeight="false" outlineLevel="0" collapsed="false">
      <c r="A88" s="64" t="str">
        <f aca="false">IF(B88="","",ROW()-4)</f>
        <v/>
      </c>
      <c r="B88" s="65"/>
      <c r="C88" s="65"/>
      <c r="D88" s="65"/>
      <c r="E88" s="66"/>
      <c r="F88" s="67" t="str">
        <f aca="false">IF(B88="","",IF(COUNTIF(取込チェック!$C$6:$C$505,B88)&gt;0,1,0))</f>
        <v/>
      </c>
      <c r="G88" s="68" t="str">
        <f aca="false">IF(B88="","",SUMIF(取込チェック!$C$6:$C$505,B88,取込チェック!$D$6:$D$505))</f>
        <v/>
      </c>
      <c r="H88" s="68" t="str">
        <f aca="false">IF(B88="","",SUMIF(取込チェック!$C$6:$C$505,B88,取込チェック!$E$6:$E$505))</f>
        <v/>
      </c>
      <c r="I88" s="68" t="str">
        <f aca="false">IF(B88="","",SUMIF(取込チェック!$C$6:$C$505,B88,取込チェック!$F$6:$F$505))</f>
        <v/>
      </c>
      <c r="J88" s="69" t="str">
        <f aca="false">IF(F88&lt;&gt;1,"",IF(H88=0,"-",G88/H88))</f>
        <v/>
      </c>
      <c r="K88" s="67" t="str">
        <f aca="false">IF(F88&lt;&gt;1,"",COUNTIFS($E$5:$E$304,E88,$F$5:$F$304,1,$B$5:$B$304,"&lt;"&amp;B88)+1)</f>
        <v/>
      </c>
      <c r="L88" s="67" t="str">
        <f aca="false">IF(K88="","",E88&amp;"|"&amp;K88)</f>
        <v/>
      </c>
      <c r="M88" s="67" t="str">
        <f aca="false">IF(F88&lt;&gt;1,"",IF(COUNTIFS($C$5:C88,C88,$F$5:F88,1)=1,1,0))</f>
        <v/>
      </c>
      <c r="N88" s="67" t="str">
        <f aca="false">IF(M88&lt;&gt;1,"",_xlfn.MINIFS($B$5:$B$304,$C$5:$C$304,C88,$F$5:$F$304,1))</f>
        <v/>
      </c>
      <c r="O88" s="67" t="str">
        <f aca="false">IF(M88&lt;&gt;1,"",COUNTIFS($M$5:$M$304,1,$N$5:$N$304,"&lt;"&amp;N88)+1)</f>
        <v/>
      </c>
      <c r="P88" s="68" t="str">
        <f aca="false">IF(OR(B88="",取込チェック!$K$3=0),"",SUMIF(取込チェック!$K$6:$K$505,B88,取込チェック!$L$6:$L$505))</f>
        <v/>
      </c>
      <c r="Q88" s="68" t="str">
        <f aca="false">IF(OR(B88="",取込チェック!$K$3=0),"",SUMIF(取込チェック!$K$6:$K$505,B88,取込チェック!$M$6:$M$505))</f>
        <v/>
      </c>
      <c r="R88" s="68" t="str">
        <f aca="false">IF(P88="","",G88-P88)</f>
        <v/>
      </c>
      <c r="S88" s="68" t="str">
        <f aca="false">IF(Q88="","",I88-Q88)</f>
        <v/>
      </c>
    </row>
    <row r="89" customFormat="false" ht="15" hidden="false" customHeight="false" outlineLevel="0" collapsed="false">
      <c r="A89" s="64" t="str">
        <f aca="false">IF(B89="","",ROW()-4)</f>
        <v/>
      </c>
      <c r="B89" s="65"/>
      <c r="C89" s="65"/>
      <c r="D89" s="65"/>
      <c r="E89" s="66"/>
      <c r="F89" s="67" t="str">
        <f aca="false">IF(B89="","",IF(COUNTIF(取込チェック!$C$6:$C$505,B89)&gt;0,1,0))</f>
        <v/>
      </c>
      <c r="G89" s="68" t="str">
        <f aca="false">IF(B89="","",SUMIF(取込チェック!$C$6:$C$505,B89,取込チェック!$D$6:$D$505))</f>
        <v/>
      </c>
      <c r="H89" s="68" t="str">
        <f aca="false">IF(B89="","",SUMIF(取込チェック!$C$6:$C$505,B89,取込チェック!$E$6:$E$505))</f>
        <v/>
      </c>
      <c r="I89" s="68" t="str">
        <f aca="false">IF(B89="","",SUMIF(取込チェック!$C$6:$C$505,B89,取込チェック!$F$6:$F$505))</f>
        <v/>
      </c>
      <c r="J89" s="69" t="str">
        <f aca="false">IF(F89&lt;&gt;1,"",IF(H89=0,"-",G89/H89))</f>
        <v/>
      </c>
      <c r="K89" s="67" t="str">
        <f aca="false">IF(F89&lt;&gt;1,"",COUNTIFS($E$5:$E$304,E89,$F$5:$F$304,1,$B$5:$B$304,"&lt;"&amp;B89)+1)</f>
        <v/>
      </c>
      <c r="L89" s="67" t="str">
        <f aca="false">IF(K89="","",E89&amp;"|"&amp;K89)</f>
        <v/>
      </c>
      <c r="M89" s="67" t="str">
        <f aca="false">IF(F89&lt;&gt;1,"",IF(COUNTIFS($C$5:C89,C89,$F$5:F89,1)=1,1,0))</f>
        <v/>
      </c>
      <c r="N89" s="67" t="str">
        <f aca="false">IF(M89&lt;&gt;1,"",_xlfn.MINIFS($B$5:$B$304,$C$5:$C$304,C89,$F$5:$F$304,1))</f>
        <v/>
      </c>
      <c r="O89" s="67" t="str">
        <f aca="false">IF(M89&lt;&gt;1,"",COUNTIFS($M$5:$M$304,1,$N$5:$N$304,"&lt;"&amp;N89)+1)</f>
        <v/>
      </c>
      <c r="P89" s="68" t="str">
        <f aca="false">IF(OR(B89="",取込チェック!$K$3=0),"",SUMIF(取込チェック!$K$6:$K$505,B89,取込チェック!$L$6:$L$505))</f>
        <v/>
      </c>
      <c r="Q89" s="68" t="str">
        <f aca="false">IF(OR(B89="",取込チェック!$K$3=0),"",SUMIF(取込チェック!$K$6:$K$505,B89,取込チェック!$M$6:$M$505))</f>
        <v/>
      </c>
      <c r="R89" s="68" t="str">
        <f aca="false">IF(P89="","",G89-P89)</f>
        <v/>
      </c>
      <c r="S89" s="68" t="str">
        <f aca="false">IF(Q89="","",I89-Q89)</f>
        <v/>
      </c>
    </row>
    <row r="90" customFormat="false" ht="15" hidden="false" customHeight="false" outlineLevel="0" collapsed="false">
      <c r="A90" s="64" t="str">
        <f aca="false">IF(B90="","",ROW()-4)</f>
        <v/>
      </c>
      <c r="B90" s="65"/>
      <c r="C90" s="65"/>
      <c r="D90" s="65"/>
      <c r="E90" s="66"/>
      <c r="F90" s="67" t="str">
        <f aca="false">IF(B90="","",IF(COUNTIF(取込チェック!$C$6:$C$505,B90)&gt;0,1,0))</f>
        <v/>
      </c>
      <c r="G90" s="68" t="str">
        <f aca="false">IF(B90="","",SUMIF(取込チェック!$C$6:$C$505,B90,取込チェック!$D$6:$D$505))</f>
        <v/>
      </c>
      <c r="H90" s="68" t="str">
        <f aca="false">IF(B90="","",SUMIF(取込チェック!$C$6:$C$505,B90,取込チェック!$E$6:$E$505))</f>
        <v/>
      </c>
      <c r="I90" s="68" t="str">
        <f aca="false">IF(B90="","",SUMIF(取込チェック!$C$6:$C$505,B90,取込チェック!$F$6:$F$505))</f>
        <v/>
      </c>
      <c r="J90" s="69" t="str">
        <f aca="false">IF(F90&lt;&gt;1,"",IF(H90=0,"-",G90/H90))</f>
        <v/>
      </c>
      <c r="K90" s="67" t="str">
        <f aca="false">IF(F90&lt;&gt;1,"",COUNTIFS($E$5:$E$304,E90,$F$5:$F$304,1,$B$5:$B$304,"&lt;"&amp;B90)+1)</f>
        <v/>
      </c>
      <c r="L90" s="67" t="str">
        <f aca="false">IF(K90="","",E90&amp;"|"&amp;K90)</f>
        <v/>
      </c>
      <c r="M90" s="67" t="str">
        <f aca="false">IF(F90&lt;&gt;1,"",IF(COUNTIFS($C$5:C90,C90,$F$5:F90,1)=1,1,0))</f>
        <v/>
      </c>
      <c r="N90" s="67" t="str">
        <f aca="false">IF(M90&lt;&gt;1,"",_xlfn.MINIFS($B$5:$B$304,$C$5:$C$304,C90,$F$5:$F$304,1))</f>
        <v/>
      </c>
      <c r="O90" s="67" t="str">
        <f aca="false">IF(M90&lt;&gt;1,"",COUNTIFS($M$5:$M$304,1,$N$5:$N$304,"&lt;"&amp;N90)+1)</f>
        <v/>
      </c>
      <c r="P90" s="68" t="str">
        <f aca="false">IF(OR(B90="",取込チェック!$K$3=0),"",SUMIF(取込チェック!$K$6:$K$505,B90,取込チェック!$L$6:$L$505))</f>
        <v/>
      </c>
      <c r="Q90" s="68" t="str">
        <f aca="false">IF(OR(B90="",取込チェック!$K$3=0),"",SUMIF(取込チェック!$K$6:$K$505,B90,取込チェック!$M$6:$M$505))</f>
        <v/>
      </c>
      <c r="R90" s="68" t="str">
        <f aca="false">IF(P90="","",G90-P90)</f>
        <v/>
      </c>
      <c r="S90" s="68" t="str">
        <f aca="false">IF(Q90="","",I90-Q90)</f>
        <v/>
      </c>
    </row>
    <row r="91" customFormat="false" ht="15" hidden="false" customHeight="false" outlineLevel="0" collapsed="false">
      <c r="A91" s="64" t="str">
        <f aca="false">IF(B91="","",ROW()-4)</f>
        <v/>
      </c>
      <c r="B91" s="65"/>
      <c r="C91" s="65"/>
      <c r="D91" s="65"/>
      <c r="E91" s="66"/>
      <c r="F91" s="67" t="str">
        <f aca="false">IF(B91="","",IF(COUNTIF(取込チェック!$C$6:$C$505,B91)&gt;0,1,0))</f>
        <v/>
      </c>
      <c r="G91" s="68" t="str">
        <f aca="false">IF(B91="","",SUMIF(取込チェック!$C$6:$C$505,B91,取込チェック!$D$6:$D$505))</f>
        <v/>
      </c>
      <c r="H91" s="68" t="str">
        <f aca="false">IF(B91="","",SUMIF(取込チェック!$C$6:$C$505,B91,取込チェック!$E$6:$E$505))</f>
        <v/>
      </c>
      <c r="I91" s="68" t="str">
        <f aca="false">IF(B91="","",SUMIF(取込チェック!$C$6:$C$505,B91,取込チェック!$F$6:$F$505))</f>
        <v/>
      </c>
      <c r="J91" s="69" t="str">
        <f aca="false">IF(F91&lt;&gt;1,"",IF(H91=0,"-",G91/H91))</f>
        <v/>
      </c>
      <c r="K91" s="67" t="str">
        <f aca="false">IF(F91&lt;&gt;1,"",COUNTIFS($E$5:$E$304,E91,$F$5:$F$304,1,$B$5:$B$304,"&lt;"&amp;B91)+1)</f>
        <v/>
      </c>
      <c r="L91" s="67" t="str">
        <f aca="false">IF(K91="","",E91&amp;"|"&amp;K91)</f>
        <v/>
      </c>
      <c r="M91" s="67" t="str">
        <f aca="false">IF(F91&lt;&gt;1,"",IF(COUNTIFS($C$5:C91,C91,$F$5:F91,1)=1,1,0))</f>
        <v/>
      </c>
      <c r="N91" s="67" t="str">
        <f aca="false">IF(M91&lt;&gt;1,"",_xlfn.MINIFS($B$5:$B$304,$C$5:$C$304,C91,$F$5:$F$304,1))</f>
        <v/>
      </c>
      <c r="O91" s="67" t="str">
        <f aca="false">IF(M91&lt;&gt;1,"",COUNTIFS($M$5:$M$304,1,$N$5:$N$304,"&lt;"&amp;N91)+1)</f>
        <v/>
      </c>
      <c r="P91" s="68" t="str">
        <f aca="false">IF(OR(B91="",取込チェック!$K$3=0),"",SUMIF(取込チェック!$K$6:$K$505,B91,取込チェック!$L$6:$L$505))</f>
        <v/>
      </c>
      <c r="Q91" s="68" t="str">
        <f aca="false">IF(OR(B91="",取込チェック!$K$3=0),"",SUMIF(取込チェック!$K$6:$K$505,B91,取込チェック!$M$6:$M$505))</f>
        <v/>
      </c>
      <c r="R91" s="68" t="str">
        <f aca="false">IF(P91="","",G91-P91)</f>
        <v/>
      </c>
      <c r="S91" s="68" t="str">
        <f aca="false">IF(Q91="","",I91-Q91)</f>
        <v/>
      </c>
    </row>
    <row r="92" customFormat="false" ht="15" hidden="false" customHeight="false" outlineLevel="0" collapsed="false">
      <c r="A92" s="64" t="str">
        <f aca="false">IF(B92="","",ROW()-4)</f>
        <v/>
      </c>
      <c r="B92" s="65"/>
      <c r="C92" s="65"/>
      <c r="D92" s="65"/>
      <c r="E92" s="66"/>
      <c r="F92" s="67" t="str">
        <f aca="false">IF(B92="","",IF(COUNTIF(取込チェック!$C$6:$C$505,B92)&gt;0,1,0))</f>
        <v/>
      </c>
      <c r="G92" s="68" t="str">
        <f aca="false">IF(B92="","",SUMIF(取込チェック!$C$6:$C$505,B92,取込チェック!$D$6:$D$505))</f>
        <v/>
      </c>
      <c r="H92" s="68" t="str">
        <f aca="false">IF(B92="","",SUMIF(取込チェック!$C$6:$C$505,B92,取込チェック!$E$6:$E$505))</f>
        <v/>
      </c>
      <c r="I92" s="68" t="str">
        <f aca="false">IF(B92="","",SUMIF(取込チェック!$C$6:$C$505,B92,取込チェック!$F$6:$F$505))</f>
        <v/>
      </c>
      <c r="J92" s="69" t="str">
        <f aca="false">IF(F92&lt;&gt;1,"",IF(H92=0,"-",G92/H92))</f>
        <v/>
      </c>
      <c r="K92" s="67" t="str">
        <f aca="false">IF(F92&lt;&gt;1,"",COUNTIFS($E$5:$E$304,E92,$F$5:$F$304,1,$B$5:$B$304,"&lt;"&amp;B92)+1)</f>
        <v/>
      </c>
      <c r="L92" s="67" t="str">
        <f aca="false">IF(K92="","",E92&amp;"|"&amp;K92)</f>
        <v/>
      </c>
      <c r="M92" s="67" t="str">
        <f aca="false">IF(F92&lt;&gt;1,"",IF(COUNTIFS($C$5:C92,C92,$F$5:F92,1)=1,1,0))</f>
        <v/>
      </c>
      <c r="N92" s="67" t="str">
        <f aca="false">IF(M92&lt;&gt;1,"",_xlfn.MINIFS($B$5:$B$304,$C$5:$C$304,C92,$F$5:$F$304,1))</f>
        <v/>
      </c>
      <c r="O92" s="67" t="str">
        <f aca="false">IF(M92&lt;&gt;1,"",COUNTIFS($M$5:$M$304,1,$N$5:$N$304,"&lt;"&amp;N92)+1)</f>
        <v/>
      </c>
      <c r="P92" s="68" t="str">
        <f aca="false">IF(OR(B92="",取込チェック!$K$3=0),"",SUMIF(取込チェック!$K$6:$K$505,B92,取込チェック!$L$6:$L$505))</f>
        <v/>
      </c>
      <c r="Q92" s="68" t="str">
        <f aca="false">IF(OR(B92="",取込チェック!$K$3=0),"",SUMIF(取込チェック!$K$6:$K$505,B92,取込チェック!$M$6:$M$505))</f>
        <v/>
      </c>
      <c r="R92" s="68" t="str">
        <f aca="false">IF(P92="","",G92-P92)</f>
        <v/>
      </c>
      <c r="S92" s="68" t="str">
        <f aca="false">IF(Q92="","",I92-Q92)</f>
        <v/>
      </c>
    </row>
    <row r="93" customFormat="false" ht="15" hidden="false" customHeight="false" outlineLevel="0" collapsed="false">
      <c r="A93" s="64" t="str">
        <f aca="false">IF(B93="","",ROW()-4)</f>
        <v/>
      </c>
      <c r="B93" s="65"/>
      <c r="C93" s="65"/>
      <c r="D93" s="65"/>
      <c r="E93" s="66"/>
      <c r="F93" s="67" t="str">
        <f aca="false">IF(B93="","",IF(COUNTIF(取込チェック!$C$6:$C$505,B93)&gt;0,1,0))</f>
        <v/>
      </c>
      <c r="G93" s="68" t="str">
        <f aca="false">IF(B93="","",SUMIF(取込チェック!$C$6:$C$505,B93,取込チェック!$D$6:$D$505))</f>
        <v/>
      </c>
      <c r="H93" s="68" t="str">
        <f aca="false">IF(B93="","",SUMIF(取込チェック!$C$6:$C$505,B93,取込チェック!$E$6:$E$505))</f>
        <v/>
      </c>
      <c r="I93" s="68" t="str">
        <f aca="false">IF(B93="","",SUMIF(取込チェック!$C$6:$C$505,B93,取込チェック!$F$6:$F$505))</f>
        <v/>
      </c>
      <c r="J93" s="69" t="str">
        <f aca="false">IF(F93&lt;&gt;1,"",IF(H93=0,"-",G93/H93))</f>
        <v/>
      </c>
      <c r="K93" s="67" t="str">
        <f aca="false">IF(F93&lt;&gt;1,"",COUNTIFS($E$5:$E$304,E93,$F$5:$F$304,1,$B$5:$B$304,"&lt;"&amp;B93)+1)</f>
        <v/>
      </c>
      <c r="L93" s="67" t="str">
        <f aca="false">IF(K93="","",E93&amp;"|"&amp;K93)</f>
        <v/>
      </c>
      <c r="M93" s="67" t="str">
        <f aca="false">IF(F93&lt;&gt;1,"",IF(COUNTIFS($C$5:C93,C93,$F$5:F93,1)=1,1,0))</f>
        <v/>
      </c>
      <c r="N93" s="67" t="str">
        <f aca="false">IF(M93&lt;&gt;1,"",_xlfn.MINIFS($B$5:$B$304,$C$5:$C$304,C93,$F$5:$F$304,1))</f>
        <v/>
      </c>
      <c r="O93" s="67" t="str">
        <f aca="false">IF(M93&lt;&gt;1,"",COUNTIFS($M$5:$M$304,1,$N$5:$N$304,"&lt;"&amp;N93)+1)</f>
        <v/>
      </c>
      <c r="P93" s="68" t="str">
        <f aca="false">IF(OR(B93="",取込チェック!$K$3=0),"",SUMIF(取込チェック!$K$6:$K$505,B93,取込チェック!$L$6:$L$505))</f>
        <v/>
      </c>
      <c r="Q93" s="68" t="str">
        <f aca="false">IF(OR(B93="",取込チェック!$K$3=0),"",SUMIF(取込チェック!$K$6:$K$505,B93,取込チェック!$M$6:$M$505))</f>
        <v/>
      </c>
      <c r="R93" s="68" t="str">
        <f aca="false">IF(P93="","",G93-P93)</f>
        <v/>
      </c>
      <c r="S93" s="68" t="str">
        <f aca="false">IF(Q93="","",I93-Q93)</f>
        <v/>
      </c>
    </row>
    <row r="94" customFormat="false" ht="15" hidden="false" customHeight="false" outlineLevel="0" collapsed="false">
      <c r="A94" s="64" t="str">
        <f aca="false">IF(B94="","",ROW()-4)</f>
        <v/>
      </c>
      <c r="B94" s="65"/>
      <c r="C94" s="65"/>
      <c r="D94" s="65"/>
      <c r="E94" s="66"/>
      <c r="F94" s="67" t="str">
        <f aca="false">IF(B94="","",IF(COUNTIF(取込チェック!$C$6:$C$505,B94)&gt;0,1,0))</f>
        <v/>
      </c>
      <c r="G94" s="68" t="str">
        <f aca="false">IF(B94="","",SUMIF(取込チェック!$C$6:$C$505,B94,取込チェック!$D$6:$D$505))</f>
        <v/>
      </c>
      <c r="H94" s="68" t="str">
        <f aca="false">IF(B94="","",SUMIF(取込チェック!$C$6:$C$505,B94,取込チェック!$E$6:$E$505))</f>
        <v/>
      </c>
      <c r="I94" s="68" t="str">
        <f aca="false">IF(B94="","",SUMIF(取込チェック!$C$6:$C$505,B94,取込チェック!$F$6:$F$505))</f>
        <v/>
      </c>
      <c r="J94" s="69" t="str">
        <f aca="false">IF(F94&lt;&gt;1,"",IF(H94=0,"-",G94/H94))</f>
        <v/>
      </c>
      <c r="K94" s="67" t="str">
        <f aca="false">IF(F94&lt;&gt;1,"",COUNTIFS($E$5:$E$304,E94,$F$5:$F$304,1,$B$5:$B$304,"&lt;"&amp;B94)+1)</f>
        <v/>
      </c>
      <c r="L94" s="67" t="str">
        <f aca="false">IF(K94="","",E94&amp;"|"&amp;K94)</f>
        <v/>
      </c>
      <c r="M94" s="67" t="str">
        <f aca="false">IF(F94&lt;&gt;1,"",IF(COUNTIFS($C$5:C94,C94,$F$5:F94,1)=1,1,0))</f>
        <v/>
      </c>
      <c r="N94" s="67" t="str">
        <f aca="false">IF(M94&lt;&gt;1,"",_xlfn.MINIFS($B$5:$B$304,$C$5:$C$304,C94,$F$5:$F$304,1))</f>
        <v/>
      </c>
      <c r="O94" s="67" t="str">
        <f aca="false">IF(M94&lt;&gt;1,"",COUNTIFS($M$5:$M$304,1,$N$5:$N$304,"&lt;"&amp;N94)+1)</f>
        <v/>
      </c>
      <c r="P94" s="68" t="str">
        <f aca="false">IF(OR(B94="",取込チェック!$K$3=0),"",SUMIF(取込チェック!$K$6:$K$505,B94,取込チェック!$L$6:$L$505))</f>
        <v/>
      </c>
      <c r="Q94" s="68" t="str">
        <f aca="false">IF(OR(B94="",取込チェック!$K$3=0),"",SUMIF(取込チェック!$K$6:$K$505,B94,取込チェック!$M$6:$M$505))</f>
        <v/>
      </c>
      <c r="R94" s="68" t="str">
        <f aca="false">IF(P94="","",G94-P94)</f>
        <v/>
      </c>
      <c r="S94" s="68" t="str">
        <f aca="false">IF(Q94="","",I94-Q94)</f>
        <v/>
      </c>
    </row>
    <row r="95" customFormat="false" ht="15" hidden="false" customHeight="false" outlineLevel="0" collapsed="false">
      <c r="A95" s="64" t="str">
        <f aca="false">IF(B95="","",ROW()-4)</f>
        <v/>
      </c>
      <c r="B95" s="65"/>
      <c r="C95" s="65"/>
      <c r="D95" s="65"/>
      <c r="E95" s="66"/>
      <c r="F95" s="67" t="str">
        <f aca="false">IF(B95="","",IF(COUNTIF(取込チェック!$C$6:$C$505,B95)&gt;0,1,0))</f>
        <v/>
      </c>
      <c r="G95" s="68" t="str">
        <f aca="false">IF(B95="","",SUMIF(取込チェック!$C$6:$C$505,B95,取込チェック!$D$6:$D$505))</f>
        <v/>
      </c>
      <c r="H95" s="68" t="str">
        <f aca="false">IF(B95="","",SUMIF(取込チェック!$C$6:$C$505,B95,取込チェック!$E$6:$E$505))</f>
        <v/>
      </c>
      <c r="I95" s="68" t="str">
        <f aca="false">IF(B95="","",SUMIF(取込チェック!$C$6:$C$505,B95,取込チェック!$F$6:$F$505))</f>
        <v/>
      </c>
      <c r="J95" s="69" t="str">
        <f aca="false">IF(F95&lt;&gt;1,"",IF(H95=0,"-",G95/H95))</f>
        <v/>
      </c>
      <c r="K95" s="67" t="str">
        <f aca="false">IF(F95&lt;&gt;1,"",COUNTIFS($E$5:$E$304,E95,$F$5:$F$304,1,$B$5:$B$304,"&lt;"&amp;B95)+1)</f>
        <v/>
      </c>
      <c r="L95" s="67" t="str">
        <f aca="false">IF(K95="","",E95&amp;"|"&amp;K95)</f>
        <v/>
      </c>
      <c r="M95" s="67" t="str">
        <f aca="false">IF(F95&lt;&gt;1,"",IF(COUNTIFS($C$5:C95,C95,$F$5:F95,1)=1,1,0))</f>
        <v/>
      </c>
      <c r="N95" s="67" t="str">
        <f aca="false">IF(M95&lt;&gt;1,"",_xlfn.MINIFS($B$5:$B$304,$C$5:$C$304,C95,$F$5:$F$304,1))</f>
        <v/>
      </c>
      <c r="O95" s="67" t="str">
        <f aca="false">IF(M95&lt;&gt;1,"",COUNTIFS($M$5:$M$304,1,$N$5:$N$304,"&lt;"&amp;N95)+1)</f>
        <v/>
      </c>
      <c r="P95" s="68" t="str">
        <f aca="false">IF(OR(B95="",取込チェック!$K$3=0),"",SUMIF(取込チェック!$K$6:$K$505,B95,取込チェック!$L$6:$L$505))</f>
        <v/>
      </c>
      <c r="Q95" s="68" t="str">
        <f aca="false">IF(OR(B95="",取込チェック!$K$3=0),"",SUMIF(取込チェック!$K$6:$K$505,B95,取込チェック!$M$6:$M$505))</f>
        <v/>
      </c>
      <c r="R95" s="68" t="str">
        <f aca="false">IF(P95="","",G95-P95)</f>
        <v/>
      </c>
      <c r="S95" s="68" t="str">
        <f aca="false">IF(Q95="","",I95-Q95)</f>
        <v/>
      </c>
    </row>
    <row r="96" customFormat="false" ht="15" hidden="false" customHeight="false" outlineLevel="0" collapsed="false">
      <c r="A96" s="64" t="str">
        <f aca="false">IF(B96="","",ROW()-4)</f>
        <v/>
      </c>
      <c r="B96" s="65"/>
      <c r="C96" s="65"/>
      <c r="D96" s="65"/>
      <c r="E96" s="66"/>
      <c r="F96" s="67" t="str">
        <f aca="false">IF(B96="","",IF(COUNTIF(取込チェック!$C$6:$C$505,B96)&gt;0,1,0))</f>
        <v/>
      </c>
      <c r="G96" s="68" t="str">
        <f aca="false">IF(B96="","",SUMIF(取込チェック!$C$6:$C$505,B96,取込チェック!$D$6:$D$505))</f>
        <v/>
      </c>
      <c r="H96" s="68" t="str">
        <f aca="false">IF(B96="","",SUMIF(取込チェック!$C$6:$C$505,B96,取込チェック!$E$6:$E$505))</f>
        <v/>
      </c>
      <c r="I96" s="68" t="str">
        <f aca="false">IF(B96="","",SUMIF(取込チェック!$C$6:$C$505,B96,取込チェック!$F$6:$F$505))</f>
        <v/>
      </c>
      <c r="J96" s="69" t="str">
        <f aca="false">IF(F96&lt;&gt;1,"",IF(H96=0,"-",G96/H96))</f>
        <v/>
      </c>
      <c r="K96" s="67" t="str">
        <f aca="false">IF(F96&lt;&gt;1,"",COUNTIFS($E$5:$E$304,E96,$F$5:$F$304,1,$B$5:$B$304,"&lt;"&amp;B96)+1)</f>
        <v/>
      </c>
      <c r="L96" s="67" t="str">
        <f aca="false">IF(K96="","",E96&amp;"|"&amp;K96)</f>
        <v/>
      </c>
      <c r="M96" s="67" t="str">
        <f aca="false">IF(F96&lt;&gt;1,"",IF(COUNTIFS($C$5:C96,C96,$F$5:F96,1)=1,1,0))</f>
        <v/>
      </c>
      <c r="N96" s="67" t="str">
        <f aca="false">IF(M96&lt;&gt;1,"",_xlfn.MINIFS($B$5:$B$304,$C$5:$C$304,C96,$F$5:$F$304,1))</f>
        <v/>
      </c>
      <c r="O96" s="67" t="str">
        <f aca="false">IF(M96&lt;&gt;1,"",COUNTIFS($M$5:$M$304,1,$N$5:$N$304,"&lt;"&amp;N96)+1)</f>
        <v/>
      </c>
      <c r="P96" s="68" t="str">
        <f aca="false">IF(OR(B96="",取込チェック!$K$3=0),"",SUMIF(取込チェック!$K$6:$K$505,B96,取込チェック!$L$6:$L$505))</f>
        <v/>
      </c>
      <c r="Q96" s="68" t="str">
        <f aca="false">IF(OR(B96="",取込チェック!$K$3=0),"",SUMIF(取込チェック!$K$6:$K$505,B96,取込チェック!$M$6:$M$505))</f>
        <v/>
      </c>
      <c r="R96" s="68" t="str">
        <f aca="false">IF(P96="","",G96-P96)</f>
        <v/>
      </c>
      <c r="S96" s="68" t="str">
        <f aca="false">IF(Q96="","",I96-Q96)</f>
        <v/>
      </c>
    </row>
    <row r="97" customFormat="false" ht="15" hidden="false" customHeight="false" outlineLevel="0" collapsed="false">
      <c r="A97" s="64" t="str">
        <f aca="false">IF(B97="","",ROW()-4)</f>
        <v/>
      </c>
      <c r="B97" s="65"/>
      <c r="C97" s="65"/>
      <c r="D97" s="65"/>
      <c r="E97" s="66"/>
      <c r="F97" s="67" t="str">
        <f aca="false">IF(B97="","",IF(COUNTIF(取込チェック!$C$6:$C$505,B97)&gt;0,1,0))</f>
        <v/>
      </c>
      <c r="G97" s="68" t="str">
        <f aca="false">IF(B97="","",SUMIF(取込チェック!$C$6:$C$505,B97,取込チェック!$D$6:$D$505))</f>
        <v/>
      </c>
      <c r="H97" s="68" t="str">
        <f aca="false">IF(B97="","",SUMIF(取込チェック!$C$6:$C$505,B97,取込チェック!$E$6:$E$505))</f>
        <v/>
      </c>
      <c r="I97" s="68" t="str">
        <f aca="false">IF(B97="","",SUMIF(取込チェック!$C$6:$C$505,B97,取込チェック!$F$6:$F$505))</f>
        <v/>
      </c>
      <c r="J97" s="69" t="str">
        <f aca="false">IF(F97&lt;&gt;1,"",IF(H97=0,"-",G97/H97))</f>
        <v/>
      </c>
      <c r="K97" s="67" t="str">
        <f aca="false">IF(F97&lt;&gt;1,"",COUNTIFS($E$5:$E$304,E97,$F$5:$F$304,1,$B$5:$B$304,"&lt;"&amp;B97)+1)</f>
        <v/>
      </c>
      <c r="L97" s="67" t="str">
        <f aca="false">IF(K97="","",E97&amp;"|"&amp;K97)</f>
        <v/>
      </c>
      <c r="M97" s="67" t="str">
        <f aca="false">IF(F97&lt;&gt;1,"",IF(COUNTIFS($C$5:C97,C97,$F$5:F97,1)=1,1,0))</f>
        <v/>
      </c>
      <c r="N97" s="67" t="str">
        <f aca="false">IF(M97&lt;&gt;1,"",_xlfn.MINIFS($B$5:$B$304,$C$5:$C$304,C97,$F$5:$F$304,1))</f>
        <v/>
      </c>
      <c r="O97" s="67" t="str">
        <f aca="false">IF(M97&lt;&gt;1,"",COUNTIFS($M$5:$M$304,1,$N$5:$N$304,"&lt;"&amp;N97)+1)</f>
        <v/>
      </c>
      <c r="P97" s="68" t="str">
        <f aca="false">IF(OR(B97="",取込チェック!$K$3=0),"",SUMIF(取込チェック!$K$6:$K$505,B97,取込チェック!$L$6:$L$505))</f>
        <v/>
      </c>
      <c r="Q97" s="68" t="str">
        <f aca="false">IF(OR(B97="",取込チェック!$K$3=0),"",SUMIF(取込チェック!$K$6:$K$505,B97,取込チェック!$M$6:$M$505))</f>
        <v/>
      </c>
      <c r="R97" s="68" t="str">
        <f aca="false">IF(P97="","",G97-P97)</f>
        <v/>
      </c>
      <c r="S97" s="68" t="str">
        <f aca="false">IF(Q97="","",I97-Q97)</f>
        <v/>
      </c>
    </row>
    <row r="98" customFormat="false" ht="15" hidden="false" customHeight="false" outlineLevel="0" collapsed="false">
      <c r="A98" s="64" t="str">
        <f aca="false">IF(B98="","",ROW()-4)</f>
        <v/>
      </c>
      <c r="B98" s="65"/>
      <c r="C98" s="65"/>
      <c r="D98" s="65"/>
      <c r="E98" s="66"/>
      <c r="F98" s="67" t="str">
        <f aca="false">IF(B98="","",IF(COUNTIF(取込チェック!$C$6:$C$505,B98)&gt;0,1,0))</f>
        <v/>
      </c>
      <c r="G98" s="68" t="str">
        <f aca="false">IF(B98="","",SUMIF(取込チェック!$C$6:$C$505,B98,取込チェック!$D$6:$D$505))</f>
        <v/>
      </c>
      <c r="H98" s="68" t="str">
        <f aca="false">IF(B98="","",SUMIF(取込チェック!$C$6:$C$505,B98,取込チェック!$E$6:$E$505))</f>
        <v/>
      </c>
      <c r="I98" s="68" t="str">
        <f aca="false">IF(B98="","",SUMIF(取込チェック!$C$6:$C$505,B98,取込チェック!$F$6:$F$505))</f>
        <v/>
      </c>
      <c r="J98" s="69" t="str">
        <f aca="false">IF(F98&lt;&gt;1,"",IF(H98=0,"-",G98/H98))</f>
        <v/>
      </c>
      <c r="K98" s="67" t="str">
        <f aca="false">IF(F98&lt;&gt;1,"",COUNTIFS($E$5:$E$304,E98,$F$5:$F$304,1,$B$5:$B$304,"&lt;"&amp;B98)+1)</f>
        <v/>
      </c>
      <c r="L98" s="67" t="str">
        <f aca="false">IF(K98="","",E98&amp;"|"&amp;K98)</f>
        <v/>
      </c>
      <c r="M98" s="67" t="str">
        <f aca="false">IF(F98&lt;&gt;1,"",IF(COUNTIFS($C$5:C98,C98,$F$5:F98,1)=1,1,0))</f>
        <v/>
      </c>
      <c r="N98" s="67" t="str">
        <f aca="false">IF(M98&lt;&gt;1,"",_xlfn.MINIFS($B$5:$B$304,$C$5:$C$304,C98,$F$5:$F$304,1))</f>
        <v/>
      </c>
      <c r="O98" s="67" t="str">
        <f aca="false">IF(M98&lt;&gt;1,"",COUNTIFS($M$5:$M$304,1,$N$5:$N$304,"&lt;"&amp;N98)+1)</f>
        <v/>
      </c>
      <c r="P98" s="68" t="str">
        <f aca="false">IF(OR(B98="",取込チェック!$K$3=0),"",SUMIF(取込チェック!$K$6:$K$505,B98,取込チェック!$L$6:$L$505))</f>
        <v/>
      </c>
      <c r="Q98" s="68" t="str">
        <f aca="false">IF(OR(B98="",取込チェック!$K$3=0),"",SUMIF(取込チェック!$K$6:$K$505,B98,取込チェック!$M$6:$M$505))</f>
        <v/>
      </c>
      <c r="R98" s="68" t="str">
        <f aca="false">IF(P98="","",G98-P98)</f>
        <v/>
      </c>
      <c r="S98" s="68" t="str">
        <f aca="false">IF(Q98="","",I98-Q98)</f>
        <v/>
      </c>
    </row>
    <row r="99" customFormat="false" ht="15" hidden="false" customHeight="false" outlineLevel="0" collapsed="false">
      <c r="A99" s="64" t="str">
        <f aca="false">IF(B99="","",ROW()-4)</f>
        <v/>
      </c>
      <c r="B99" s="65"/>
      <c r="C99" s="65"/>
      <c r="D99" s="65"/>
      <c r="E99" s="66"/>
      <c r="F99" s="67" t="str">
        <f aca="false">IF(B99="","",IF(COUNTIF(取込チェック!$C$6:$C$505,B99)&gt;0,1,0))</f>
        <v/>
      </c>
      <c r="G99" s="68" t="str">
        <f aca="false">IF(B99="","",SUMIF(取込チェック!$C$6:$C$505,B99,取込チェック!$D$6:$D$505))</f>
        <v/>
      </c>
      <c r="H99" s="68" t="str">
        <f aca="false">IF(B99="","",SUMIF(取込チェック!$C$6:$C$505,B99,取込チェック!$E$6:$E$505))</f>
        <v/>
      </c>
      <c r="I99" s="68" t="str">
        <f aca="false">IF(B99="","",SUMIF(取込チェック!$C$6:$C$505,B99,取込チェック!$F$6:$F$505))</f>
        <v/>
      </c>
      <c r="J99" s="69" t="str">
        <f aca="false">IF(F99&lt;&gt;1,"",IF(H99=0,"-",G99/H99))</f>
        <v/>
      </c>
      <c r="K99" s="67" t="str">
        <f aca="false">IF(F99&lt;&gt;1,"",COUNTIFS($E$5:$E$304,E99,$F$5:$F$304,1,$B$5:$B$304,"&lt;"&amp;B99)+1)</f>
        <v/>
      </c>
      <c r="L99" s="67" t="str">
        <f aca="false">IF(K99="","",E99&amp;"|"&amp;K99)</f>
        <v/>
      </c>
      <c r="M99" s="67" t="str">
        <f aca="false">IF(F99&lt;&gt;1,"",IF(COUNTIFS($C$5:C99,C99,$F$5:F99,1)=1,1,0))</f>
        <v/>
      </c>
      <c r="N99" s="67" t="str">
        <f aca="false">IF(M99&lt;&gt;1,"",_xlfn.MINIFS($B$5:$B$304,$C$5:$C$304,C99,$F$5:$F$304,1))</f>
        <v/>
      </c>
      <c r="O99" s="67" t="str">
        <f aca="false">IF(M99&lt;&gt;1,"",COUNTIFS($M$5:$M$304,1,$N$5:$N$304,"&lt;"&amp;N99)+1)</f>
        <v/>
      </c>
      <c r="P99" s="68" t="str">
        <f aca="false">IF(OR(B99="",取込チェック!$K$3=0),"",SUMIF(取込チェック!$K$6:$K$505,B99,取込チェック!$L$6:$L$505))</f>
        <v/>
      </c>
      <c r="Q99" s="68" t="str">
        <f aca="false">IF(OR(B99="",取込チェック!$K$3=0),"",SUMIF(取込チェック!$K$6:$K$505,B99,取込チェック!$M$6:$M$505))</f>
        <v/>
      </c>
      <c r="R99" s="68" t="str">
        <f aca="false">IF(P99="","",G99-P99)</f>
        <v/>
      </c>
      <c r="S99" s="68" t="str">
        <f aca="false">IF(Q99="","",I99-Q99)</f>
        <v/>
      </c>
    </row>
    <row r="100" customFormat="false" ht="15" hidden="false" customHeight="false" outlineLevel="0" collapsed="false">
      <c r="A100" s="64" t="str">
        <f aca="false">IF(B100="","",ROW()-4)</f>
        <v/>
      </c>
      <c r="B100" s="65"/>
      <c r="C100" s="65"/>
      <c r="D100" s="65"/>
      <c r="E100" s="66"/>
      <c r="F100" s="67" t="str">
        <f aca="false">IF(B100="","",IF(COUNTIF(取込チェック!$C$6:$C$505,B100)&gt;0,1,0))</f>
        <v/>
      </c>
      <c r="G100" s="68" t="str">
        <f aca="false">IF(B100="","",SUMIF(取込チェック!$C$6:$C$505,B100,取込チェック!$D$6:$D$505))</f>
        <v/>
      </c>
      <c r="H100" s="68" t="str">
        <f aca="false">IF(B100="","",SUMIF(取込チェック!$C$6:$C$505,B100,取込チェック!$E$6:$E$505))</f>
        <v/>
      </c>
      <c r="I100" s="68" t="str">
        <f aca="false">IF(B100="","",SUMIF(取込チェック!$C$6:$C$505,B100,取込チェック!$F$6:$F$505))</f>
        <v/>
      </c>
      <c r="J100" s="69" t="str">
        <f aca="false">IF(F100&lt;&gt;1,"",IF(H100=0,"-",G100/H100))</f>
        <v/>
      </c>
      <c r="K100" s="67" t="str">
        <f aca="false">IF(F100&lt;&gt;1,"",COUNTIFS($E$5:$E$304,E100,$F$5:$F$304,1,$B$5:$B$304,"&lt;"&amp;B100)+1)</f>
        <v/>
      </c>
      <c r="L100" s="67" t="str">
        <f aca="false">IF(K100="","",E100&amp;"|"&amp;K100)</f>
        <v/>
      </c>
      <c r="M100" s="67" t="str">
        <f aca="false">IF(F100&lt;&gt;1,"",IF(COUNTIFS($C$5:C100,C100,$F$5:F100,1)=1,1,0))</f>
        <v/>
      </c>
      <c r="N100" s="67" t="str">
        <f aca="false">IF(M100&lt;&gt;1,"",_xlfn.MINIFS($B$5:$B$304,$C$5:$C$304,C100,$F$5:$F$304,1))</f>
        <v/>
      </c>
      <c r="O100" s="67" t="str">
        <f aca="false">IF(M100&lt;&gt;1,"",COUNTIFS($M$5:$M$304,1,$N$5:$N$304,"&lt;"&amp;N100)+1)</f>
        <v/>
      </c>
      <c r="P100" s="68" t="str">
        <f aca="false">IF(OR(B100="",取込チェック!$K$3=0),"",SUMIF(取込チェック!$K$6:$K$505,B100,取込チェック!$L$6:$L$505))</f>
        <v/>
      </c>
      <c r="Q100" s="68" t="str">
        <f aca="false">IF(OR(B100="",取込チェック!$K$3=0),"",SUMIF(取込チェック!$K$6:$K$505,B100,取込チェック!$M$6:$M$505))</f>
        <v/>
      </c>
      <c r="R100" s="68" t="str">
        <f aca="false">IF(P100="","",G100-P100)</f>
        <v/>
      </c>
      <c r="S100" s="68" t="str">
        <f aca="false">IF(Q100="","",I100-Q100)</f>
        <v/>
      </c>
    </row>
    <row r="101" customFormat="false" ht="15" hidden="false" customHeight="false" outlineLevel="0" collapsed="false">
      <c r="A101" s="64" t="str">
        <f aca="false">IF(B101="","",ROW()-4)</f>
        <v/>
      </c>
      <c r="B101" s="65"/>
      <c r="C101" s="65"/>
      <c r="D101" s="65"/>
      <c r="E101" s="66"/>
      <c r="F101" s="67" t="str">
        <f aca="false">IF(B101="","",IF(COUNTIF(取込チェック!$C$6:$C$505,B101)&gt;0,1,0))</f>
        <v/>
      </c>
      <c r="G101" s="68" t="str">
        <f aca="false">IF(B101="","",SUMIF(取込チェック!$C$6:$C$505,B101,取込チェック!$D$6:$D$505))</f>
        <v/>
      </c>
      <c r="H101" s="68" t="str">
        <f aca="false">IF(B101="","",SUMIF(取込チェック!$C$6:$C$505,B101,取込チェック!$E$6:$E$505))</f>
        <v/>
      </c>
      <c r="I101" s="68" t="str">
        <f aca="false">IF(B101="","",SUMIF(取込チェック!$C$6:$C$505,B101,取込チェック!$F$6:$F$505))</f>
        <v/>
      </c>
      <c r="J101" s="69" t="str">
        <f aca="false">IF(F101&lt;&gt;1,"",IF(H101=0,"-",G101/H101))</f>
        <v/>
      </c>
      <c r="K101" s="67" t="str">
        <f aca="false">IF(F101&lt;&gt;1,"",COUNTIFS($E$5:$E$304,E101,$F$5:$F$304,1,$B$5:$B$304,"&lt;"&amp;B101)+1)</f>
        <v/>
      </c>
      <c r="L101" s="67" t="str">
        <f aca="false">IF(K101="","",E101&amp;"|"&amp;K101)</f>
        <v/>
      </c>
      <c r="M101" s="67" t="str">
        <f aca="false">IF(F101&lt;&gt;1,"",IF(COUNTIFS($C$5:C101,C101,$F$5:F101,1)=1,1,0))</f>
        <v/>
      </c>
      <c r="N101" s="67" t="str">
        <f aca="false">IF(M101&lt;&gt;1,"",_xlfn.MINIFS($B$5:$B$304,$C$5:$C$304,C101,$F$5:$F$304,1))</f>
        <v/>
      </c>
      <c r="O101" s="67" t="str">
        <f aca="false">IF(M101&lt;&gt;1,"",COUNTIFS($M$5:$M$304,1,$N$5:$N$304,"&lt;"&amp;N101)+1)</f>
        <v/>
      </c>
      <c r="P101" s="68" t="str">
        <f aca="false">IF(OR(B101="",取込チェック!$K$3=0),"",SUMIF(取込チェック!$K$6:$K$505,B101,取込チェック!$L$6:$L$505))</f>
        <v/>
      </c>
      <c r="Q101" s="68" t="str">
        <f aca="false">IF(OR(B101="",取込チェック!$K$3=0),"",SUMIF(取込チェック!$K$6:$K$505,B101,取込チェック!$M$6:$M$505))</f>
        <v/>
      </c>
      <c r="R101" s="68" t="str">
        <f aca="false">IF(P101="","",G101-P101)</f>
        <v/>
      </c>
      <c r="S101" s="68" t="str">
        <f aca="false">IF(Q101="","",I101-Q101)</f>
        <v/>
      </c>
    </row>
    <row r="102" customFormat="false" ht="15" hidden="false" customHeight="false" outlineLevel="0" collapsed="false">
      <c r="A102" s="64" t="str">
        <f aca="false">IF(B102="","",ROW()-4)</f>
        <v/>
      </c>
      <c r="B102" s="65"/>
      <c r="C102" s="65"/>
      <c r="D102" s="65"/>
      <c r="E102" s="66"/>
      <c r="F102" s="67" t="str">
        <f aca="false">IF(B102="","",IF(COUNTIF(取込チェック!$C$6:$C$505,B102)&gt;0,1,0))</f>
        <v/>
      </c>
      <c r="G102" s="68" t="str">
        <f aca="false">IF(B102="","",SUMIF(取込チェック!$C$6:$C$505,B102,取込チェック!$D$6:$D$505))</f>
        <v/>
      </c>
      <c r="H102" s="68" t="str">
        <f aca="false">IF(B102="","",SUMIF(取込チェック!$C$6:$C$505,B102,取込チェック!$E$6:$E$505))</f>
        <v/>
      </c>
      <c r="I102" s="68" t="str">
        <f aca="false">IF(B102="","",SUMIF(取込チェック!$C$6:$C$505,B102,取込チェック!$F$6:$F$505))</f>
        <v/>
      </c>
      <c r="J102" s="69" t="str">
        <f aca="false">IF(F102&lt;&gt;1,"",IF(H102=0,"-",G102/H102))</f>
        <v/>
      </c>
      <c r="K102" s="67" t="str">
        <f aca="false">IF(F102&lt;&gt;1,"",COUNTIFS($E$5:$E$304,E102,$F$5:$F$304,1,$B$5:$B$304,"&lt;"&amp;B102)+1)</f>
        <v/>
      </c>
      <c r="L102" s="67" t="str">
        <f aca="false">IF(K102="","",E102&amp;"|"&amp;K102)</f>
        <v/>
      </c>
      <c r="M102" s="67" t="str">
        <f aca="false">IF(F102&lt;&gt;1,"",IF(COUNTIFS($C$5:C102,C102,$F$5:F102,1)=1,1,0))</f>
        <v/>
      </c>
      <c r="N102" s="67" t="str">
        <f aca="false">IF(M102&lt;&gt;1,"",_xlfn.MINIFS($B$5:$B$304,$C$5:$C$304,C102,$F$5:$F$304,1))</f>
        <v/>
      </c>
      <c r="O102" s="67" t="str">
        <f aca="false">IF(M102&lt;&gt;1,"",COUNTIFS($M$5:$M$304,1,$N$5:$N$304,"&lt;"&amp;N102)+1)</f>
        <v/>
      </c>
      <c r="P102" s="68" t="str">
        <f aca="false">IF(OR(B102="",取込チェック!$K$3=0),"",SUMIF(取込チェック!$K$6:$K$505,B102,取込チェック!$L$6:$L$505))</f>
        <v/>
      </c>
      <c r="Q102" s="68" t="str">
        <f aca="false">IF(OR(B102="",取込チェック!$K$3=0),"",SUMIF(取込チェック!$K$6:$K$505,B102,取込チェック!$M$6:$M$505))</f>
        <v/>
      </c>
      <c r="R102" s="68" t="str">
        <f aca="false">IF(P102="","",G102-P102)</f>
        <v/>
      </c>
      <c r="S102" s="68" t="str">
        <f aca="false">IF(Q102="","",I102-Q102)</f>
        <v/>
      </c>
    </row>
    <row r="103" customFormat="false" ht="15" hidden="false" customHeight="false" outlineLevel="0" collapsed="false">
      <c r="A103" s="64" t="str">
        <f aca="false">IF(B103="","",ROW()-4)</f>
        <v/>
      </c>
      <c r="B103" s="65"/>
      <c r="C103" s="65"/>
      <c r="D103" s="65"/>
      <c r="E103" s="66"/>
      <c r="F103" s="67" t="str">
        <f aca="false">IF(B103="","",IF(COUNTIF(取込チェック!$C$6:$C$505,B103)&gt;0,1,0))</f>
        <v/>
      </c>
      <c r="G103" s="68" t="str">
        <f aca="false">IF(B103="","",SUMIF(取込チェック!$C$6:$C$505,B103,取込チェック!$D$6:$D$505))</f>
        <v/>
      </c>
      <c r="H103" s="68" t="str">
        <f aca="false">IF(B103="","",SUMIF(取込チェック!$C$6:$C$505,B103,取込チェック!$E$6:$E$505))</f>
        <v/>
      </c>
      <c r="I103" s="68" t="str">
        <f aca="false">IF(B103="","",SUMIF(取込チェック!$C$6:$C$505,B103,取込チェック!$F$6:$F$505))</f>
        <v/>
      </c>
      <c r="J103" s="69" t="str">
        <f aca="false">IF(F103&lt;&gt;1,"",IF(H103=0,"-",G103/H103))</f>
        <v/>
      </c>
      <c r="K103" s="67" t="str">
        <f aca="false">IF(F103&lt;&gt;1,"",COUNTIFS($E$5:$E$304,E103,$F$5:$F$304,1,$B$5:$B$304,"&lt;"&amp;B103)+1)</f>
        <v/>
      </c>
      <c r="L103" s="67" t="str">
        <f aca="false">IF(K103="","",E103&amp;"|"&amp;K103)</f>
        <v/>
      </c>
      <c r="M103" s="67" t="str">
        <f aca="false">IF(F103&lt;&gt;1,"",IF(COUNTIFS($C$5:C103,C103,$F$5:F103,1)=1,1,0))</f>
        <v/>
      </c>
      <c r="N103" s="67" t="str">
        <f aca="false">IF(M103&lt;&gt;1,"",_xlfn.MINIFS($B$5:$B$304,$C$5:$C$304,C103,$F$5:$F$304,1))</f>
        <v/>
      </c>
      <c r="O103" s="67" t="str">
        <f aca="false">IF(M103&lt;&gt;1,"",COUNTIFS($M$5:$M$304,1,$N$5:$N$304,"&lt;"&amp;N103)+1)</f>
        <v/>
      </c>
      <c r="P103" s="68" t="str">
        <f aca="false">IF(OR(B103="",取込チェック!$K$3=0),"",SUMIF(取込チェック!$K$6:$K$505,B103,取込チェック!$L$6:$L$505))</f>
        <v/>
      </c>
      <c r="Q103" s="68" t="str">
        <f aca="false">IF(OR(B103="",取込チェック!$K$3=0),"",SUMIF(取込チェック!$K$6:$K$505,B103,取込チェック!$M$6:$M$505))</f>
        <v/>
      </c>
      <c r="R103" s="68" t="str">
        <f aca="false">IF(P103="","",G103-P103)</f>
        <v/>
      </c>
      <c r="S103" s="68" t="str">
        <f aca="false">IF(Q103="","",I103-Q103)</f>
        <v/>
      </c>
    </row>
    <row r="104" customFormat="false" ht="15" hidden="false" customHeight="false" outlineLevel="0" collapsed="false">
      <c r="A104" s="64" t="str">
        <f aca="false">IF(B104="","",ROW()-4)</f>
        <v/>
      </c>
      <c r="B104" s="65"/>
      <c r="C104" s="65"/>
      <c r="D104" s="65"/>
      <c r="E104" s="66"/>
      <c r="F104" s="67" t="str">
        <f aca="false">IF(B104="","",IF(COUNTIF(取込チェック!$C$6:$C$505,B104)&gt;0,1,0))</f>
        <v/>
      </c>
      <c r="G104" s="68" t="str">
        <f aca="false">IF(B104="","",SUMIF(取込チェック!$C$6:$C$505,B104,取込チェック!$D$6:$D$505))</f>
        <v/>
      </c>
      <c r="H104" s="68" t="str">
        <f aca="false">IF(B104="","",SUMIF(取込チェック!$C$6:$C$505,B104,取込チェック!$E$6:$E$505))</f>
        <v/>
      </c>
      <c r="I104" s="68" t="str">
        <f aca="false">IF(B104="","",SUMIF(取込チェック!$C$6:$C$505,B104,取込チェック!$F$6:$F$505))</f>
        <v/>
      </c>
      <c r="J104" s="69" t="str">
        <f aca="false">IF(F104&lt;&gt;1,"",IF(H104=0,"-",G104/H104))</f>
        <v/>
      </c>
      <c r="K104" s="67" t="str">
        <f aca="false">IF(F104&lt;&gt;1,"",COUNTIFS($E$5:$E$304,E104,$F$5:$F$304,1,$B$5:$B$304,"&lt;"&amp;B104)+1)</f>
        <v/>
      </c>
      <c r="L104" s="67" t="str">
        <f aca="false">IF(K104="","",E104&amp;"|"&amp;K104)</f>
        <v/>
      </c>
      <c r="M104" s="67" t="str">
        <f aca="false">IF(F104&lt;&gt;1,"",IF(COUNTIFS($C$5:C104,C104,$F$5:F104,1)=1,1,0))</f>
        <v/>
      </c>
      <c r="N104" s="67" t="str">
        <f aca="false">IF(M104&lt;&gt;1,"",_xlfn.MINIFS($B$5:$B$304,$C$5:$C$304,C104,$F$5:$F$304,1))</f>
        <v/>
      </c>
      <c r="O104" s="67" t="str">
        <f aca="false">IF(M104&lt;&gt;1,"",COUNTIFS($M$5:$M$304,1,$N$5:$N$304,"&lt;"&amp;N104)+1)</f>
        <v/>
      </c>
      <c r="P104" s="68" t="str">
        <f aca="false">IF(OR(B104="",取込チェック!$K$3=0),"",SUMIF(取込チェック!$K$6:$K$505,B104,取込チェック!$L$6:$L$505))</f>
        <v/>
      </c>
      <c r="Q104" s="68" t="str">
        <f aca="false">IF(OR(B104="",取込チェック!$K$3=0),"",SUMIF(取込チェック!$K$6:$K$505,B104,取込チェック!$M$6:$M$505))</f>
        <v/>
      </c>
      <c r="R104" s="68" t="str">
        <f aca="false">IF(P104="","",G104-P104)</f>
        <v/>
      </c>
      <c r="S104" s="68" t="str">
        <f aca="false">IF(Q104="","",I104-Q104)</f>
        <v/>
      </c>
    </row>
    <row r="105" customFormat="false" ht="15" hidden="false" customHeight="false" outlineLevel="0" collapsed="false">
      <c r="A105" s="64" t="str">
        <f aca="false">IF(B105="","",ROW()-4)</f>
        <v/>
      </c>
      <c r="B105" s="65"/>
      <c r="C105" s="65"/>
      <c r="D105" s="65"/>
      <c r="E105" s="66"/>
      <c r="F105" s="67" t="str">
        <f aca="false">IF(B105="","",IF(COUNTIF(取込チェック!$C$6:$C$505,B105)&gt;0,1,0))</f>
        <v/>
      </c>
      <c r="G105" s="68" t="str">
        <f aca="false">IF(B105="","",SUMIF(取込チェック!$C$6:$C$505,B105,取込チェック!$D$6:$D$505))</f>
        <v/>
      </c>
      <c r="H105" s="68" t="str">
        <f aca="false">IF(B105="","",SUMIF(取込チェック!$C$6:$C$505,B105,取込チェック!$E$6:$E$505))</f>
        <v/>
      </c>
      <c r="I105" s="68" t="str">
        <f aca="false">IF(B105="","",SUMIF(取込チェック!$C$6:$C$505,B105,取込チェック!$F$6:$F$505))</f>
        <v/>
      </c>
      <c r="J105" s="69" t="str">
        <f aca="false">IF(F105&lt;&gt;1,"",IF(H105=0,"-",G105/H105))</f>
        <v/>
      </c>
      <c r="K105" s="67" t="str">
        <f aca="false">IF(F105&lt;&gt;1,"",COUNTIFS($E$5:$E$304,E105,$F$5:$F$304,1,$B$5:$B$304,"&lt;"&amp;B105)+1)</f>
        <v/>
      </c>
      <c r="L105" s="67" t="str">
        <f aca="false">IF(K105="","",E105&amp;"|"&amp;K105)</f>
        <v/>
      </c>
      <c r="M105" s="67" t="str">
        <f aca="false">IF(F105&lt;&gt;1,"",IF(COUNTIFS($C$5:C105,C105,$F$5:F105,1)=1,1,0))</f>
        <v/>
      </c>
      <c r="N105" s="67" t="str">
        <f aca="false">IF(M105&lt;&gt;1,"",_xlfn.MINIFS($B$5:$B$304,$C$5:$C$304,C105,$F$5:$F$304,1))</f>
        <v/>
      </c>
      <c r="O105" s="67" t="str">
        <f aca="false">IF(M105&lt;&gt;1,"",COUNTIFS($M$5:$M$304,1,$N$5:$N$304,"&lt;"&amp;N105)+1)</f>
        <v/>
      </c>
      <c r="P105" s="68" t="str">
        <f aca="false">IF(OR(B105="",取込チェック!$K$3=0),"",SUMIF(取込チェック!$K$6:$K$505,B105,取込チェック!$L$6:$L$505))</f>
        <v/>
      </c>
      <c r="Q105" s="68" t="str">
        <f aca="false">IF(OR(B105="",取込チェック!$K$3=0),"",SUMIF(取込チェック!$K$6:$K$505,B105,取込チェック!$M$6:$M$505))</f>
        <v/>
      </c>
      <c r="R105" s="68" t="str">
        <f aca="false">IF(P105="","",G105-P105)</f>
        <v/>
      </c>
      <c r="S105" s="68" t="str">
        <f aca="false">IF(Q105="","",I105-Q105)</f>
        <v/>
      </c>
    </row>
    <row r="106" customFormat="false" ht="15" hidden="false" customHeight="false" outlineLevel="0" collapsed="false">
      <c r="A106" s="64" t="str">
        <f aca="false">IF(B106="","",ROW()-4)</f>
        <v/>
      </c>
      <c r="B106" s="65"/>
      <c r="C106" s="65"/>
      <c r="D106" s="65"/>
      <c r="E106" s="66"/>
      <c r="F106" s="67" t="str">
        <f aca="false">IF(B106="","",IF(COUNTIF(取込チェック!$C$6:$C$505,B106)&gt;0,1,0))</f>
        <v/>
      </c>
      <c r="G106" s="68" t="str">
        <f aca="false">IF(B106="","",SUMIF(取込チェック!$C$6:$C$505,B106,取込チェック!$D$6:$D$505))</f>
        <v/>
      </c>
      <c r="H106" s="68" t="str">
        <f aca="false">IF(B106="","",SUMIF(取込チェック!$C$6:$C$505,B106,取込チェック!$E$6:$E$505))</f>
        <v/>
      </c>
      <c r="I106" s="68" t="str">
        <f aca="false">IF(B106="","",SUMIF(取込チェック!$C$6:$C$505,B106,取込チェック!$F$6:$F$505))</f>
        <v/>
      </c>
      <c r="J106" s="69" t="str">
        <f aca="false">IF(F106&lt;&gt;1,"",IF(H106=0,"-",G106/H106))</f>
        <v/>
      </c>
      <c r="K106" s="67" t="str">
        <f aca="false">IF(F106&lt;&gt;1,"",COUNTIFS($E$5:$E$304,E106,$F$5:$F$304,1,$B$5:$B$304,"&lt;"&amp;B106)+1)</f>
        <v/>
      </c>
      <c r="L106" s="67" t="str">
        <f aca="false">IF(K106="","",E106&amp;"|"&amp;K106)</f>
        <v/>
      </c>
      <c r="M106" s="67" t="str">
        <f aca="false">IF(F106&lt;&gt;1,"",IF(COUNTIFS($C$5:C106,C106,$F$5:F106,1)=1,1,0))</f>
        <v/>
      </c>
      <c r="N106" s="67" t="str">
        <f aca="false">IF(M106&lt;&gt;1,"",_xlfn.MINIFS($B$5:$B$304,$C$5:$C$304,C106,$F$5:$F$304,1))</f>
        <v/>
      </c>
      <c r="O106" s="67" t="str">
        <f aca="false">IF(M106&lt;&gt;1,"",COUNTIFS($M$5:$M$304,1,$N$5:$N$304,"&lt;"&amp;N106)+1)</f>
        <v/>
      </c>
      <c r="P106" s="68" t="str">
        <f aca="false">IF(OR(B106="",取込チェック!$K$3=0),"",SUMIF(取込チェック!$K$6:$K$505,B106,取込チェック!$L$6:$L$505))</f>
        <v/>
      </c>
      <c r="Q106" s="68" t="str">
        <f aca="false">IF(OR(B106="",取込チェック!$K$3=0),"",SUMIF(取込チェック!$K$6:$K$505,B106,取込チェック!$M$6:$M$505))</f>
        <v/>
      </c>
      <c r="R106" s="68" t="str">
        <f aca="false">IF(P106="","",G106-P106)</f>
        <v/>
      </c>
      <c r="S106" s="68" t="str">
        <f aca="false">IF(Q106="","",I106-Q106)</f>
        <v/>
      </c>
    </row>
    <row r="107" customFormat="false" ht="15" hidden="false" customHeight="false" outlineLevel="0" collapsed="false">
      <c r="A107" s="64" t="str">
        <f aca="false">IF(B107="","",ROW()-4)</f>
        <v/>
      </c>
      <c r="B107" s="65"/>
      <c r="C107" s="65"/>
      <c r="D107" s="65"/>
      <c r="E107" s="66"/>
      <c r="F107" s="67" t="str">
        <f aca="false">IF(B107="","",IF(COUNTIF(取込チェック!$C$6:$C$505,B107)&gt;0,1,0))</f>
        <v/>
      </c>
      <c r="G107" s="68" t="str">
        <f aca="false">IF(B107="","",SUMIF(取込チェック!$C$6:$C$505,B107,取込チェック!$D$6:$D$505))</f>
        <v/>
      </c>
      <c r="H107" s="68" t="str">
        <f aca="false">IF(B107="","",SUMIF(取込チェック!$C$6:$C$505,B107,取込チェック!$E$6:$E$505))</f>
        <v/>
      </c>
      <c r="I107" s="68" t="str">
        <f aca="false">IF(B107="","",SUMIF(取込チェック!$C$6:$C$505,B107,取込チェック!$F$6:$F$505))</f>
        <v/>
      </c>
      <c r="J107" s="69" t="str">
        <f aca="false">IF(F107&lt;&gt;1,"",IF(H107=0,"-",G107/H107))</f>
        <v/>
      </c>
      <c r="K107" s="67" t="str">
        <f aca="false">IF(F107&lt;&gt;1,"",COUNTIFS($E$5:$E$304,E107,$F$5:$F$304,1,$B$5:$B$304,"&lt;"&amp;B107)+1)</f>
        <v/>
      </c>
      <c r="L107" s="67" t="str">
        <f aca="false">IF(K107="","",E107&amp;"|"&amp;K107)</f>
        <v/>
      </c>
      <c r="M107" s="67" t="str">
        <f aca="false">IF(F107&lt;&gt;1,"",IF(COUNTIFS($C$5:C107,C107,$F$5:F107,1)=1,1,0))</f>
        <v/>
      </c>
      <c r="N107" s="67" t="str">
        <f aca="false">IF(M107&lt;&gt;1,"",_xlfn.MINIFS($B$5:$B$304,$C$5:$C$304,C107,$F$5:$F$304,1))</f>
        <v/>
      </c>
      <c r="O107" s="67" t="str">
        <f aca="false">IF(M107&lt;&gt;1,"",COUNTIFS($M$5:$M$304,1,$N$5:$N$304,"&lt;"&amp;N107)+1)</f>
        <v/>
      </c>
      <c r="P107" s="68" t="str">
        <f aca="false">IF(OR(B107="",取込チェック!$K$3=0),"",SUMIF(取込チェック!$K$6:$K$505,B107,取込チェック!$L$6:$L$505))</f>
        <v/>
      </c>
      <c r="Q107" s="68" t="str">
        <f aca="false">IF(OR(B107="",取込チェック!$K$3=0),"",SUMIF(取込チェック!$K$6:$K$505,B107,取込チェック!$M$6:$M$505))</f>
        <v/>
      </c>
      <c r="R107" s="68" t="str">
        <f aca="false">IF(P107="","",G107-P107)</f>
        <v/>
      </c>
      <c r="S107" s="68" t="str">
        <f aca="false">IF(Q107="","",I107-Q107)</f>
        <v/>
      </c>
    </row>
    <row r="108" customFormat="false" ht="15" hidden="false" customHeight="false" outlineLevel="0" collapsed="false">
      <c r="A108" s="64" t="str">
        <f aca="false">IF(B108="","",ROW()-4)</f>
        <v/>
      </c>
      <c r="B108" s="65"/>
      <c r="C108" s="65"/>
      <c r="D108" s="65"/>
      <c r="E108" s="66"/>
      <c r="F108" s="67" t="str">
        <f aca="false">IF(B108="","",IF(COUNTIF(取込チェック!$C$6:$C$505,B108)&gt;0,1,0))</f>
        <v/>
      </c>
      <c r="G108" s="68" t="str">
        <f aca="false">IF(B108="","",SUMIF(取込チェック!$C$6:$C$505,B108,取込チェック!$D$6:$D$505))</f>
        <v/>
      </c>
      <c r="H108" s="68" t="str">
        <f aca="false">IF(B108="","",SUMIF(取込チェック!$C$6:$C$505,B108,取込チェック!$E$6:$E$505))</f>
        <v/>
      </c>
      <c r="I108" s="68" t="str">
        <f aca="false">IF(B108="","",SUMIF(取込チェック!$C$6:$C$505,B108,取込チェック!$F$6:$F$505))</f>
        <v/>
      </c>
      <c r="J108" s="69" t="str">
        <f aca="false">IF(F108&lt;&gt;1,"",IF(H108=0,"-",G108/H108))</f>
        <v/>
      </c>
      <c r="K108" s="67" t="str">
        <f aca="false">IF(F108&lt;&gt;1,"",COUNTIFS($E$5:$E$304,E108,$F$5:$F$304,1,$B$5:$B$304,"&lt;"&amp;B108)+1)</f>
        <v/>
      </c>
      <c r="L108" s="67" t="str">
        <f aca="false">IF(K108="","",E108&amp;"|"&amp;K108)</f>
        <v/>
      </c>
      <c r="M108" s="67" t="str">
        <f aca="false">IF(F108&lt;&gt;1,"",IF(COUNTIFS($C$5:C108,C108,$F$5:F108,1)=1,1,0))</f>
        <v/>
      </c>
      <c r="N108" s="67" t="str">
        <f aca="false">IF(M108&lt;&gt;1,"",_xlfn.MINIFS($B$5:$B$304,$C$5:$C$304,C108,$F$5:$F$304,1))</f>
        <v/>
      </c>
      <c r="O108" s="67" t="str">
        <f aca="false">IF(M108&lt;&gt;1,"",COUNTIFS($M$5:$M$304,1,$N$5:$N$304,"&lt;"&amp;N108)+1)</f>
        <v/>
      </c>
      <c r="P108" s="68" t="str">
        <f aca="false">IF(OR(B108="",取込チェック!$K$3=0),"",SUMIF(取込チェック!$K$6:$K$505,B108,取込チェック!$L$6:$L$505))</f>
        <v/>
      </c>
      <c r="Q108" s="68" t="str">
        <f aca="false">IF(OR(B108="",取込チェック!$K$3=0),"",SUMIF(取込チェック!$K$6:$K$505,B108,取込チェック!$M$6:$M$505))</f>
        <v/>
      </c>
      <c r="R108" s="68" t="str">
        <f aca="false">IF(P108="","",G108-P108)</f>
        <v/>
      </c>
      <c r="S108" s="68" t="str">
        <f aca="false">IF(Q108="","",I108-Q108)</f>
        <v/>
      </c>
    </row>
    <row r="109" customFormat="false" ht="15" hidden="false" customHeight="false" outlineLevel="0" collapsed="false">
      <c r="A109" s="64" t="str">
        <f aca="false">IF(B109="","",ROW()-4)</f>
        <v/>
      </c>
      <c r="B109" s="65"/>
      <c r="C109" s="65"/>
      <c r="D109" s="65"/>
      <c r="E109" s="66"/>
      <c r="F109" s="67" t="str">
        <f aca="false">IF(B109="","",IF(COUNTIF(取込チェック!$C$6:$C$505,B109)&gt;0,1,0))</f>
        <v/>
      </c>
      <c r="G109" s="68" t="str">
        <f aca="false">IF(B109="","",SUMIF(取込チェック!$C$6:$C$505,B109,取込チェック!$D$6:$D$505))</f>
        <v/>
      </c>
      <c r="H109" s="68" t="str">
        <f aca="false">IF(B109="","",SUMIF(取込チェック!$C$6:$C$505,B109,取込チェック!$E$6:$E$505))</f>
        <v/>
      </c>
      <c r="I109" s="68" t="str">
        <f aca="false">IF(B109="","",SUMIF(取込チェック!$C$6:$C$505,B109,取込チェック!$F$6:$F$505))</f>
        <v/>
      </c>
      <c r="J109" s="69" t="str">
        <f aca="false">IF(F109&lt;&gt;1,"",IF(H109=0,"-",G109/H109))</f>
        <v/>
      </c>
      <c r="K109" s="67" t="str">
        <f aca="false">IF(F109&lt;&gt;1,"",COUNTIFS($E$5:$E$304,E109,$F$5:$F$304,1,$B$5:$B$304,"&lt;"&amp;B109)+1)</f>
        <v/>
      </c>
      <c r="L109" s="67" t="str">
        <f aca="false">IF(K109="","",E109&amp;"|"&amp;K109)</f>
        <v/>
      </c>
      <c r="M109" s="67" t="str">
        <f aca="false">IF(F109&lt;&gt;1,"",IF(COUNTIFS($C$5:C109,C109,$F$5:F109,1)=1,1,0))</f>
        <v/>
      </c>
      <c r="N109" s="67" t="str">
        <f aca="false">IF(M109&lt;&gt;1,"",_xlfn.MINIFS($B$5:$B$304,$C$5:$C$304,C109,$F$5:$F$304,1))</f>
        <v/>
      </c>
      <c r="O109" s="67" t="str">
        <f aca="false">IF(M109&lt;&gt;1,"",COUNTIFS($M$5:$M$304,1,$N$5:$N$304,"&lt;"&amp;N109)+1)</f>
        <v/>
      </c>
      <c r="P109" s="68" t="str">
        <f aca="false">IF(OR(B109="",取込チェック!$K$3=0),"",SUMIF(取込チェック!$K$6:$K$505,B109,取込チェック!$L$6:$L$505))</f>
        <v/>
      </c>
      <c r="Q109" s="68" t="str">
        <f aca="false">IF(OR(B109="",取込チェック!$K$3=0),"",SUMIF(取込チェック!$K$6:$K$505,B109,取込チェック!$M$6:$M$505))</f>
        <v/>
      </c>
      <c r="R109" s="68" t="str">
        <f aca="false">IF(P109="","",G109-P109)</f>
        <v/>
      </c>
      <c r="S109" s="68" t="str">
        <f aca="false">IF(Q109="","",I109-Q109)</f>
        <v/>
      </c>
    </row>
    <row r="110" customFormat="false" ht="15" hidden="false" customHeight="false" outlineLevel="0" collapsed="false">
      <c r="A110" s="64" t="str">
        <f aca="false">IF(B110="","",ROW()-4)</f>
        <v/>
      </c>
      <c r="B110" s="65"/>
      <c r="C110" s="65"/>
      <c r="D110" s="65"/>
      <c r="E110" s="66"/>
      <c r="F110" s="67" t="str">
        <f aca="false">IF(B110="","",IF(COUNTIF(取込チェック!$C$6:$C$505,B110)&gt;0,1,0))</f>
        <v/>
      </c>
      <c r="G110" s="68" t="str">
        <f aca="false">IF(B110="","",SUMIF(取込チェック!$C$6:$C$505,B110,取込チェック!$D$6:$D$505))</f>
        <v/>
      </c>
      <c r="H110" s="68" t="str">
        <f aca="false">IF(B110="","",SUMIF(取込チェック!$C$6:$C$505,B110,取込チェック!$E$6:$E$505))</f>
        <v/>
      </c>
      <c r="I110" s="68" t="str">
        <f aca="false">IF(B110="","",SUMIF(取込チェック!$C$6:$C$505,B110,取込チェック!$F$6:$F$505))</f>
        <v/>
      </c>
      <c r="J110" s="69" t="str">
        <f aca="false">IF(F110&lt;&gt;1,"",IF(H110=0,"-",G110/H110))</f>
        <v/>
      </c>
      <c r="K110" s="67" t="str">
        <f aca="false">IF(F110&lt;&gt;1,"",COUNTIFS($E$5:$E$304,E110,$F$5:$F$304,1,$B$5:$B$304,"&lt;"&amp;B110)+1)</f>
        <v/>
      </c>
      <c r="L110" s="67" t="str">
        <f aca="false">IF(K110="","",E110&amp;"|"&amp;K110)</f>
        <v/>
      </c>
      <c r="M110" s="67" t="str">
        <f aca="false">IF(F110&lt;&gt;1,"",IF(COUNTIFS($C$5:C110,C110,$F$5:F110,1)=1,1,0))</f>
        <v/>
      </c>
      <c r="N110" s="67" t="str">
        <f aca="false">IF(M110&lt;&gt;1,"",_xlfn.MINIFS($B$5:$B$304,$C$5:$C$304,C110,$F$5:$F$304,1))</f>
        <v/>
      </c>
      <c r="O110" s="67" t="str">
        <f aca="false">IF(M110&lt;&gt;1,"",COUNTIFS($M$5:$M$304,1,$N$5:$N$304,"&lt;"&amp;N110)+1)</f>
        <v/>
      </c>
      <c r="P110" s="68" t="str">
        <f aca="false">IF(OR(B110="",取込チェック!$K$3=0),"",SUMIF(取込チェック!$K$6:$K$505,B110,取込チェック!$L$6:$L$505))</f>
        <v/>
      </c>
      <c r="Q110" s="68" t="str">
        <f aca="false">IF(OR(B110="",取込チェック!$K$3=0),"",SUMIF(取込チェック!$K$6:$K$505,B110,取込チェック!$M$6:$M$505))</f>
        <v/>
      </c>
      <c r="R110" s="68" t="str">
        <f aca="false">IF(P110="","",G110-P110)</f>
        <v/>
      </c>
      <c r="S110" s="68" t="str">
        <f aca="false">IF(Q110="","",I110-Q110)</f>
        <v/>
      </c>
    </row>
    <row r="111" customFormat="false" ht="15" hidden="false" customHeight="false" outlineLevel="0" collapsed="false">
      <c r="A111" s="64" t="str">
        <f aca="false">IF(B111="","",ROW()-4)</f>
        <v/>
      </c>
      <c r="B111" s="65"/>
      <c r="C111" s="65"/>
      <c r="D111" s="65"/>
      <c r="E111" s="66"/>
      <c r="F111" s="67" t="str">
        <f aca="false">IF(B111="","",IF(COUNTIF(取込チェック!$C$6:$C$505,B111)&gt;0,1,0))</f>
        <v/>
      </c>
      <c r="G111" s="68" t="str">
        <f aca="false">IF(B111="","",SUMIF(取込チェック!$C$6:$C$505,B111,取込チェック!$D$6:$D$505))</f>
        <v/>
      </c>
      <c r="H111" s="68" t="str">
        <f aca="false">IF(B111="","",SUMIF(取込チェック!$C$6:$C$505,B111,取込チェック!$E$6:$E$505))</f>
        <v/>
      </c>
      <c r="I111" s="68" t="str">
        <f aca="false">IF(B111="","",SUMIF(取込チェック!$C$6:$C$505,B111,取込チェック!$F$6:$F$505))</f>
        <v/>
      </c>
      <c r="J111" s="69" t="str">
        <f aca="false">IF(F111&lt;&gt;1,"",IF(H111=0,"-",G111/H111))</f>
        <v/>
      </c>
      <c r="K111" s="67" t="str">
        <f aca="false">IF(F111&lt;&gt;1,"",COUNTIFS($E$5:$E$304,E111,$F$5:$F$304,1,$B$5:$B$304,"&lt;"&amp;B111)+1)</f>
        <v/>
      </c>
      <c r="L111" s="67" t="str">
        <f aca="false">IF(K111="","",E111&amp;"|"&amp;K111)</f>
        <v/>
      </c>
      <c r="M111" s="67" t="str">
        <f aca="false">IF(F111&lt;&gt;1,"",IF(COUNTIFS($C$5:C111,C111,$F$5:F111,1)=1,1,0))</f>
        <v/>
      </c>
      <c r="N111" s="67" t="str">
        <f aca="false">IF(M111&lt;&gt;1,"",_xlfn.MINIFS($B$5:$B$304,$C$5:$C$304,C111,$F$5:$F$304,1))</f>
        <v/>
      </c>
      <c r="O111" s="67" t="str">
        <f aca="false">IF(M111&lt;&gt;1,"",COUNTIFS($M$5:$M$304,1,$N$5:$N$304,"&lt;"&amp;N111)+1)</f>
        <v/>
      </c>
      <c r="P111" s="68" t="str">
        <f aca="false">IF(OR(B111="",取込チェック!$K$3=0),"",SUMIF(取込チェック!$K$6:$K$505,B111,取込チェック!$L$6:$L$505))</f>
        <v/>
      </c>
      <c r="Q111" s="68" t="str">
        <f aca="false">IF(OR(B111="",取込チェック!$K$3=0),"",SUMIF(取込チェック!$K$6:$K$505,B111,取込チェック!$M$6:$M$505))</f>
        <v/>
      </c>
      <c r="R111" s="68" t="str">
        <f aca="false">IF(P111="","",G111-P111)</f>
        <v/>
      </c>
      <c r="S111" s="68" t="str">
        <f aca="false">IF(Q111="","",I111-Q111)</f>
        <v/>
      </c>
    </row>
    <row r="112" customFormat="false" ht="15" hidden="false" customHeight="false" outlineLevel="0" collapsed="false">
      <c r="A112" s="64" t="str">
        <f aca="false">IF(B112="","",ROW()-4)</f>
        <v/>
      </c>
      <c r="B112" s="65"/>
      <c r="C112" s="65"/>
      <c r="D112" s="65"/>
      <c r="E112" s="66"/>
      <c r="F112" s="67" t="str">
        <f aca="false">IF(B112="","",IF(COUNTIF(取込チェック!$C$6:$C$505,B112)&gt;0,1,0))</f>
        <v/>
      </c>
      <c r="G112" s="68" t="str">
        <f aca="false">IF(B112="","",SUMIF(取込チェック!$C$6:$C$505,B112,取込チェック!$D$6:$D$505))</f>
        <v/>
      </c>
      <c r="H112" s="68" t="str">
        <f aca="false">IF(B112="","",SUMIF(取込チェック!$C$6:$C$505,B112,取込チェック!$E$6:$E$505))</f>
        <v/>
      </c>
      <c r="I112" s="68" t="str">
        <f aca="false">IF(B112="","",SUMIF(取込チェック!$C$6:$C$505,B112,取込チェック!$F$6:$F$505))</f>
        <v/>
      </c>
      <c r="J112" s="69" t="str">
        <f aca="false">IF(F112&lt;&gt;1,"",IF(H112=0,"-",G112/H112))</f>
        <v/>
      </c>
      <c r="K112" s="67" t="str">
        <f aca="false">IF(F112&lt;&gt;1,"",COUNTIFS($E$5:$E$304,E112,$F$5:$F$304,1,$B$5:$B$304,"&lt;"&amp;B112)+1)</f>
        <v/>
      </c>
      <c r="L112" s="67" t="str">
        <f aca="false">IF(K112="","",E112&amp;"|"&amp;K112)</f>
        <v/>
      </c>
      <c r="M112" s="67" t="str">
        <f aca="false">IF(F112&lt;&gt;1,"",IF(COUNTIFS($C$5:C112,C112,$F$5:F112,1)=1,1,0))</f>
        <v/>
      </c>
      <c r="N112" s="67" t="str">
        <f aca="false">IF(M112&lt;&gt;1,"",_xlfn.MINIFS($B$5:$B$304,$C$5:$C$304,C112,$F$5:$F$304,1))</f>
        <v/>
      </c>
      <c r="O112" s="67" t="str">
        <f aca="false">IF(M112&lt;&gt;1,"",COUNTIFS($M$5:$M$304,1,$N$5:$N$304,"&lt;"&amp;N112)+1)</f>
        <v/>
      </c>
      <c r="P112" s="68" t="str">
        <f aca="false">IF(OR(B112="",取込チェック!$K$3=0),"",SUMIF(取込チェック!$K$6:$K$505,B112,取込チェック!$L$6:$L$505))</f>
        <v/>
      </c>
      <c r="Q112" s="68" t="str">
        <f aca="false">IF(OR(B112="",取込チェック!$K$3=0),"",SUMIF(取込チェック!$K$6:$K$505,B112,取込チェック!$M$6:$M$505))</f>
        <v/>
      </c>
      <c r="R112" s="68" t="str">
        <f aca="false">IF(P112="","",G112-P112)</f>
        <v/>
      </c>
      <c r="S112" s="68" t="str">
        <f aca="false">IF(Q112="","",I112-Q112)</f>
        <v/>
      </c>
    </row>
    <row r="113" customFormat="false" ht="15" hidden="false" customHeight="false" outlineLevel="0" collapsed="false">
      <c r="A113" s="64" t="str">
        <f aca="false">IF(B113="","",ROW()-4)</f>
        <v/>
      </c>
      <c r="B113" s="65"/>
      <c r="C113" s="65"/>
      <c r="D113" s="65"/>
      <c r="E113" s="66"/>
      <c r="F113" s="67" t="str">
        <f aca="false">IF(B113="","",IF(COUNTIF(取込チェック!$C$6:$C$505,B113)&gt;0,1,0))</f>
        <v/>
      </c>
      <c r="G113" s="68" t="str">
        <f aca="false">IF(B113="","",SUMIF(取込チェック!$C$6:$C$505,B113,取込チェック!$D$6:$D$505))</f>
        <v/>
      </c>
      <c r="H113" s="68" t="str">
        <f aca="false">IF(B113="","",SUMIF(取込チェック!$C$6:$C$505,B113,取込チェック!$E$6:$E$505))</f>
        <v/>
      </c>
      <c r="I113" s="68" t="str">
        <f aca="false">IF(B113="","",SUMIF(取込チェック!$C$6:$C$505,B113,取込チェック!$F$6:$F$505))</f>
        <v/>
      </c>
      <c r="J113" s="69" t="str">
        <f aca="false">IF(F113&lt;&gt;1,"",IF(H113=0,"-",G113/H113))</f>
        <v/>
      </c>
      <c r="K113" s="67" t="str">
        <f aca="false">IF(F113&lt;&gt;1,"",COUNTIFS($E$5:$E$304,E113,$F$5:$F$304,1,$B$5:$B$304,"&lt;"&amp;B113)+1)</f>
        <v/>
      </c>
      <c r="L113" s="67" t="str">
        <f aca="false">IF(K113="","",E113&amp;"|"&amp;K113)</f>
        <v/>
      </c>
      <c r="M113" s="67" t="str">
        <f aca="false">IF(F113&lt;&gt;1,"",IF(COUNTIFS($C$5:C113,C113,$F$5:F113,1)=1,1,0))</f>
        <v/>
      </c>
      <c r="N113" s="67" t="str">
        <f aca="false">IF(M113&lt;&gt;1,"",_xlfn.MINIFS($B$5:$B$304,$C$5:$C$304,C113,$F$5:$F$304,1))</f>
        <v/>
      </c>
      <c r="O113" s="67" t="str">
        <f aca="false">IF(M113&lt;&gt;1,"",COUNTIFS($M$5:$M$304,1,$N$5:$N$304,"&lt;"&amp;N113)+1)</f>
        <v/>
      </c>
      <c r="P113" s="68" t="str">
        <f aca="false">IF(OR(B113="",取込チェック!$K$3=0),"",SUMIF(取込チェック!$K$6:$K$505,B113,取込チェック!$L$6:$L$505))</f>
        <v/>
      </c>
      <c r="Q113" s="68" t="str">
        <f aca="false">IF(OR(B113="",取込チェック!$K$3=0),"",SUMIF(取込チェック!$K$6:$K$505,B113,取込チェック!$M$6:$M$505))</f>
        <v/>
      </c>
      <c r="R113" s="68" t="str">
        <f aca="false">IF(P113="","",G113-P113)</f>
        <v/>
      </c>
      <c r="S113" s="68" t="str">
        <f aca="false">IF(Q113="","",I113-Q113)</f>
        <v/>
      </c>
    </row>
    <row r="114" customFormat="false" ht="15" hidden="false" customHeight="false" outlineLevel="0" collapsed="false">
      <c r="A114" s="64" t="str">
        <f aca="false">IF(B114="","",ROW()-4)</f>
        <v/>
      </c>
      <c r="B114" s="65"/>
      <c r="C114" s="65"/>
      <c r="D114" s="65"/>
      <c r="E114" s="66"/>
      <c r="F114" s="67" t="str">
        <f aca="false">IF(B114="","",IF(COUNTIF(取込チェック!$C$6:$C$505,B114)&gt;0,1,0))</f>
        <v/>
      </c>
      <c r="G114" s="68" t="str">
        <f aca="false">IF(B114="","",SUMIF(取込チェック!$C$6:$C$505,B114,取込チェック!$D$6:$D$505))</f>
        <v/>
      </c>
      <c r="H114" s="68" t="str">
        <f aca="false">IF(B114="","",SUMIF(取込チェック!$C$6:$C$505,B114,取込チェック!$E$6:$E$505))</f>
        <v/>
      </c>
      <c r="I114" s="68" t="str">
        <f aca="false">IF(B114="","",SUMIF(取込チェック!$C$6:$C$505,B114,取込チェック!$F$6:$F$505))</f>
        <v/>
      </c>
      <c r="J114" s="69" t="str">
        <f aca="false">IF(F114&lt;&gt;1,"",IF(H114=0,"-",G114/H114))</f>
        <v/>
      </c>
      <c r="K114" s="67" t="str">
        <f aca="false">IF(F114&lt;&gt;1,"",COUNTIFS($E$5:$E$304,E114,$F$5:$F$304,1,$B$5:$B$304,"&lt;"&amp;B114)+1)</f>
        <v/>
      </c>
      <c r="L114" s="67" t="str">
        <f aca="false">IF(K114="","",E114&amp;"|"&amp;K114)</f>
        <v/>
      </c>
      <c r="M114" s="67" t="str">
        <f aca="false">IF(F114&lt;&gt;1,"",IF(COUNTIFS($C$5:C114,C114,$F$5:F114,1)=1,1,0))</f>
        <v/>
      </c>
      <c r="N114" s="67" t="str">
        <f aca="false">IF(M114&lt;&gt;1,"",_xlfn.MINIFS($B$5:$B$304,$C$5:$C$304,C114,$F$5:$F$304,1))</f>
        <v/>
      </c>
      <c r="O114" s="67" t="str">
        <f aca="false">IF(M114&lt;&gt;1,"",COUNTIFS($M$5:$M$304,1,$N$5:$N$304,"&lt;"&amp;N114)+1)</f>
        <v/>
      </c>
      <c r="P114" s="68" t="str">
        <f aca="false">IF(OR(B114="",取込チェック!$K$3=0),"",SUMIF(取込チェック!$K$6:$K$505,B114,取込チェック!$L$6:$L$505))</f>
        <v/>
      </c>
      <c r="Q114" s="68" t="str">
        <f aca="false">IF(OR(B114="",取込チェック!$K$3=0),"",SUMIF(取込チェック!$K$6:$K$505,B114,取込チェック!$M$6:$M$505))</f>
        <v/>
      </c>
      <c r="R114" s="68" t="str">
        <f aca="false">IF(P114="","",G114-P114)</f>
        <v/>
      </c>
      <c r="S114" s="68" t="str">
        <f aca="false">IF(Q114="","",I114-Q114)</f>
        <v/>
      </c>
    </row>
    <row r="115" customFormat="false" ht="15" hidden="false" customHeight="false" outlineLevel="0" collapsed="false">
      <c r="A115" s="64" t="str">
        <f aca="false">IF(B115="","",ROW()-4)</f>
        <v/>
      </c>
      <c r="B115" s="65"/>
      <c r="C115" s="65"/>
      <c r="D115" s="65"/>
      <c r="E115" s="66"/>
      <c r="F115" s="67" t="str">
        <f aca="false">IF(B115="","",IF(COUNTIF(取込チェック!$C$6:$C$505,B115)&gt;0,1,0))</f>
        <v/>
      </c>
      <c r="G115" s="68" t="str">
        <f aca="false">IF(B115="","",SUMIF(取込チェック!$C$6:$C$505,B115,取込チェック!$D$6:$D$505))</f>
        <v/>
      </c>
      <c r="H115" s="68" t="str">
        <f aca="false">IF(B115="","",SUMIF(取込チェック!$C$6:$C$505,B115,取込チェック!$E$6:$E$505))</f>
        <v/>
      </c>
      <c r="I115" s="68" t="str">
        <f aca="false">IF(B115="","",SUMIF(取込チェック!$C$6:$C$505,B115,取込チェック!$F$6:$F$505))</f>
        <v/>
      </c>
      <c r="J115" s="69" t="str">
        <f aca="false">IF(F115&lt;&gt;1,"",IF(H115=0,"-",G115/H115))</f>
        <v/>
      </c>
      <c r="K115" s="67" t="str">
        <f aca="false">IF(F115&lt;&gt;1,"",COUNTIFS($E$5:$E$304,E115,$F$5:$F$304,1,$B$5:$B$304,"&lt;"&amp;B115)+1)</f>
        <v/>
      </c>
      <c r="L115" s="67" t="str">
        <f aca="false">IF(K115="","",E115&amp;"|"&amp;K115)</f>
        <v/>
      </c>
      <c r="M115" s="67" t="str">
        <f aca="false">IF(F115&lt;&gt;1,"",IF(COUNTIFS($C$5:C115,C115,$F$5:F115,1)=1,1,0))</f>
        <v/>
      </c>
      <c r="N115" s="67" t="str">
        <f aca="false">IF(M115&lt;&gt;1,"",_xlfn.MINIFS($B$5:$B$304,$C$5:$C$304,C115,$F$5:$F$304,1))</f>
        <v/>
      </c>
      <c r="O115" s="67" t="str">
        <f aca="false">IF(M115&lt;&gt;1,"",COUNTIFS($M$5:$M$304,1,$N$5:$N$304,"&lt;"&amp;N115)+1)</f>
        <v/>
      </c>
      <c r="P115" s="68" t="str">
        <f aca="false">IF(OR(B115="",取込チェック!$K$3=0),"",SUMIF(取込チェック!$K$6:$K$505,B115,取込チェック!$L$6:$L$505))</f>
        <v/>
      </c>
      <c r="Q115" s="68" t="str">
        <f aca="false">IF(OR(B115="",取込チェック!$K$3=0),"",SUMIF(取込チェック!$K$6:$K$505,B115,取込チェック!$M$6:$M$505))</f>
        <v/>
      </c>
      <c r="R115" s="68" t="str">
        <f aca="false">IF(P115="","",G115-P115)</f>
        <v/>
      </c>
      <c r="S115" s="68" t="str">
        <f aca="false">IF(Q115="","",I115-Q115)</f>
        <v/>
      </c>
    </row>
    <row r="116" customFormat="false" ht="15" hidden="false" customHeight="false" outlineLevel="0" collapsed="false">
      <c r="A116" s="64" t="str">
        <f aca="false">IF(B116="","",ROW()-4)</f>
        <v/>
      </c>
      <c r="B116" s="65"/>
      <c r="C116" s="65"/>
      <c r="D116" s="65"/>
      <c r="E116" s="66"/>
      <c r="F116" s="67" t="str">
        <f aca="false">IF(B116="","",IF(COUNTIF(取込チェック!$C$6:$C$505,B116)&gt;0,1,0))</f>
        <v/>
      </c>
      <c r="G116" s="68" t="str">
        <f aca="false">IF(B116="","",SUMIF(取込チェック!$C$6:$C$505,B116,取込チェック!$D$6:$D$505))</f>
        <v/>
      </c>
      <c r="H116" s="68" t="str">
        <f aca="false">IF(B116="","",SUMIF(取込チェック!$C$6:$C$505,B116,取込チェック!$E$6:$E$505))</f>
        <v/>
      </c>
      <c r="I116" s="68" t="str">
        <f aca="false">IF(B116="","",SUMIF(取込チェック!$C$6:$C$505,B116,取込チェック!$F$6:$F$505))</f>
        <v/>
      </c>
      <c r="J116" s="69" t="str">
        <f aca="false">IF(F116&lt;&gt;1,"",IF(H116=0,"-",G116/H116))</f>
        <v/>
      </c>
      <c r="K116" s="67" t="str">
        <f aca="false">IF(F116&lt;&gt;1,"",COUNTIFS($E$5:$E$304,E116,$F$5:$F$304,1,$B$5:$B$304,"&lt;"&amp;B116)+1)</f>
        <v/>
      </c>
      <c r="L116" s="67" t="str">
        <f aca="false">IF(K116="","",E116&amp;"|"&amp;K116)</f>
        <v/>
      </c>
      <c r="M116" s="67" t="str">
        <f aca="false">IF(F116&lt;&gt;1,"",IF(COUNTIFS($C$5:C116,C116,$F$5:F116,1)=1,1,0))</f>
        <v/>
      </c>
      <c r="N116" s="67" t="str">
        <f aca="false">IF(M116&lt;&gt;1,"",_xlfn.MINIFS($B$5:$B$304,$C$5:$C$304,C116,$F$5:$F$304,1))</f>
        <v/>
      </c>
      <c r="O116" s="67" t="str">
        <f aca="false">IF(M116&lt;&gt;1,"",COUNTIFS($M$5:$M$304,1,$N$5:$N$304,"&lt;"&amp;N116)+1)</f>
        <v/>
      </c>
      <c r="P116" s="68" t="str">
        <f aca="false">IF(OR(B116="",取込チェック!$K$3=0),"",SUMIF(取込チェック!$K$6:$K$505,B116,取込チェック!$L$6:$L$505))</f>
        <v/>
      </c>
      <c r="Q116" s="68" t="str">
        <f aca="false">IF(OR(B116="",取込チェック!$K$3=0),"",SUMIF(取込チェック!$K$6:$K$505,B116,取込チェック!$M$6:$M$505))</f>
        <v/>
      </c>
      <c r="R116" s="68" t="str">
        <f aca="false">IF(P116="","",G116-P116)</f>
        <v/>
      </c>
      <c r="S116" s="68" t="str">
        <f aca="false">IF(Q116="","",I116-Q116)</f>
        <v/>
      </c>
    </row>
    <row r="117" customFormat="false" ht="15" hidden="false" customHeight="false" outlineLevel="0" collapsed="false">
      <c r="A117" s="64" t="str">
        <f aca="false">IF(B117="","",ROW()-4)</f>
        <v/>
      </c>
      <c r="B117" s="65"/>
      <c r="C117" s="65"/>
      <c r="D117" s="65"/>
      <c r="E117" s="66"/>
      <c r="F117" s="67" t="str">
        <f aca="false">IF(B117="","",IF(COUNTIF(取込チェック!$C$6:$C$505,B117)&gt;0,1,0))</f>
        <v/>
      </c>
      <c r="G117" s="68" t="str">
        <f aca="false">IF(B117="","",SUMIF(取込チェック!$C$6:$C$505,B117,取込チェック!$D$6:$D$505))</f>
        <v/>
      </c>
      <c r="H117" s="68" t="str">
        <f aca="false">IF(B117="","",SUMIF(取込チェック!$C$6:$C$505,B117,取込チェック!$E$6:$E$505))</f>
        <v/>
      </c>
      <c r="I117" s="68" t="str">
        <f aca="false">IF(B117="","",SUMIF(取込チェック!$C$6:$C$505,B117,取込チェック!$F$6:$F$505))</f>
        <v/>
      </c>
      <c r="J117" s="69" t="str">
        <f aca="false">IF(F117&lt;&gt;1,"",IF(H117=0,"-",G117/H117))</f>
        <v/>
      </c>
      <c r="K117" s="67" t="str">
        <f aca="false">IF(F117&lt;&gt;1,"",COUNTIFS($E$5:$E$304,E117,$F$5:$F$304,1,$B$5:$B$304,"&lt;"&amp;B117)+1)</f>
        <v/>
      </c>
      <c r="L117" s="67" t="str">
        <f aca="false">IF(K117="","",E117&amp;"|"&amp;K117)</f>
        <v/>
      </c>
      <c r="M117" s="67" t="str">
        <f aca="false">IF(F117&lt;&gt;1,"",IF(COUNTIFS($C$5:C117,C117,$F$5:F117,1)=1,1,0))</f>
        <v/>
      </c>
      <c r="N117" s="67" t="str">
        <f aca="false">IF(M117&lt;&gt;1,"",_xlfn.MINIFS($B$5:$B$304,$C$5:$C$304,C117,$F$5:$F$304,1))</f>
        <v/>
      </c>
      <c r="O117" s="67" t="str">
        <f aca="false">IF(M117&lt;&gt;1,"",COUNTIFS($M$5:$M$304,1,$N$5:$N$304,"&lt;"&amp;N117)+1)</f>
        <v/>
      </c>
      <c r="P117" s="68" t="str">
        <f aca="false">IF(OR(B117="",取込チェック!$K$3=0),"",SUMIF(取込チェック!$K$6:$K$505,B117,取込チェック!$L$6:$L$505))</f>
        <v/>
      </c>
      <c r="Q117" s="68" t="str">
        <f aca="false">IF(OR(B117="",取込チェック!$K$3=0),"",SUMIF(取込チェック!$K$6:$K$505,B117,取込チェック!$M$6:$M$505))</f>
        <v/>
      </c>
      <c r="R117" s="68" t="str">
        <f aca="false">IF(P117="","",G117-P117)</f>
        <v/>
      </c>
      <c r="S117" s="68" t="str">
        <f aca="false">IF(Q117="","",I117-Q117)</f>
        <v/>
      </c>
    </row>
    <row r="118" customFormat="false" ht="15" hidden="false" customHeight="false" outlineLevel="0" collapsed="false">
      <c r="A118" s="64" t="str">
        <f aca="false">IF(B118="","",ROW()-4)</f>
        <v/>
      </c>
      <c r="B118" s="65"/>
      <c r="C118" s="65"/>
      <c r="D118" s="65"/>
      <c r="E118" s="66"/>
      <c r="F118" s="67" t="str">
        <f aca="false">IF(B118="","",IF(COUNTIF(取込チェック!$C$6:$C$505,B118)&gt;0,1,0))</f>
        <v/>
      </c>
      <c r="G118" s="68" t="str">
        <f aca="false">IF(B118="","",SUMIF(取込チェック!$C$6:$C$505,B118,取込チェック!$D$6:$D$505))</f>
        <v/>
      </c>
      <c r="H118" s="68" t="str">
        <f aca="false">IF(B118="","",SUMIF(取込チェック!$C$6:$C$505,B118,取込チェック!$E$6:$E$505))</f>
        <v/>
      </c>
      <c r="I118" s="68" t="str">
        <f aca="false">IF(B118="","",SUMIF(取込チェック!$C$6:$C$505,B118,取込チェック!$F$6:$F$505))</f>
        <v/>
      </c>
      <c r="J118" s="69" t="str">
        <f aca="false">IF(F118&lt;&gt;1,"",IF(H118=0,"-",G118/H118))</f>
        <v/>
      </c>
      <c r="K118" s="67" t="str">
        <f aca="false">IF(F118&lt;&gt;1,"",COUNTIFS($E$5:$E$304,E118,$F$5:$F$304,1,$B$5:$B$304,"&lt;"&amp;B118)+1)</f>
        <v/>
      </c>
      <c r="L118" s="67" t="str">
        <f aca="false">IF(K118="","",E118&amp;"|"&amp;K118)</f>
        <v/>
      </c>
      <c r="M118" s="67" t="str">
        <f aca="false">IF(F118&lt;&gt;1,"",IF(COUNTIFS($C$5:C118,C118,$F$5:F118,1)=1,1,0))</f>
        <v/>
      </c>
      <c r="N118" s="67" t="str">
        <f aca="false">IF(M118&lt;&gt;1,"",_xlfn.MINIFS($B$5:$B$304,$C$5:$C$304,C118,$F$5:$F$304,1))</f>
        <v/>
      </c>
      <c r="O118" s="67" t="str">
        <f aca="false">IF(M118&lt;&gt;1,"",COUNTIFS($M$5:$M$304,1,$N$5:$N$304,"&lt;"&amp;N118)+1)</f>
        <v/>
      </c>
      <c r="P118" s="68" t="str">
        <f aca="false">IF(OR(B118="",取込チェック!$K$3=0),"",SUMIF(取込チェック!$K$6:$K$505,B118,取込チェック!$L$6:$L$505))</f>
        <v/>
      </c>
      <c r="Q118" s="68" t="str">
        <f aca="false">IF(OR(B118="",取込チェック!$K$3=0),"",SUMIF(取込チェック!$K$6:$K$505,B118,取込チェック!$M$6:$M$505))</f>
        <v/>
      </c>
      <c r="R118" s="68" t="str">
        <f aca="false">IF(P118="","",G118-P118)</f>
        <v/>
      </c>
      <c r="S118" s="68" t="str">
        <f aca="false">IF(Q118="","",I118-Q118)</f>
        <v/>
      </c>
    </row>
    <row r="119" customFormat="false" ht="15" hidden="false" customHeight="false" outlineLevel="0" collapsed="false">
      <c r="A119" s="64" t="str">
        <f aca="false">IF(B119="","",ROW()-4)</f>
        <v/>
      </c>
      <c r="B119" s="65"/>
      <c r="C119" s="65"/>
      <c r="D119" s="65"/>
      <c r="E119" s="66"/>
      <c r="F119" s="67" t="str">
        <f aca="false">IF(B119="","",IF(COUNTIF(取込チェック!$C$6:$C$505,B119)&gt;0,1,0))</f>
        <v/>
      </c>
      <c r="G119" s="68" t="str">
        <f aca="false">IF(B119="","",SUMIF(取込チェック!$C$6:$C$505,B119,取込チェック!$D$6:$D$505))</f>
        <v/>
      </c>
      <c r="H119" s="68" t="str">
        <f aca="false">IF(B119="","",SUMIF(取込チェック!$C$6:$C$505,B119,取込チェック!$E$6:$E$505))</f>
        <v/>
      </c>
      <c r="I119" s="68" t="str">
        <f aca="false">IF(B119="","",SUMIF(取込チェック!$C$6:$C$505,B119,取込チェック!$F$6:$F$505))</f>
        <v/>
      </c>
      <c r="J119" s="69" t="str">
        <f aca="false">IF(F119&lt;&gt;1,"",IF(H119=0,"-",G119/H119))</f>
        <v/>
      </c>
      <c r="K119" s="67" t="str">
        <f aca="false">IF(F119&lt;&gt;1,"",COUNTIFS($E$5:$E$304,E119,$F$5:$F$304,1,$B$5:$B$304,"&lt;"&amp;B119)+1)</f>
        <v/>
      </c>
      <c r="L119" s="67" t="str">
        <f aca="false">IF(K119="","",E119&amp;"|"&amp;K119)</f>
        <v/>
      </c>
      <c r="M119" s="67" t="str">
        <f aca="false">IF(F119&lt;&gt;1,"",IF(COUNTIFS($C$5:C119,C119,$F$5:F119,1)=1,1,0))</f>
        <v/>
      </c>
      <c r="N119" s="67" t="str">
        <f aca="false">IF(M119&lt;&gt;1,"",_xlfn.MINIFS($B$5:$B$304,$C$5:$C$304,C119,$F$5:$F$304,1))</f>
        <v/>
      </c>
      <c r="O119" s="67" t="str">
        <f aca="false">IF(M119&lt;&gt;1,"",COUNTIFS($M$5:$M$304,1,$N$5:$N$304,"&lt;"&amp;N119)+1)</f>
        <v/>
      </c>
      <c r="P119" s="68" t="str">
        <f aca="false">IF(OR(B119="",取込チェック!$K$3=0),"",SUMIF(取込チェック!$K$6:$K$505,B119,取込チェック!$L$6:$L$505))</f>
        <v/>
      </c>
      <c r="Q119" s="68" t="str">
        <f aca="false">IF(OR(B119="",取込チェック!$K$3=0),"",SUMIF(取込チェック!$K$6:$K$505,B119,取込チェック!$M$6:$M$505))</f>
        <v/>
      </c>
      <c r="R119" s="68" t="str">
        <f aca="false">IF(P119="","",G119-P119)</f>
        <v/>
      </c>
      <c r="S119" s="68" t="str">
        <f aca="false">IF(Q119="","",I119-Q119)</f>
        <v/>
      </c>
    </row>
    <row r="120" customFormat="false" ht="15" hidden="false" customHeight="false" outlineLevel="0" collapsed="false">
      <c r="A120" s="64" t="str">
        <f aca="false">IF(B120="","",ROW()-4)</f>
        <v/>
      </c>
      <c r="B120" s="65"/>
      <c r="C120" s="65"/>
      <c r="D120" s="65"/>
      <c r="E120" s="66"/>
      <c r="F120" s="67" t="str">
        <f aca="false">IF(B120="","",IF(COUNTIF(取込チェック!$C$6:$C$505,B120)&gt;0,1,0))</f>
        <v/>
      </c>
      <c r="G120" s="68" t="str">
        <f aca="false">IF(B120="","",SUMIF(取込チェック!$C$6:$C$505,B120,取込チェック!$D$6:$D$505))</f>
        <v/>
      </c>
      <c r="H120" s="68" t="str">
        <f aca="false">IF(B120="","",SUMIF(取込チェック!$C$6:$C$505,B120,取込チェック!$E$6:$E$505))</f>
        <v/>
      </c>
      <c r="I120" s="68" t="str">
        <f aca="false">IF(B120="","",SUMIF(取込チェック!$C$6:$C$505,B120,取込チェック!$F$6:$F$505))</f>
        <v/>
      </c>
      <c r="J120" s="69" t="str">
        <f aca="false">IF(F120&lt;&gt;1,"",IF(H120=0,"-",G120/H120))</f>
        <v/>
      </c>
      <c r="K120" s="67" t="str">
        <f aca="false">IF(F120&lt;&gt;1,"",COUNTIFS($E$5:$E$304,E120,$F$5:$F$304,1,$B$5:$B$304,"&lt;"&amp;B120)+1)</f>
        <v/>
      </c>
      <c r="L120" s="67" t="str">
        <f aca="false">IF(K120="","",E120&amp;"|"&amp;K120)</f>
        <v/>
      </c>
      <c r="M120" s="67" t="str">
        <f aca="false">IF(F120&lt;&gt;1,"",IF(COUNTIFS($C$5:C120,C120,$F$5:F120,1)=1,1,0))</f>
        <v/>
      </c>
      <c r="N120" s="67" t="str">
        <f aca="false">IF(M120&lt;&gt;1,"",_xlfn.MINIFS($B$5:$B$304,$C$5:$C$304,C120,$F$5:$F$304,1))</f>
        <v/>
      </c>
      <c r="O120" s="67" t="str">
        <f aca="false">IF(M120&lt;&gt;1,"",COUNTIFS($M$5:$M$304,1,$N$5:$N$304,"&lt;"&amp;N120)+1)</f>
        <v/>
      </c>
      <c r="P120" s="68" t="str">
        <f aca="false">IF(OR(B120="",取込チェック!$K$3=0),"",SUMIF(取込チェック!$K$6:$K$505,B120,取込チェック!$L$6:$L$505))</f>
        <v/>
      </c>
      <c r="Q120" s="68" t="str">
        <f aca="false">IF(OR(B120="",取込チェック!$K$3=0),"",SUMIF(取込チェック!$K$6:$K$505,B120,取込チェック!$M$6:$M$505))</f>
        <v/>
      </c>
      <c r="R120" s="68" t="str">
        <f aca="false">IF(P120="","",G120-P120)</f>
        <v/>
      </c>
      <c r="S120" s="68" t="str">
        <f aca="false">IF(Q120="","",I120-Q120)</f>
        <v/>
      </c>
    </row>
    <row r="121" customFormat="false" ht="15" hidden="false" customHeight="false" outlineLevel="0" collapsed="false">
      <c r="A121" s="64" t="str">
        <f aca="false">IF(B121="","",ROW()-4)</f>
        <v/>
      </c>
      <c r="B121" s="65"/>
      <c r="C121" s="65"/>
      <c r="D121" s="65"/>
      <c r="E121" s="66"/>
      <c r="F121" s="67" t="str">
        <f aca="false">IF(B121="","",IF(COUNTIF(取込チェック!$C$6:$C$505,B121)&gt;0,1,0))</f>
        <v/>
      </c>
      <c r="G121" s="68" t="str">
        <f aca="false">IF(B121="","",SUMIF(取込チェック!$C$6:$C$505,B121,取込チェック!$D$6:$D$505))</f>
        <v/>
      </c>
      <c r="H121" s="68" t="str">
        <f aca="false">IF(B121="","",SUMIF(取込チェック!$C$6:$C$505,B121,取込チェック!$E$6:$E$505))</f>
        <v/>
      </c>
      <c r="I121" s="68" t="str">
        <f aca="false">IF(B121="","",SUMIF(取込チェック!$C$6:$C$505,B121,取込チェック!$F$6:$F$505))</f>
        <v/>
      </c>
      <c r="J121" s="69" t="str">
        <f aca="false">IF(F121&lt;&gt;1,"",IF(H121=0,"-",G121/H121))</f>
        <v/>
      </c>
      <c r="K121" s="67" t="str">
        <f aca="false">IF(F121&lt;&gt;1,"",COUNTIFS($E$5:$E$304,E121,$F$5:$F$304,1,$B$5:$B$304,"&lt;"&amp;B121)+1)</f>
        <v/>
      </c>
      <c r="L121" s="67" t="str">
        <f aca="false">IF(K121="","",E121&amp;"|"&amp;K121)</f>
        <v/>
      </c>
      <c r="M121" s="67" t="str">
        <f aca="false">IF(F121&lt;&gt;1,"",IF(COUNTIFS($C$5:C121,C121,$F$5:F121,1)=1,1,0))</f>
        <v/>
      </c>
      <c r="N121" s="67" t="str">
        <f aca="false">IF(M121&lt;&gt;1,"",_xlfn.MINIFS($B$5:$B$304,$C$5:$C$304,C121,$F$5:$F$304,1))</f>
        <v/>
      </c>
      <c r="O121" s="67" t="str">
        <f aca="false">IF(M121&lt;&gt;1,"",COUNTIFS($M$5:$M$304,1,$N$5:$N$304,"&lt;"&amp;N121)+1)</f>
        <v/>
      </c>
      <c r="P121" s="68" t="str">
        <f aca="false">IF(OR(B121="",取込チェック!$K$3=0),"",SUMIF(取込チェック!$K$6:$K$505,B121,取込チェック!$L$6:$L$505))</f>
        <v/>
      </c>
      <c r="Q121" s="68" t="str">
        <f aca="false">IF(OR(B121="",取込チェック!$K$3=0),"",SUMIF(取込チェック!$K$6:$K$505,B121,取込チェック!$M$6:$M$505))</f>
        <v/>
      </c>
      <c r="R121" s="68" t="str">
        <f aca="false">IF(P121="","",G121-P121)</f>
        <v/>
      </c>
      <c r="S121" s="68" t="str">
        <f aca="false">IF(Q121="","",I121-Q121)</f>
        <v/>
      </c>
    </row>
    <row r="122" customFormat="false" ht="15" hidden="false" customHeight="false" outlineLevel="0" collapsed="false">
      <c r="A122" s="64" t="str">
        <f aca="false">IF(B122="","",ROW()-4)</f>
        <v/>
      </c>
      <c r="B122" s="65"/>
      <c r="C122" s="65"/>
      <c r="D122" s="65"/>
      <c r="E122" s="66"/>
      <c r="F122" s="67" t="str">
        <f aca="false">IF(B122="","",IF(COUNTIF(取込チェック!$C$6:$C$505,B122)&gt;0,1,0))</f>
        <v/>
      </c>
      <c r="G122" s="68" t="str">
        <f aca="false">IF(B122="","",SUMIF(取込チェック!$C$6:$C$505,B122,取込チェック!$D$6:$D$505))</f>
        <v/>
      </c>
      <c r="H122" s="68" t="str">
        <f aca="false">IF(B122="","",SUMIF(取込チェック!$C$6:$C$505,B122,取込チェック!$E$6:$E$505))</f>
        <v/>
      </c>
      <c r="I122" s="68" t="str">
        <f aca="false">IF(B122="","",SUMIF(取込チェック!$C$6:$C$505,B122,取込チェック!$F$6:$F$505))</f>
        <v/>
      </c>
      <c r="J122" s="69" t="str">
        <f aca="false">IF(F122&lt;&gt;1,"",IF(H122=0,"-",G122/H122))</f>
        <v/>
      </c>
      <c r="K122" s="67" t="str">
        <f aca="false">IF(F122&lt;&gt;1,"",COUNTIFS($E$5:$E$304,E122,$F$5:$F$304,1,$B$5:$B$304,"&lt;"&amp;B122)+1)</f>
        <v/>
      </c>
      <c r="L122" s="67" t="str">
        <f aca="false">IF(K122="","",E122&amp;"|"&amp;K122)</f>
        <v/>
      </c>
      <c r="M122" s="67" t="str">
        <f aca="false">IF(F122&lt;&gt;1,"",IF(COUNTIFS($C$5:C122,C122,$F$5:F122,1)=1,1,0))</f>
        <v/>
      </c>
      <c r="N122" s="67" t="str">
        <f aca="false">IF(M122&lt;&gt;1,"",_xlfn.MINIFS($B$5:$B$304,$C$5:$C$304,C122,$F$5:$F$304,1))</f>
        <v/>
      </c>
      <c r="O122" s="67" t="str">
        <f aca="false">IF(M122&lt;&gt;1,"",COUNTIFS($M$5:$M$304,1,$N$5:$N$304,"&lt;"&amp;N122)+1)</f>
        <v/>
      </c>
      <c r="P122" s="68" t="str">
        <f aca="false">IF(OR(B122="",取込チェック!$K$3=0),"",SUMIF(取込チェック!$K$6:$K$505,B122,取込チェック!$L$6:$L$505))</f>
        <v/>
      </c>
      <c r="Q122" s="68" t="str">
        <f aca="false">IF(OR(B122="",取込チェック!$K$3=0),"",SUMIF(取込チェック!$K$6:$K$505,B122,取込チェック!$M$6:$M$505))</f>
        <v/>
      </c>
      <c r="R122" s="68" t="str">
        <f aca="false">IF(P122="","",G122-P122)</f>
        <v/>
      </c>
      <c r="S122" s="68" t="str">
        <f aca="false">IF(Q122="","",I122-Q122)</f>
        <v/>
      </c>
    </row>
    <row r="123" customFormat="false" ht="15" hidden="false" customHeight="false" outlineLevel="0" collapsed="false">
      <c r="A123" s="64" t="str">
        <f aca="false">IF(B123="","",ROW()-4)</f>
        <v/>
      </c>
      <c r="B123" s="65"/>
      <c r="C123" s="65"/>
      <c r="D123" s="65"/>
      <c r="E123" s="66"/>
      <c r="F123" s="67" t="str">
        <f aca="false">IF(B123="","",IF(COUNTIF(取込チェック!$C$6:$C$505,B123)&gt;0,1,0))</f>
        <v/>
      </c>
      <c r="G123" s="68" t="str">
        <f aca="false">IF(B123="","",SUMIF(取込チェック!$C$6:$C$505,B123,取込チェック!$D$6:$D$505))</f>
        <v/>
      </c>
      <c r="H123" s="68" t="str">
        <f aca="false">IF(B123="","",SUMIF(取込チェック!$C$6:$C$505,B123,取込チェック!$E$6:$E$505))</f>
        <v/>
      </c>
      <c r="I123" s="68" t="str">
        <f aca="false">IF(B123="","",SUMIF(取込チェック!$C$6:$C$505,B123,取込チェック!$F$6:$F$505))</f>
        <v/>
      </c>
      <c r="J123" s="69" t="str">
        <f aca="false">IF(F123&lt;&gt;1,"",IF(H123=0,"-",G123/H123))</f>
        <v/>
      </c>
      <c r="K123" s="67" t="str">
        <f aca="false">IF(F123&lt;&gt;1,"",COUNTIFS($E$5:$E$304,E123,$F$5:$F$304,1,$B$5:$B$304,"&lt;"&amp;B123)+1)</f>
        <v/>
      </c>
      <c r="L123" s="67" t="str">
        <f aca="false">IF(K123="","",E123&amp;"|"&amp;K123)</f>
        <v/>
      </c>
      <c r="M123" s="67" t="str">
        <f aca="false">IF(F123&lt;&gt;1,"",IF(COUNTIFS($C$5:C123,C123,$F$5:F123,1)=1,1,0))</f>
        <v/>
      </c>
      <c r="N123" s="67" t="str">
        <f aca="false">IF(M123&lt;&gt;1,"",_xlfn.MINIFS($B$5:$B$304,$C$5:$C$304,C123,$F$5:$F$304,1))</f>
        <v/>
      </c>
      <c r="O123" s="67" t="str">
        <f aca="false">IF(M123&lt;&gt;1,"",COUNTIFS($M$5:$M$304,1,$N$5:$N$304,"&lt;"&amp;N123)+1)</f>
        <v/>
      </c>
      <c r="P123" s="68" t="str">
        <f aca="false">IF(OR(B123="",取込チェック!$K$3=0),"",SUMIF(取込チェック!$K$6:$K$505,B123,取込チェック!$L$6:$L$505))</f>
        <v/>
      </c>
      <c r="Q123" s="68" t="str">
        <f aca="false">IF(OR(B123="",取込チェック!$K$3=0),"",SUMIF(取込チェック!$K$6:$K$505,B123,取込チェック!$M$6:$M$505))</f>
        <v/>
      </c>
      <c r="R123" s="68" t="str">
        <f aca="false">IF(P123="","",G123-P123)</f>
        <v/>
      </c>
      <c r="S123" s="68" t="str">
        <f aca="false">IF(Q123="","",I123-Q123)</f>
        <v/>
      </c>
    </row>
    <row r="124" customFormat="false" ht="15" hidden="false" customHeight="false" outlineLevel="0" collapsed="false">
      <c r="A124" s="64" t="str">
        <f aca="false">IF(B124="","",ROW()-4)</f>
        <v/>
      </c>
      <c r="B124" s="65"/>
      <c r="C124" s="65"/>
      <c r="D124" s="65"/>
      <c r="E124" s="66"/>
      <c r="F124" s="67" t="str">
        <f aca="false">IF(B124="","",IF(COUNTIF(取込チェック!$C$6:$C$505,B124)&gt;0,1,0))</f>
        <v/>
      </c>
      <c r="G124" s="68" t="str">
        <f aca="false">IF(B124="","",SUMIF(取込チェック!$C$6:$C$505,B124,取込チェック!$D$6:$D$505))</f>
        <v/>
      </c>
      <c r="H124" s="68" t="str">
        <f aca="false">IF(B124="","",SUMIF(取込チェック!$C$6:$C$505,B124,取込チェック!$E$6:$E$505))</f>
        <v/>
      </c>
      <c r="I124" s="68" t="str">
        <f aca="false">IF(B124="","",SUMIF(取込チェック!$C$6:$C$505,B124,取込チェック!$F$6:$F$505))</f>
        <v/>
      </c>
      <c r="J124" s="69" t="str">
        <f aca="false">IF(F124&lt;&gt;1,"",IF(H124=0,"-",G124/H124))</f>
        <v/>
      </c>
      <c r="K124" s="67" t="str">
        <f aca="false">IF(F124&lt;&gt;1,"",COUNTIFS($E$5:$E$304,E124,$F$5:$F$304,1,$B$5:$B$304,"&lt;"&amp;B124)+1)</f>
        <v/>
      </c>
      <c r="L124" s="67" t="str">
        <f aca="false">IF(K124="","",E124&amp;"|"&amp;K124)</f>
        <v/>
      </c>
      <c r="M124" s="67" t="str">
        <f aca="false">IF(F124&lt;&gt;1,"",IF(COUNTIFS($C$5:C124,C124,$F$5:F124,1)=1,1,0))</f>
        <v/>
      </c>
      <c r="N124" s="67" t="str">
        <f aca="false">IF(M124&lt;&gt;1,"",_xlfn.MINIFS($B$5:$B$304,$C$5:$C$304,C124,$F$5:$F$304,1))</f>
        <v/>
      </c>
      <c r="O124" s="67" t="str">
        <f aca="false">IF(M124&lt;&gt;1,"",COUNTIFS($M$5:$M$304,1,$N$5:$N$304,"&lt;"&amp;N124)+1)</f>
        <v/>
      </c>
      <c r="P124" s="68" t="str">
        <f aca="false">IF(OR(B124="",取込チェック!$K$3=0),"",SUMIF(取込チェック!$K$6:$K$505,B124,取込チェック!$L$6:$L$505))</f>
        <v/>
      </c>
      <c r="Q124" s="68" t="str">
        <f aca="false">IF(OR(B124="",取込チェック!$K$3=0),"",SUMIF(取込チェック!$K$6:$K$505,B124,取込チェック!$M$6:$M$505))</f>
        <v/>
      </c>
      <c r="R124" s="68" t="str">
        <f aca="false">IF(P124="","",G124-P124)</f>
        <v/>
      </c>
      <c r="S124" s="68" t="str">
        <f aca="false">IF(Q124="","",I124-Q124)</f>
        <v/>
      </c>
    </row>
    <row r="125" customFormat="false" ht="15" hidden="false" customHeight="false" outlineLevel="0" collapsed="false">
      <c r="A125" s="64" t="str">
        <f aca="false">IF(B125="","",ROW()-4)</f>
        <v/>
      </c>
      <c r="B125" s="65"/>
      <c r="C125" s="65"/>
      <c r="D125" s="65"/>
      <c r="E125" s="66"/>
      <c r="F125" s="67" t="str">
        <f aca="false">IF(B125="","",IF(COUNTIF(取込チェック!$C$6:$C$505,B125)&gt;0,1,0))</f>
        <v/>
      </c>
      <c r="G125" s="68" t="str">
        <f aca="false">IF(B125="","",SUMIF(取込チェック!$C$6:$C$505,B125,取込チェック!$D$6:$D$505))</f>
        <v/>
      </c>
      <c r="H125" s="68" t="str">
        <f aca="false">IF(B125="","",SUMIF(取込チェック!$C$6:$C$505,B125,取込チェック!$E$6:$E$505))</f>
        <v/>
      </c>
      <c r="I125" s="68" t="str">
        <f aca="false">IF(B125="","",SUMIF(取込チェック!$C$6:$C$505,B125,取込チェック!$F$6:$F$505))</f>
        <v/>
      </c>
      <c r="J125" s="69" t="str">
        <f aca="false">IF(F125&lt;&gt;1,"",IF(H125=0,"-",G125/H125))</f>
        <v/>
      </c>
      <c r="K125" s="67" t="str">
        <f aca="false">IF(F125&lt;&gt;1,"",COUNTIFS($E$5:$E$304,E125,$F$5:$F$304,1,$B$5:$B$304,"&lt;"&amp;B125)+1)</f>
        <v/>
      </c>
      <c r="L125" s="67" t="str">
        <f aca="false">IF(K125="","",E125&amp;"|"&amp;K125)</f>
        <v/>
      </c>
      <c r="M125" s="67" t="str">
        <f aca="false">IF(F125&lt;&gt;1,"",IF(COUNTIFS($C$5:C125,C125,$F$5:F125,1)=1,1,0))</f>
        <v/>
      </c>
      <c r="N125" s="67" t="str">
        <f aca="false">IF(M125&lt;&gt;1,"",_xlfn.MINIFS($B$5:$B$304,$C$5:$C$304,C125,$F$5:$F$304,1))</f>
        <v/>
      </c>
      <c r="O125" s="67" t="str">
        <f aca="false">IF(M125&lt;&gt;1,"",COUNTIFS($M$5:$M$304,1,$N$5:$N$304,"&lt;"&amp;N125)+1)</f>
        <v/>
      </c>
      <c r="P125" s="68" t="str">
        <f aca="false">IF(OR(B125="",取込チェック!$K$3=0),"",SUMIF(取込チェック!$K$6:$K$505,B125,取込チェック!$L$6:$L$505))</f>
        <v/>
      </c>
      <c r="Q125" s="68" t="str">
        <f aca="false">IF(OR(B125="",取込チェック!$K$3=0),"",SUMIF(取込チェック!$K$6:$K$505,B125,取込チェック!$M$6:$M$505))</f>
        <v/>
      </c>
      <c r="R125" s="68" t="str">
        <f aca="false">IF(P125="","",G125-P125)</f>
        <v/>
      </c>
      <c r="S125" s="68" t="str">
        <f aca="false">IF(Q125="","",I125-Q125)</f>
        <v/>
      </c>
    </row>
    <row r="126" customFormat="false" ht="15" hidden="false" customHeight="false" outlineLevel="0" collapsed="false">
      <c r="A126" s="64" t="str">
        <f aca="false">IF(B126="","",ROW()-4)</f>
        <v/>
      </c>
      <c r="B126" s="65"/>
      <c r="C126" s="65"/>
      <c r="D126" s="65"/>
      <c r="E126" s="66"/>
      <c r="F126" s="67" t="str">
        <f aca="false">IF(B126="","",IF(COUNTIF(取込チェック!$C$6:$C$505,B126)&gt;0,1,0))</f>
        <v/>
      </c>
      <c r="G126" s="68" t="str">
        <f aca="false">IF(B126="","",SUMIF(取込チェック!$C$6:$C$505,B126,取込チェック!$D$6:$D$505))</f>
        <v/>
      </c>
      <c r="H126" s="68" t="str">
        <f aca="false">IF(B126="","",SUMIF(取込チェック!$C$6:$C$505,B126,取込チェック!$E$6:$E$505))</f>
        <v/>
      </c>
      <c r="I126" s="68" t="str">
        <f aca="false">IF(B126="","",SUMIF(取込チェック!$C$6:$C$505,B126,取込チェック!$F$6:$F$505))</f>
        <v/>
      </c>
      <c r="J126" s="69" t="str">
        <f aca="false">IF(F126&lt;&gt;1,"",IF(H126=0,"-",G126/H126))</f>
        <v/>
      </c>
      <c r="K126" s="67" t="str">
        <f aca="false">IF(F126&lt;&gt;1,"",COUNTIFS($E$5:$E$304,E126,$F$5:$F$304,1,$B$5:$B$304,"&lt;"&amp;B126)+1)</f>
        <v/>
      </c>
      <c r="L126" s="67" t="str">
        <f aca="false">IF(K126="","",E126&amp;"|"&amp;K126)</f>
        <v/>
      </c>
      <c r="M126" s="67" t="str">
        <f aca="false">IF(F126&lt;&gt;1,"",IF(COUNTIFS($C$5:C126,C126,$F$5:F126,1)=1,1,0))</f>
        <v/>
      </c>
      <c r="N126" s="67" t="str">
        <f aca="false">IF(M126&lt;&gt;1,"",_xlfn.MINIFS($B$5:$B$304,$C$5:$C$304,C126,$F$5:$F$304,1))</f>
        <v/>
      </c>
      <c r="O126" s="67" t="str">
        <f aca="false">IF(M126&lt;&gt;1,"",COUNTIFS($M$5:$M$304,1,$N$5:$N$304,"&lt;"&amp;N126)+1)</f>
        <v/>
      </c>
      <c r="P126" s="68" t="str">
        <f aca="false">IF(OR(B126="",取込チェック!$K$3=0),"",SUMIF(取込チェック!$K$6:$K$505,B126,取込チェック!$L$6:$L$505))</f>
        <v/>
      </c>
      <c r="Q126" s="68" t="str">
        <f aca="false">IF(OR(B126="",取込チェック!$K$3=0),"",SUMIF(取込チェック!$K$6:$K$505,B126,取込チェック!$M$6:$M$505))</f>
        <v/>
      </c>
      <c r="R126" s="68" t="str">
        <f aca="false">IF(P126="","",G126-P126)</f>
        <v/>
      </c>
      <c r="S126" s="68" t="str">
        <f aca="false">IF(Q126="","",I126-Q126)</f>
        <v/>
      </c>
    </row>
    <row r="127" customFormat="false" ht="15" hidden="false" customHeight="false" outlineLevel="0" collapsed="false">
      <c r="A127" s="64" t="str">
        <f aca="false">IF(B127="","",ROW()-4)</f>
        <v/>
      </c>
      <c r="B127" s="65"/>
      <c r="C127" s="65"/>
      <c r="D127" s="65"/>
      <c r="E127" s="66"/>
      <c r="F127" s="67" t="str">
        <f aca="false">IF(B127="","",IF(COUNTIF(取込チェック!$C$6:$C$505,B127)&gt;0,1,0))</f>
        <v/>
      </c>
      <c r="G127" s="68" t="str">
        <f aca="false">IF(B127="","",SUMIF(取込チェック!$C$6:$C$505,B127,取込チェック!$D$6:$D$505))</f>
        <v/>
      </c>
      <c r="H127" s="68" t="str">
        <f aca="false">IF(B127="","",SUMIF(取込チェック!$C$6:$C$505,B127,取込チェック!$E$6:$E$505))</f>
        <v/>
      </c>
      <c r="I127" s="68" t="str">
        <f aca="false">IF(B127="","",SUMIF(取込チェック!$C$6:$C$505,B127,取込チェック!$F$6:$F$505))</f>
        <v/>
      </c>
      <c r="J127" s="69" t="str">
        <f aca="false">IF(F127&lt;&gt;1,"",IF(H127=0,"-",G127/H127))</f>
        <v/>
      </c>
      <c r="K127" s="67" t="str">
        <f aca="false">IF(F127&lt;&gt;1,"",COUNTIFS($E$5:$E$304,E127,$F$5:$F$304,1,$B$5:$B$304,"&lt;"&amp;B127)+1)</f>
        <v/>
      </c>
      <c r="L127" s="67" t="str">
        <f aca="false">IF(K127="","",E127&amp;"|"&amp;K127)</f>
        <v/>
      </c>
      <c r="M127" s="67" t="str">
        <f aca="false">IF(F127&lt;&gt;1,"",IF(COUNTIFS($C$5:C127,C127,$F$5:F127,1)=1,1,0))</f>
        <v/>
      </c>
      <c r="N127" s="67" t="str">
        <f aca="false">IF(M127&lt;&gt;1,"",_xlfn.MINIFS($B$5:$B$304,$C$5:$C$304,C127,$F$5:$F$304,1))</f>
        <v/>
      </c>
      <c r="O127" s="67" t="str">
        <f aca="false">IF(M127&lt;&gt;1,"",COUNTIFS($M$5:$M$304,1,$N$5:$N$304,"&lt;"&amp;N127)+1)</f>
        <v/>
      </c>
      <c r="P127" s="68" t="str">
        <f aca="false">IF(OR(B127="",取込チェック!$K$3=0),"",SUMIF(取込チェック!$K$6:$K$505,B127,取込チェック!$L$6:$L$505))</f>
        <v/>
      </c>
      <c r="Q127" s="68" t="str">
        <f aca="false">IF(OR(B127="",取込チェック!$K$3=0),"",SUMIF(取込チェック!$K$6:$K$505,B127,取込チェック!$M$6:$M$505))</f>
        <v/>
      </c>
      <c r="R127" s="68" t="str">
        <f aca="false">IF(P127="","",G127-P127)</f>
        <v/>
      </c>
      <c r="S127" s="68" t="str">
        <f aca="false">IF(Q127="","",I127-Q127)</f>
        <v/>
      </c>
    </row>
    <row r="128" customFormat="false" ht="15" hidden="false" customHeight="false" outlineLevel="0" collapsed="false">
      <c r="A128" s="64" t="str">
        <f aca="false">IF(B128="","",ROW()-4)</f>
        <v/>
      </c>
      <c r="B128" s="65"/>
      <c r="C128" s="65"/>
      <c r="D128" s="65"/>
      <c r="E128" s="66"/>
      <c r="F128" s="67" t="str">
        <f aca="false">IF(B128="","",IF(COUNTIF(取込チェック!$C$6:$C$505,B128)&gt;0,1,0))</f>
        <v/>
      </c>
      <c r="G128" s="68" t="str">
        <f aca="false">IF(B128="","",SUMIF(取込チェック!$C$6:$C$505,B128,取込チェック!$D$6:$D$505))</f>
        <v/>
      </c>
      <c r="H128" s="68" t="str">
        <f aca="false">IF(B128="","",SUMIF(取込チェック!$C$6:$C$505,B128,取込チェック!$E$6:$E$505))</f>
        <v/>
      </c>
      <c r="I128" s="68" t="str">
        <f aca="false">IF(B128="","",SUMIF(取込チェック!$C$6:$C$505,B128,取込チェック!$F$6:$F$505))</f>
        <v/>
      </c>
      <c r="J128" s="69" t="str">
        <f aca="false">IF(F128&lt;&gt;1,"",IF(H128=0,"-",G128/H128))</f>
        <v/>
      </c>
      <c r="K128" s="67" t="str">
        <f aca="false">IF(F128&lt;&gt;1,"",COUNTIFS($E$5:$E$304,E128,$F$5:$F$304,1,$B$5:$B$304,"&lt;"&amp;B128)+1)</f>
        <v/>
      </c>
      <c r="L128" s="67" t="str">
        <f aca="false">IF(K128="","",E128&amp;"|"&amp;K128)</f>
        <v/>
      </c>
      <c r="M128" s="67" t="str">
        <f aca="false">IF(F128&lt;&gt;1,"",IF(COUNTIFS($C$5:C128,C128,$F$5:F128,1)=1,1,0))</f>
        <v/>
      </c>
      <c r="N128" s="67" t="str">
        <f aca="false">IF(M128&lt;&gt;1,"",_xlfn.MINIFS($B$5:$B$304,$C$5:$C$304,C128,$F$5:$F$304,1))</f>
        <v/>
      </c>
      <c r="O128" s="67" t="str">
        <f aca="false">IF(M128&lt;&gt;1,"",COUNTIFS($M$5:$M$304,1,$N$5:$N$304,"&lt;"&amp;N128)+1)</f>
        <v/>
      </c>
      <c r="P128" s="68" t="str">
        <f aca="false">IF(OR(B128="",取込チェック!$K$3=0),"",SUMIF(取込チェック!$K$6:$K$505,B128,取込チェック!$L$6:$L$505))</f>
        <v/>
      </c>
      <c r="Q128" s="68" t="str">
        <f aca="false">IF(OR(B128="",取込チェック!$K$3=0),"",SUMIF(取込チェック!$K$6:$K$505,B128,取込チェック!$M$6:$M$505))</f>
        <v/>
      </c>
      <c r="R128" s="68" t="str">
        <f aca="false">IF(P128="","",G128-P128)</f>
        <v/>
      </c>
      <c r="S128" s="68" t="str">
        <f aca="false">IF(Q128="","",I128-Q128)</f>
        <v/>
      </c>
    </row>
    <row r="129" customFormat="false" ht="15" hidden="false" customHeight="false" outlineLevel="0" collapsed="false">
      <c r="A129" s="64" t="str">
        <f aca="false">IF(B129="","",ROW()-4)</f>
        <v/>
      </c>
      <c r="B129" s="65"/>
      <c r="C129" s="65"/>
      <c r="D129" s="65"/>
      <c r="E129" s="66"/>
      <c r="F129" s="67" t="str">
        <f aca="false">IF(B129="","",IF(COUNTIF(取込チェック!$C$6:$C$505,B129)&gt;0,1,0))</f>
        <v/>
      </c>
      <c r="G129" s="68" t="str">
        <f aca="false">IF(B129="","",SUMIF(取込チェック!$C$6:$C$505,B129,取込チェック!$D$6:$D$505))</f>
        <v/>
      </c>
      <c r="H129" s="68" t="str">
        <f aca="false">IF(B129="","",SUMIF(取込チェック!$C$6:$C$505,B129,取込チェック!$E$6:$E$505))</f>
        <v/>
      </c>
      <c r="I129" s="68" t="str">
        <f aca="false">IF(B129="","",SUMIF(取込チェック!$C$6:$C$505,B129,取込チェック!$F$6:$F$505))</f>
        <v/>
      </c>
      <c r="J129" s="69" t="str">
        <f aca="false">IF(F129&lt;&gt;1,"",IF(H129=0,"-",G129/H129))</f>
        <v/>
      </c>
      <c r="K129" s="67" t="str">
        <f aca="false">IF(F129&lt;&gt;1,"",COUNTIFS($E$5:$E$304,E129,$F$5:$F$304,1,$B$5:$B$304,"&lt;"&amp;B129)+1)</f>
        <v/>
      </c>
      <c r="L129" s="67" t="str">
        <f aca="false">IF(K129="","",E129&amp;"|"&amp;K129)</f>
        <v/>
      </c>
      <c r="M129" s="67" t="str">
        <f aca="false">IF(F129&lt;&gt;1,"",IF(COUNTIFS($C$5:C129,C129,$F$5:F129,1)=1,1,0))</f>
        <v/>
      </c>
      <c r="N129" s="67" t="str">
        <f aca="false">IF(M129&lt;&gt;1,"",_xlfn.MINIFS($B$5:$B$304,$C$5:$C$304,C129,$F$5:$F$304,1))</f>
        <v/>
      </c>
      <c r="O129" s="67" t="str">
        <f aca="false">IF(M129&lt;&gt;1,"",COUNTIFS($M$5:$M$304,1,$N$5:$N$304,"&lt;"&amp;N129)+1)</f>
        <v/>
      </c>
      <c r="P129" s="68" t="str">
        <f aca="false">IF(OR(B129="",取込チェック!$K$3=0),"",SUMIF(取込チェック!$K$6:$K$505,B129,取込チェック!$L$6:$L$505))</f>
        <v/>
      </c>
      <c r="Q129" s="68" t="str">
        <f aca="false">IF(OR(B129="",取込チェック!$K$3=0),"",SUMIF(取込チェック!$K$6:$K$505,B129,取込チェック!$M$6:$M$505))</f>
        <v/>
      </c>
      <c r="R129" s="68" t="str">
        <f aca="false">IF(P129="","",G129-P129)</f>
        <v/>
      </c>
      <c r="S129" s="68" t="str">
        <f aca="false">IF(Q129="","",I129-Q129)</f>
        <v/>
      </c>
    </row>
    <row r="130" customFormat="false" ht="15" hidden="false" customHeight="false" outlineLevel="0" collapsed="false">
      <c r="A130" s="64" t="str">
        <f aca="false">IF(B130="","",ROW()-4)</f>
        <v/>
      </c>
      <c r="B130" s="65"/>
      <c r="C130" s="65"/>
      <c r="D130" s="65"/>
      <c r="E130" s="66"/>
      <c r="F130" s="67" t="str">
        <f aca="false">IF(B130="","",IF(COUNTIF(取込チェック!$C$6:$C$505,B130)&gt;0,1,0))</f>
        <v/>
      </c>
      <c r="G130" s="68" t="str">
        <f aca="false">IF(B130="","",SUMIF(取込チェック!$C$6:$C$505,B130,取込チェック!$D$6:$D$505))</f>
        <v/>
      </c>
      <c r="H130" s="68" t="str">
        <f aca="false">IF(B130="","",SUMIF(取込チェック!$C$6:$C$505,B130,取込チェック!$E$6:$E$505))</f>
        <v/>
      </c>
      <c r="I130" s="68" t="str">
        <f aca="false">IF(B130="","",SUMIF(取込チェック!$C$6:$C$505,B130,取込チェック!$F$6:$F$505))</f>
        <v/>
      </c>
      <c r="J130" s="69" t="str">
        <f aca="false">IF(F130&lt;&gt;1,"",IF(H130=0,"-",G130/H130))</f>
        <v/>
      </c>
      <c r="K130" s="67" t="str">
        <f aca="false">IF(F130&lt;&gt;1,"",COUNTIFS($E$5:$E$304,E130,$F$5:$F$304,1,$B$5:$B$304,"&lt;"&amp;B130)+1)</f>
        <v/>
      </c>
      <c r="L130" s="67" t="str">
        <f aca="false">IF(K130="","",E130&amp;"|"&amp;K130)</f>
        <v/>
      </c>
      <c r="M130" s="67" t="str">
        <f aca="false">IF(F130&lt;&gt;1,"",IF(COUNTIFS($C$5:C130,C130,$F$5:F130,1)=1,1,0))</f>
        <v/>
      </c>
      <c r="N130" s="67" t="str">
        <f aca="false">IF(M130&lt;&gt;1,"",_xlfn.MINIFS($B$5:$B$304,$C$5:$C$304,C130,$F$5:$F$304,1))</f>
        <v/>
      </c>
      <c r="O130" s="67" t="str">
        <f aca="false">IF(M130&lt;&gt;1,"",COUNTIFS($M$5:$M$304,1,$N$5:$N$304,"&lt;"&amp;N130)+1)</f>
        <v/>
      </c>
      <c r="P130" s="68" t="str">
        <f aca="false">IF(OR(B130="",取込チェック!$K$3=0),"",SUMIF(取込チェック!$K$6:$K$505,B130,取込チェック!$L$6:$L$505))</f>
        <v/>
      </c>
      <c r="Q130" s="68" t="str">
        <f aca="false">IF(OR(B130="",取込チェック!$K$3=0),"",SUMIF(取込チェック!$K$6:$K$505,B130,取込チェック!$M$6:$M$505))</f>
        <v/>
      </c>
      <c r="R130" s="68" t="str">
        <f aca="false">IF(P130="","",G130-P130)</f>
        <v/>
      </c>
      <c r="S130" s="68" t="str">
        <f aca="false">IF(Q130="","",I130-Q130)</f>
        <v/>
      </c>
    </row>
    <row r="131" customFormat="false" ht="15" hidden="false" customHeight="false" outlineLevel="0" collapsed="false">
      <c r="A131" s="64" t="str">
        <f aca="false">IF(B131="","",ROW()-4)</f>
        <v/>
      </c>
      <c r="B131" s="65"/>
      <c r="C131" s="65"/>
      <c r="D131" s="65"/>
      <c r="E131" s="66"/>
      <c r="F131" s="67" t="str">
        <f aca="false">IF(B131="","",IF(COUNTIF(取込チェック!$C$6:$C$505,B131)&gt;0,1,0))</f>
        <v/>
      </c>
      <c r="G131" s="68" t="str">
        <f aca="false">IF(B131="","",SUMIF(取込チェック!$C$6:$C$505,B131,取込チェック!$D$6:$D$505))</f>
        <v/>
      </c>
      <c r="H131" s="68" t="str">
        <f aca="false">IF(B131="","",SUMIF(取込チェック!$C$6:$C$505,B131,取込チェック!$E$6:$E$505))</f>
        <v/>
      </c>
      <c r="I131" s="68" t="str">
        <f aca="false">IF(B131="","",SUMIF(取込チェック!$C$6:$C$505,B131,取込チェック!$F$6:$F$505))</f>
        <v/>
      </c>
      <c r="J131" s="69" t="str">
        <f aca="false">IF(F131&lt;&gt;1,"",IF(H131=0,"-",G131/H131))</f>
        <v/>
      </c>
      <c r="K131" s="67" t="str">
        <f aca="false">IF(F131&lt;&gt;1,"",COUNTIFS($E$5:$E$304,E131,$F$5:$F$304,1,$B$5:$B$304,"&lt;"&amp;B131)+1)</f>
        <v/>
      </c>
      <c r="L131" s="67" t="str">
        <f aca="false">IF(K131="","",E131&amp;"|"&amp;K131)</f>
        <v/>
      </c>
      <c r="M131" s="67" t="str">
        <f aca="false">IF(F131&lt;&gt;1,"",IF(COUNTIFS($C$5:C131,C131,$F$5:F131,1)=1,1,0))</f>
        <v/>
      </c>
      <c r="N131" s="67" t="str">
        <f aca="false">IF(M131&lt;&gt;1,"",_xlfn.MINIFS($B$5:$B$304,$C$5:$C$304,C131,$F$5:$F$304,1))</f>
        <v/>
      </c>
      <c r="O131" s="67" t="str">
        <f aca="false">IF(M131&lt;&gt;1,"",COUNTIFS($M$5:$M$304,1,$N$5:$N$304,"&lt;"&amp;N131)+1)</f>
        <v/>
      </c>
      <c r="P131" s="68" t="str">
        <f aca="false">IF(OR(B131="",取込チェック!$K$3=0),"",SUMIF(取込チェック!$K$6:$K$505,B131,取込チェック!$L$6:$L$505))</f>
        <v/>
      </c>
      <c r="Q131" s="68" t="str">
        <f aca="false">IF(OR(B131="",取込チェック!$K$3=0),"",SUMIF(取込チェック!$K$6:$K$505,B131,取込チェック!$M$6:$M$505))</f>
        <v/>
      </c>
      <c r="R131" s="68" t="str">
        <f aca="false">IF(P131="","",G131-P131)</f>
        <v/>
      </c>
      <c r="S131" s="68" t="str">
        <f aca="false">IF(Q131="","",I131-Q131)</f>
        <v/>
      </c>
    </row>
    <row r="132" customFormat="false" ht="15" hidden="false" customHeight="false" outlineLevel="0" collapsed="false">
      <c r="A132" s="64" t="str">
        <f aca="false">IF(B132="","",ROW()-4)</f>
        <v/>
      </c>
      <c r="B132" s="65"/>
      <c r="C132" s="65"/>
      <c r="D132" s="65"/>
      <c r="E132" s="66"/>
      <c r="F132" s="67" t="str">
        <f aca="false">IF(B132="","",IF(COUNTIF(取込チェック!$C$6:$C$505,B132)&gt;0,1,0))</f>
        <v/>
      </c>
      <c r="G132" s="68" t="str">
        <f aca="false">IF(B132="","",SUMIF(取込チェック!$C$6:$C$505,B132,取込チェック!$D$6:$D$505))</f>
        <v/>
      </c>
      <c r="H132" s="68" t="str">
        <f aca="false">IF(B132="","",SUMIF(取込チェック!$C$6:$C$505,B132,取込チェック!$E$6:$E$505))</f>
        <v/>
      </c>
      <c r="I132" s="68" t="str">
        <f aca="false">IF(B132="","",SUMIF(取込チェック!$C$6:$C$505,B132,取込チェック!$F$6:$F$505))</f>
        <v/>
      </c>
      <c r="J132" s="69" t="str">
        <f aca="false">IF(F132&lt;&gt;1,"",IF(H132=0,"-",G132/H132))</f>
        <v/>
      </c>
      <c r="K132" s="67" t="str">
        <f aca="false">IF(F132&lt;&gt;1,"",COUNTIFS($E$5:$E$304,E132,$F$5:$F$304,1,$B$5:$B$304,"&lt;"&amp;B132)+1)</f>
        <v/>
      </c>
      <c r="L132" s="67" t="str">
        <f aca="false">IF(K132="","",E132&amp;"|"&amp;K132)</f>
        <v/>
      </c>
      <c r="M132" s="67" t="str">
        <f aca="false">IF(F132&lt;&gt;1,"",IF(COUNTIFS($C$5:C132,C132,$F$5:F132,1)=1,1,0))</f>
        <v/>
      </c>
      <c r="N132" s="67" t="str">
        <f aca="false">IF(M132&lt;&gt;1,"",_xlfn.MINIFS($B$5:$B$304,$C$5:$C$304,C132,$F$5:$F$304,1))</f>
        <v/>
      </c>
      <c r="O132" s="67" t="str">
        <f aca="false">IF(M132&lt;&gt;1,"",COUNTIFS($M$5:$M$304,1,$N$5:$N$304,"&lt;"&amp;N132)+1)</f>
        <v/>
      </c>
      <c r="P132" s="68" t="str">
        <f aca="false">IF(OR(B132="",取込チェック!$K$3=0),"",SUMIF(取込チェック!$K$6:$K$505,B132,取込チェック!$L$6:$L$505))</f>
        <v/>
      </c>
      <c r="Q132" s="68" t="str">
        <f aca="false">IF(OR(B132="",取込チェック!$K$3=0),"",SUMIF(取込チェック!$K$6:$K$505,B132,取込チェック!$M$6:$M$505))</f>
        <v/>
      </c>
      <c r="R132" s="68" t="str">
        <f aca="false">IF(P132="","",G132-P132)</f>
        <v/>
      </c>
      <c r="S132" s="68" t="str">
        <f aca="false">IF(Q132="","",I132-Q132)</f>
        <v/>
      </c>
    </row>
    <row r="133" customFormat="false" ht="15" hidden="false" customHeight="false" outlineLevel="0" collapsed="false">
      <c r="A133" s="64" t="str">
        <f aca="false">IF(B133="","",ROW()-4)</f>
        <v/>
      </c>
      <c r="B133" s="65"/>
      <c r="C133" s="65"/>
      <c r="D133" s="65"/>
      <c r="E133" s="66"/>
      <c r="F133" s="67" t="str">
        <f aca="false">IF(B133="","",IF(COUNTIF(取込チェック!$C$6:$C$505,B133)&gt;0,1,0))</f>
        <v/>
      </c>
      <c r="G133" s="68" t="str">
        <f aca="false">IF(B133="","",SUMIF(取込チェック!$C$6:$C$505,B133,取込チェック!$D$6:$D$505))</f>
        <v/>
      </c>
      <c r="H133" s="68" t="str">
        <f aca="false">IF(B133="","",SUMIF(取込チェック!$C$6:$C$505,B133,取込チェック!$E$6:$E$505))</f>
        <v/>
      </c>
      <c r="I133" s="68" t="str">
        <f aca="false">IF(B133="","",SUMIF(取込チェック!$C$6:$C$505,B133,取込チェック!$F$6:$F$505))</f>
        <v/>
      </c>
      <c r="J133" s="69" t="str">
        <f aca="false">IF(F133&lt;&gt;1,"",IF(H133=0,"-",G133/H133))</f>
        <v/>
      </c>
      <c r="K133" s="67" t="str">
        <f aca="false">IF(F133&lt;&gt;1,"",COUNTIFS($E$5:$E$304,E133,$F$5:$F$304,1,$B$5:$B$304,"&lt;"&amp;B133)+1)</f>
        <v/>
      </c>
      <c r="L133" s="67" t="str">
        <f aca="false">IF(K133="","",E133&amp;"|"&amp;K133)</f>
        <v/>
      </c>
      <c r="M133" s="67" t="str">
        <f aca="false">IF(F133&lt;&gt;1,"",IF(COUNTIFS($C$5:C133,C133,$F$5:F133,1)=1,1,0))</f>
        <v/>
      </c>
      <c r="N133" s="67" t="str">
        <f aca="false">IF(M133&lt;&gt;1,"",_xlfn.MINIFS($B$5:$B$304,$C$5:$C$304,C133,$F$5:$F$304,1))</f>
        <v/>
      </c>
      <c r="O133" s="67" t="str">
        <f aca="false">IF(M133&lt;&gt;1,"",COUNTIFS($M$5:$M$304,1,$N$5:$N$304,"&lt;"&amp;N133)+1)</f>
        <v/>
      </c>
      <c r="P133" s="68" t="str">
        <f aca="false">IF(OR(B133="",取込チェック!$K$3=0),"",SUMIF(取込チェック!$K$6:$K$505,B133,取込チェック!$L$6:$L$505))</f>
        <v/>
      </c>
      <c r="Q133" s="68" t="str">
        <f aca="false">IF(OR(B133="",取込チェック!$K$3=0),"",SUMIF(取込チェック!$K$6:$K$505,B133,取込チェック!$M$6:$M$505))</f>
        <v/>
      </c>
      <c r="R133" s="68" t="str">
        <f aca="false">IF(P133="","",G133-P133)</f>
        <v/>
      </c>
      <c r="S133" s="68" t="str">
        <f aca="false">IF(Q133="","",I133-Q133)</f>
        <v/>
      </c>
    </row>
    <row r="134" customFormat="false" ht="15" hidden="false" customHeight="false" outlineLevel="0" collapsed="false">
      <c r="A134" s="64" t="str">
        <f aca="false">IF(B134="","",ROW()-4)</f>
        <v/>
      </c>
      <c r="B134" s="65"/>
      <c r="C134" s="65"/>
      <c r="D134" s="65"/>
      <c r="E134" s="66"/>
      <c r="F134" s="67" t="str">
        <f aca="false">IF(B134="","",IF(COUNTIF(取込チェック!$C$6:$C$505,B134)&gt;0,1,0))</f>
        <v/>
      </c>
      <c r="G134" s="68" t="str">
        <f aca="false">IF(B134="","",SUMIF(取込チェック!$C$6:$C$505,B134,取込チェック!$D$6:$D$505))</f>
        <v/>
      </c>
      <c r="H134" s="68" t="str">
        <f aca="false">IF(B134="","",SUMIF(取込チェック!$C$6:$C$505,B134,取込チェック!$E$6:$E$505))</f>
        <v/>
      </c>
      <c r="I134" s="68" t="str">
        <f aca="false">IF(B134="","",SUMIF(取込チェック!$C$6:$C$505,B134,取込チェック!$F$6:$F$505))</f>
        <v/>
      </c>
      <c r="J134" s="69" t="str">
        <f aca="false">IF(F134&lt;&gt;1,"",IF(H134=0,"-",G134/H134))</f>
        <v/>
      </c>
      <c r="K134" s="67" t="str">
        <f aca="false">IF(F134&lt;&gt;1,"",COUNTIFS($E$5:$E$304,E134,$F$5:$F$304,1,$B$5:$B$304,"&lt;"&amp;B134)+1)</f>
        <v/>
      </c>
      <c r="L134" s="67" t="str">
        <f aca="false">IF(K134="","",E134&amp;"|"&amp;K134)</f>
        <v/>
      </c>
      <c r="M134" s="67" t="str">
        <f aca="false">IF(F134&lt;&gt;1,"",IF(COUNTIFS($C$5:C134,C134,$F$5:F134,1)=1,1,0))</f>
        <v/>
      </c>
      <c r="N134" s="67" t="str">
        <f aca="false">IF(M134&lt;&gt;1,"",_xlfn.MINIFS($B$5:$B$304,$C$5:$C$304,C134,$F$5:$F$304,1))</f>
        <v/>
      </c>
      <c r="O134" s="67" t="str">
        <f aca="false">IF(M134&lt;&gt;1,"",COUNTIFS($M$5:$M$304,1,$N$5:$N$304,"&lt;"&amp;N134)+1)</f>
        <v/>
      </c>
      <c r="P134" s="68" t="str">
        <f aca="false">IF(OR(B134="",取込チェック!$K$3=0),"",SUMIF(取込チェック!$K$6:$K$505,B134,取込チェック!$L$6:$L$505))</f>
        <v/>
      </c>
      <c r="Q134" s="68" t="str">
        <f aca="false">IF(OR(B134="",取込チェック!$K$3=0),"",SUMIF(取込チェック!$K$6:$K$505,B134,取込チェック!$M$6:$M$505))</f>
        <v/>
      </c>
      <c r="R134" s="68" t="str">
        <f aca="false">IF(P134="","",G134-P134)</f>
        <v/>
      </c>
      <c r="S134" s="68" t="str">
        <f aca="false">IF(Q134="","",I134-Q134)</f>
        <v/>
      </c>
    </row>
    <row r="135" customFormat="false" ht="15" hidden="false" customHeight="false" outlineLevel="0" collapsed="false">
      <c r="A135" s="64" t="str">
        <f aca="false">IF(B135="","",ROW()-4)</f>
        <v/>
      </c>
      <c r="B135" s="65"/>
      <c r="C135" s="65"/>
      <c r="D135" s="65"/>
      <c r="E135" s="66"/>
      <c r="F135" s="67" t="str">
        <f aca="false">IF(B135="","",IF(COUNTIF(取込チェック!$C$6:$C$505,B135)&gt;0,1,0))</f>
        <v/>
      </c>
      <c r="G135" s="68" t="str">
        <f aca="false">IF(B135="","",SUMIF(取込チェック!$C$6:$C$505,B135,取込チェック!$D$6:$D$505))</f>
        <v/>
      </c>
      <c r="H135" s="68" t="str">
        <f aca="false">IF(B135="","",SUMIF(取込チェック!$C$6:$C$505,B135,取込チェック!$E$6:$E$505))</f>
        <v/>
      </c>
      <c r="I135" s="68" t="str">
        <f aca="false">IF(B135="","",SUMIF(取込チェック!$C$6:$C$505,B135,取込チェック!$F$6:$F$505))</f>
        <v/>
      </c>
      <c r="J135" s="69" t="str">
        <f aca="false">IF(F135&lt;&gt;1,"",IF(H135=0,"-",G135/H135))</f>
        <v/>
      </c>
      <c r="K135" s="67" t="str">
        <f aca="false">IF(F135&lt;&gt;1,"",COUNTIFS($E$5:$E$304,E135,$F$5:$F$304,1,$B$5:$B$304,"&lt;"&amp;B135)+1)</f>
        <v/>
      </c>
      <c r="L135" s="67" t="str">
        <f aca="false">IF(K135="","",E135&amp;"|"&amp;K135)</f>
        <v/>
      </c>
      <c r="M135" s="67" t="str">
        <f aca="false">IF(F135&lt;&gt;1,"",IF(COUNTIFS($C$5:C135,C135,$F$5:F135,1)=1,1,0))</f>
        <v/>
      </c>
      <c r="N135" s="67" t="str">
        <f aca="false">IF(M135&lt;&gt;1,"",_xlfn.MINIFS($B$5:$B$304,$C$5:$C$304,C135,$F$5:$F$304,1))</f>
        <v/>
      </c>
      <c r="O135" s="67" t="str">
        <f aca="false">IF(M135&lt;&gt;1,"",COUNTIFS($M$5:$M$304,1,$N$5:$N$304,"&lt;"&amp;N135)+1)</f>
        <v/>
      </c>
      <c r="P135" s="68" t="str">
        <f aca="false">IF(OR(B135="",取込チェック!$K$3=0),"",SUMIF(取込チェック!$K$6:$K$505,B135,取込チェック!$L$6:$L$505))</f>
        <v/>
      </c>
      <c r="Q135" s="68" t="str">
        <f aca="false">IF(OR(B135="",取込チェック!$K$3=0),"",SUMIF(取込チェック!$K$6:$K$505,B135,取込チェック!$M$6:$M$505))</f>
        <v/>
      </c>
      <c r="R135" s="68" t="str">
        <f aca="false">IF(P135="","",G135-P135)</f>
        <v/>
      </c>
      <c r="S135" s="68" t="str">
        <f aca="false">IF(Q135="","",I135-Q135)</f>
        <v/>
      </c>
    </row>
    <row r="136" customFormat="false" ht="15" hidden="false" customHeight="false" outlineLevel="0" collapsed="false">
      <c r="A136" s="64" t="str">
        <f aca="false">IF(B136="","",ROW()-4)</f>
        <v/>
      </c>
      <c r="B136" s="65"/>
      <c r="C136" s="65"/>
      <c r="D136" s="65"/>
      <c r="E136" s="66"/>
      <c r="F136" s="67" t="str">
        <f aca="false">IF(B136="","",IF(COUNTIF(取込チェック!$C$6:$C$505,B136)&gt;0,1,0))</f>
        <v/>
      </c>
      <c r="G136" s="68" t="str">
        <f aca="false">IF(B136="","",SUMIF(取込チェック!$C$6:$C$505,B136,取込チェック!$D$6:$D$505))</f>
        <v/>
      </c>
      <c r="H136" s="68" t="str">
        <f aca="false">IF(B136="","",SUMIF(取込チェック!$C$6:$C$505,B136,取込チェック!$E$6:$E$505))</f>
        <v/>
      </c>
      <c r="I136" s="68" t="str">
        <f aca="false">IF(B136="","",SUMIF(取込チェック!$C$6:$C$505,B136,取込チェック!$F$6:$F$505))</f>
        <v/>
      </c>
      <c r="J136" s="69" t="str">
        <f aca="false">IF(F136&lt;&gt;1,"",IF(H136=0,"-",G136/H136))</f>
        <v/>
      </c>
      <c r="K136" s="67" t="str">
        <f aca="false">IF(F136&lt;&gt;1,"",COUNTIFS($E$5:$E$304,E136,$F$5:$F$304,1,$B$5:$B$304,"&lt;"&amp;B136)+1)</f>
        <v/>
      </c>
      <c r="L136" s="67" t="str">
        <f aca="false">IF(K136="","",E136&amp;"|"&amp;K136)</f>
        <v/>
      </c>
      <c r="M136" s="67" t="str">
        <f aca="false">IF(F136&lt;&gt;1,"",IF(COUNTIFS($C$5:C136,C136,$F$5:F136,1)=1,1,0))</f>
        <v/>
      </c>
      <c r="N136" s="67" t="str">
        <f aca="false">IF(M136&lt;&gt;1,"",_xlfn.MINIFS($B$5:$B$304,$C$5:$C$304,C136,$F$5:$F$304,1))</f>
        <v/>
      </c>
      <c r="O136" s="67" t="str">
        <f aca="false">IF(M136&lt;&gt;1,"",COUNTIFS($M$5:$M$304,1,$N$5:$N$304,"&lt;"&amp;N136)+1)</f>
        <v/>
      </c>
      <c r="P136" s="68" t="str">
        <f aca="false">IF(OR(B136="",取込チェック!$K$3=0),"",SUMIF(取込チェック!$K$6:$K$505,B136,取込チェック!$L$6:$L$505))</f>
        <v/>
      </c>
      <c r="Q136" s="68" t="str">
        <f aca="false">IF(OR(B136="",取込チェック!$K$3=0),"",SUMIF(取込チェック!$K$6:$K$505,B136,取込チェック!$M$6:$M$505))</f>
        <v/>
      </c>
      <c r="R136" s="68" t="str">
        <f aca="false">IF(P136="","",G136-P136)</f>
        <v/>
      </c>
      <c r="S136" s="68" t="str">
        <f aca="false">IF(Q136="","",I136-Q136)</f>
        <v/>
      </c>
    </row>
    <row r="137" customFormat="false" ht="15" hidden="false" customHeight="false" outlineLevel="0" collapsed="false">
      <c r="A137" s="64" t="str">
        <f aca="false">IF(B137="","",ROW()-4)</f>
        <v/>
      </c>
      <c r="B137" s="65"/>
      <c r="C137" s="65"/>
      <c r="D137" s="65"/>
      <c r="E137" s="66"/>
      <c r="F137" s="67" t="str">
        <f aca="false">IF(B137="","",IF(COUNTIF(取込チェック!$C$6:$C$505,B137)&gt;0,1,0))</f>
        <v/>
      </c>
      <c r="G137" s="68" t="str">
        <f aca="false">IF(B137="","",SUMIF(取込チェック!$C$6:$C$505,B137,取込チェック!$D$6:$D$505))</f>
        <v/>
      </c>
      <c r="H137" s="68" t="str">
        <f aca="false">IF(B137="","",SUMIF(取込チェック!$C$6:$C$505,B137,取込チェック!$E$6:$E$505))</f>
        <v/>
      </c>
      <c r="I137" s="68" t="str">
        <f aca="false">IF(B137="","",SUMIF(取込チェック!$C$6:$C$505,B137,取込チェック!$F$6:$F$505))</f>
        <v/>
      </c>
      <c r="J137" s="69" t="str">
        <f aca="false">IF(F137&lt;&gt;1,"",IF(H137=0,"-",G137/H137))</f>
        <v/>
      </c>
      <c r="K137" s="67" t="str">
        <f aca="false">IF(F137&lt;&gt;1,"",COUNTIFS($E$5:$E$304,E137,$F$5:$F$304,1,$B$5:$B$304,"&lt;"&amp;B137)+1)</f>
        <v/>
      </c>
      <c r="L137" s="67" t="str">
        <f aca="false">IF(K137="","",E137&amp;"|"&amp;K137)</f>
        <v/>
      </c>
      <c r="M137" s="67" t="str">
        <f aca="false">IF(F137&lt;&gt;1,"",IF(COUNTIFS($C$5:C137,C137,$F$5:F137,1)=1,1,0))</f>
        <v/>
      </c>
      <c r="N137" s="67" t="str">
        <f aca="false">IF(M137&lt;&gt;1,"",_xlfn.MINIFS($B$5:$B$304,$C$5:$C$304,C137,$F$5:$F$304,1))</f>
        <v/>
      </c>
      <c r="O137" s="67" t="str">
        <f aca="false">IF(M137&lt;&gt;1,"",COUNTIFS($M$5:$M$304,1,$N$5:$N$304,"&lt;"&amp;N137)+1)</f>
        <v/>
      </c>
      <c r="P137" s="68" t="str">
        <f aca="false">IF(OR(B137="",取込チェック!$K$3=0),"",SUMIF(取込チェック!$K$6:$K$505,B137,取込チェック!$L$6:$L$505))</f>
        <v/>
      </c>
      <c r="Q137" s="68" t="str">
        <f aca="false">IF(OR(B137="",取込チェック!$K$3=0),"",SUMIF(取込チェック!$K$6:$K$505,B137,取込チェック!$M$6:$M$505))</f>
        <v/>
      </c>
      <c r="R137" s="68" t="str">
        <f aca="false">IF(P137="","",G137-P137)</f>
        <v/>
      </c>
      <c r="S137" s="68" t="str">
        <f aca="false">IF(Q137="","",I137-Q137)</f>
        <v/>
      </c>
    </row>
    <row r="138" customFormat="false" ht="15" hidden="false" customHeight="false" outlineLevel="0" collapsed="false">
      <c r="A138" s="64" t="str">
        <f aca="false">IF(B138="","",ROW()-4)</f>
        <v/>
      </c>
      <c r="B138" s="65"/>
      <c r="C138" s="65"/>
      <c r="D138" s="65"/>
      <c r="E138" s="66"/>
      <c r="F138" s="67" t="str">
        <f aca="false">IF(B138="","",IF(COUNTIF(取込チェック!$C$6:$C$505,B138)&gt;0,1,0))</f>
        <v/>
      </c>
      <c r="G138" s="68" t="str">
        <f aca="false">IF(B138="","",SUMIF(取込チェック!$C$6:$C$505,B138,取込チェック!$D$6:$D$505))</f>
        <v/>
      </c>
      <c r="H138" s="68" t="str">
        <f aca="false">IF(B138="","",SUMIF(取込チェック!$C$6:$C$505,B138,取込チェック!$E$6:$E$505))</f>
        <v/>
      </c>
      <c r="I138" s="68" t="str">
        <f aca="false">IF(B138="","",SUMIF(取込チェック!$C$6:$C$505,B138,取込チェック!$F$6:$F$505))</f>
        <v/>
      </c>
      <c r="J138" s="69" t="str">
        <f aca="false">IF(F138&lt;&gt;1,"",IF(H138=0,"-",G138/H138))</f>
        <v/>
      </c>
      <c r="K138" s="67" t="str">
        <f aca="false">IF(F138&lt;&gt;1,"",COUNTIFS($E$5:$E$304,E138,$F$5:$F$304,1,$B$5:$B$304,"&lt;"&amp;B138)+1)</f>
        <v/>
      </c>
      <c r="L138" s="67" t="str">
        <f aca="false">IF(K138="","",E138&amp;"|"&amp;K138)</f>
        <v/>
      </c>
      <c r="M138" s="67" t="str">
        <f aca="false">IF(F138&lt;&gt;1,"",IF(COUNTIFS($C$5:C138,C138,$F$5:F138,1)=1,1,0))</f>
        <v/>
      </c>
      <c r="N138" s="67" t="str">
        <f aca="false">IF(M138&lt;&gt;1,"",_xlfn.MINIFS($B$5:$B$304,$C$5:$C$304,C138,$F$5:$F$304,1))</f>
        <v/>
      </c>
      <c r="O138" s="67" t="str">
        <f aca="false">IF(M138&lt;&gt;1,"",COUNTIFS($M$5:$M$304,1,$N$5:$N$304,"&lt;"&amp;N138)+1)</f>
        <v/>
      </c>
      <c r="P138" s="68" t="str">
        <f aca="false">IF(OR(B138="",取込チェック!$K$3=0),"",SUMIF(取込チェック!$K$6:$K$505,B138,取込チェック!$L$6:$L$505))</f>
        <v/>
      </c>
      <c r="Q138" s="68" t="str">
        <f aca="false">IF(OR(B138="",取込チェック!$K$3=0),"",SUMIF(取込チェック!$K$6:$K$505,B138,取込チェック!$M$6:$M$505))</f>
        <v/>
      </c>
      <c r="R138" s="68" t="str">
        <f aca="false">IF(P138="","",G138-P138)</f>
        <v/>
      </c>
      <c r="S138" s="68" t="str">
        <f aca="false">IF(Q138="","",I138-Q138)</f>
        <v/>
      </c>
    </row>
    <row r="139" customFormat="false" ht="15" hidden="false" customHeight="false" outlineLevel="0" collapsed="false">
      <c r="A139" s="64" t="str">
        <f aca="false">IF(B139="","",ROW()-4)</f>
        <v/>
      </c>
      <c r="B139" s="65"/>
      <c r="C139" s="65"/>
      <c r="D139" s="65"/>
      <c r="E139" s="66"/>
      <c r="F139" s="67" t="str">
        <f aca="false">IF(B139="","",IF(COUNTIF(取込チェック!$C$6:$C$505,B139)&gt;0,1,0))</f>
        <v/>
      </c>
      <c r="G139" s="68" t="str">
        <f aca="false">IF(B139="","",SUMIF(取込チェック!$C$6:$C$505,B139,取込チェック!$D$6:$D$505))</f>
        <v/>
      </c>
      <c r="H139" s="68" t="str">
        <f aca="false">IF(B139="","",SUMIF(取込チェック!$C$6:$C$505,B139,取込チェック!$E$6:$E$505))</f>
        <v/>
      </c>
      <c r="I139" s="68" t="str">
        <f aca="false">IF(B139="","",SUMIF(取込チェック!$C$6:$C$505,B139,取込チェック!$F$6:$F$505))</f>
        <v/>
      </c>
      <c r="J139" s="69" t="str">
        <f aca="false">IF(F139&lt;&gt;1,"",IF(H139=0,"-",G139/H139))</f>
        <v/>
      </c>
      <c r="K139" s="67" t="str">
        <f aca="false">IF(F139&lt;&gt;1,"",COUNTIFS($E$5:$E$304,E139,$F$5:$F$304,1,$B$5:$B$304,"&lt;"&amp;B139)+1)</f>
        <v/>
      </c>
      <c r="L139" s="67" t="str">
        <f aca="false">IF(K139="","",E139&amp;"|"&amp;K139)</f>
        <v/>
      </c>
      <c r="M139" s="67" t="str">
        <f aca="false">IF(F139&lt;&gt;1,"",IF(COUNTIFS($C$5:C139,C139,$F$5:F139,1)=1,1,0))</f>
        <v/>
      </c>
      <c r="N139" s="67" t="str">
        <f aca="false">IF(M139&lt;&gt;1,"",_xlfn.MINIFS($B$5:$B$304,$C$5:$C$304,C139,$F$5:$F$304,1))</f>
        <v/>
      </c>
      <c r="O139" s="67" t="str">
        <f aca="false">IF(M139&lt;&gt;1,"",COUNTIFS($M$5:$M$304,1,$N$5:$N$304,"&lt;"&amp;N139)+1)</f>
        <v/>
      </c>
      <c r="P139" s="68" t="str">
        <f aca="false">IF(OR(B139="",取込チェック!$K$3=0),"",SUMIF(取込チェック!$K$6:$K$505,B139,取込チェック!$L$6:$L$505))</f>
        <v/>
      </c>
      <c r="Q139" s="68" t="str">
        <f aca="false">IF(OR(B139="",取込チェック!$K$3=0),"",SUMIF(取込チェック!$K$6:$K$505,B139,取込チェック!$M$6:$M$505))</f>
        <v/>
      </c>
      <c r="R139" s="68" t="str">
        <f aca="false">IF(P139="","",G139-P139)</f>
        <v/>
      </c>
      <c r="S139" s="68" t="str">
        <f aca="false">IF(Q139="","",I139-Q139)</f>
        <v/>
      </c>
    </row>
    <row r="140" customFormat="false" ht="15" hidden="false" customHeight="false" outlineLevel="0" collapsed="false">
      <c r="A140" s="64" t="str">
        <f aca="false">IF(B140="","",ROW()-4)</f>
        <v/>
      </c>
      <c r="B140" s="65"/>
      <c r="C140" s="65"/>
      <c r="D140" s="65"/>
      <c r="E140" s="66"/>
      <c r="F140" s="67" t="str">
        <f aca="false">IF(B140="","",IF(COUNTIF(取込チェック!$C$6:$C$505,B140)&gt;0,1,0))</f>
        <v/>
      </c>
      <c r="G140" s="68" t="str">
        <f aca="false">IF(B140="","",SUMIF(取込チェック!$C$6:$C$505,B140,取込チェック!$D$6:$D$505))</f>
        <v/>
      </c>
      <c r="H140" s="68" t="str">
        <f aca="false">IF(B140="","",SUMIF(取込チェック!$C$6:$C$505,B140,取込チェック!$E$6:$E$505))</f>
        <v/>
      </c>
      <c r="I140" s="68" t="str">
        <f aca="false">IF(B140="","",SUMIF(取込チェック!$C$6:$C$505,B140,取込チェック!$F$6:$F$505))</f>
        <v/>
      </c>
      <c r="J140" s="69" t="str">
        <f aca="false">IF(F140&lt;&gt;1,"",IF(H140=0,"-",G140/H140))</f>
        <v/>
      </c>
      <c r="K140" s="67" t="str">
        <f aca="false">IF(F140&lt;&gt;1,"",COUNTIFS($E$5:$E$304,E140,$F$5:$F$304,1,$B$5:$B$304,"&lt;"&amp;B140)+1)</f>
        <v/>
      </c>
      <c r="L140" s="67" t="str">
        <f aca="false">IF(K140="","",E140&amp;"|"&amp;K140)</f>
        <v/>
      </c>
      <c r="M140" s="67" t="str">
        <f aca="false">IF(F140&lt;&gt;1,"",IF(COUNTIFS($C$5:C140,C140,$F$5:F140,1)=1,1,0))</f>
        <v/>
      </c>
      <c r="N140" s="67" t="str">
        <f aca="false">IF(M140&lt;&gt;1,"",_xlfn.MINIFS($B$5:$B$304,$C$5:$C$304,C140,$F$5:$F$304,1))</f>
        <v/>
      </c>
      <c r="O140" s="67" t="str">
        <f aca="false">IF(M140&lt;&gt;1,"",COUNTIFS($M$5:$M$304,1,$N$5:$N$304,"&lt;"&amp;N140)+1)</f>
        <v/>
      </c>
      <c r="P140" s="68" t="str">
        <f aca="false">IF(OR(B140="",取込チェック!$K$3=0),"",SUMIF(取込チェック!$K$6:$K$505,B140,取込チェック!$L$6:$L$505))</f>
        <v/>
      </c>
      <c r="Q140" s="68" t="str">
        <f aca="false">IF(OR(B140="",取込チェック!$K$3=0),"",SUMIF(取込チェック!$K$6:$K$505,B140,取込チェック!$M$6:$M$505))</f>
        <v/>
      </c>
      <c r="R140" s="68" t="str">
        <f aca="false">IF(P140="","",G140-P140)</f>
        <v/>
      </c>
      <c r="S140" s="68" t="str">
        <f aca="false">IF(Q140="","",I140-Q140)</f>
        <v/>
      </c>
    </row>
    <row r="141" customFormat="false" ht="15" hidden="false" customHeight="false" outlineLevel="0" collapsed="false">
      <c r="A141" s="64" t="str">
        <f aca="false">IF(B141="","",ROW()-4)</f>
        <v/>
      </c>
      <c r="B141" s="65"/>
      <c r="C141" s="65"/>
      <c r="D141" s="65"/>
      <c r="E141" s="66"/>
      <c r="F141" s="67" t="str">
        <f aca="false">IF(B141="","",IF(COUNTIF(取込チェック!$C$6:$C$505,B141)&gt;0,1,0))</f>
        <v/>
      </c>
      <c r="G141" s="68" t="str">
        <f aca="false">IF(B141="","",SUMIF(取込チェック!$C$6:$C$505,B141,取込チェック!$D$6:$D$505))</f>
        <v/>
      </c>
      <c r="H141" s="68" t="str">
        <f aca="false">IF(B141="","",SUMIF(取込チェック!$C$6:$C$505,B141,取込チェック!$E$6:$E$505))</f>
        <v/>
      </c>
      <c r="I141" s="68" t="str">
        <f aca="false">IF(B141="","",SUMIF(取込チェック!$C$6:$C$505,B141,取込チェック!$F$6:$F$505))</f>
        <v/>
      </c>
      <c r="J141" s="69" t="str">
        <f aca="false">IF(F141&lt;&gt;1,"",IF(H141=0,"-",G141/H141))</f>
        <v/>
      </c>
      <c r="K141" s="67" t="str">
        <f aca="false">IF(F141&lt;&gt;1,"",COUNTIFS($E$5:$E$304,E141,$F$5:$F$304,1,$B$5:$B$304,"&lt;"&amp;B141)+1)</f>
        <v/>
      </c>
      <c r="L141" s="67" t="str">
        <f aca="false">IF(K141="","",E141&amp;"|"&amp;K141)</f>
        <v/>
      </c>
      <c r="M141" s="67" t="str">
        <f aca="false">IF(F141&lt;&gt;1,"",IF(COUNTIFS($C$5:C141,C141,$F$5:F141,1)=1,1,0))</f>
        <v/>
      </c>
      <c r="N141" s="67" t="str">
        <f aca="false">IF(M141&lt;&gt;1,"",_xlfn.MINIFS($B$5:$B$304,$C$5:$C$304,C141,$F$5:$F$304,1))</f>
        <v/>
      </c>
      <c r="O141" s="67" t="str">
        <f aca="false">IF(M141&lt;&gt;1,"",COUNTIFS($M$5:$M$304,1,$N$5:$N$304,"&lt;"&amp;N141)+1)</f>
        <v/>
      </c>
      <c r="P141" s="68" t="str">
        <f aca="false">IF(OR(B141="",取込チェック!$K$3=0),"",SUMIF(取込チェック!$K$6:$K$505,B141,取込チェック!$L$6:$L$505))</f>
        <v/>
      </c>
      <c r="Q141" s="68" t="str">
        <f aca="false">IF(OR(B141="",取込チェック!$K$3=0),"",SUMIF(取込チェック!$K$6:$K$505,B141,取込チェック!$M$6:$M$505))</f>
        <v/>
      </c>
      <c r="R141" s="68" t="str">
        <f aca="false">IF(P141="","",G141-P141)</f>
        <v/>
      </c>
      <c r="S141" s="68" t="str">
        <f aca="false">IF(Q141="","",I141-Q141)</f>
        <v/>
      </c>
    </row>
    <row r="142" customFormat="false" ht="15" hidden="false" customHeight="false" outlineLevel="0" collapsed="false">
      <c r="A142" s="64" t="str">
        <f aca="false">IF(B142="","",ROW()-4)</f>
        <v/>
      </c>
      <c r="B142" s="65"/>
      <c r="C142" s="65"/>
      <c r="D142" s="65"/>
      <c r="E142" s="66"/>
      <c r="F142" s="67" t="str">
        <f aca="false">IF(B142="","",IF(COUNTIF(取込チェック!$C$6:$C$505,B142)&gt;0,1,0))</f>
        <v/>
      </c>
      <c r="G142" s="68" t="str">
        <f aca="false">IF(B142="","",SUMIF(取込チェック!$C$6:$C$505,B142,取込チェック!$D$6:$D$505))</f>
        <v/>
      </c>
      <c r="H142" s="68" t="str">
        <f aca="false">IF(B142="","",SUMIF(取込チェック!$C$6:$C$505,B142,取込チェック!$E$6:$E$505))</f>
        <v/>
      </c>
      <c r="I142" s="68" t="str">
        <f aca="false">IF(B142="","",SUMIF(取込チェック!$C$6:$C$505,B142,取込チェック!$F$6:$F$505))</f>
        <v/>
      </c>
      <c r="J142" s="69" t="str">
        <f aca="false">IF(F142&lt;&gt;1,"",IF(H142=0,"-",G142/H142))</f>
        <v/>
      </c>
      <c r="K142" s="67" t="str">
        <f aca="false">IF(F142&lt;&gt;1,"",COUNTIFS($E$5:$E$304,E142,$F$5:$F$304,1,$B$5:$B$304,"&lt;"&amp;B142)+1)</f>
        <v/>
      </c>
      <c r="L142" s="67" t="str">
        <f aca="false">IF(K142="","",E142&amp;"|"&amp;K142)</f>
        <v/>
      </c>
      <c r="M142" s="67" t="str">
        <f aca="false">IF(F142&lt;&gt;1,"",IF(COUNTIFS($C$5:C142,C142,$F$5:F142,1)=1,1,0))</f>
        <v/>
      </c>
      <c r="N142" s="67" t="str">
        <f aca="false">IF(M142&lt;&gt;1,"",_xlfn.MINIFS($B$5:$B$304,$C$5:$C$304,C142,$F$5:$F$304,1))</f>
        <v/>
      </c>
      <c r="O142" s="67" t="str">
        <f aca="false">IF(M142&lt;&gt;1,"",COUNTIFS($M$5:$M$304,1,$N$5:$N$304,"&lt;"&amp;N142)+1)</f>
        <v/>
      </c>
      <c r="P142" s="68" t="str">
        <f aca="false">IF(OR(B142="",取込チェック!$K$3=0),"",SUMIF(取込チェック!$K$6:$K$505,B142,取込チェック!$L$6:$L$505))</f>
        <v/>
      </c>
      <c r="Q142" s="68" t="str">
        <f aca="false">IF(OR(B142="",取込チェック!$K$3=0),"",SUMIF(取込チェック!$K$6:$K$505,B142,取込チェック!$M$6:$M$505))</f>
        <v/>
      </c>
      <c r="R142" s="68" t="str">
        <f aca="false">IF(P142="","",G142-P142)</f>
        <v/>
      </c>
      <c r="S142" s="68" t="str">
        <f aca="false">IF(Q142="","",I142-Q142)</f>
        <v/>
      </c>
    </row>
    <row r="143" customFormat="false" ht="15" hidden="false" customHeight="false" outlineLevel="0" collapsed="false">
      <c r="A143" s="64" t="str">
        <f aca="false">IF(B143="","",ROW()-4)</f>
        <v/>
      </c>
      <c r="B143" s="65"/>
      <c r="C143" s="65"/>
      <c r="D143" s="65"/>
      <c r="E143" s="66"/>
      <c r="F143" s="67" t="str">
        <f aca="false">IF(B143="","",IF(COUNTIF(取込チェック!$C$6:$C$505,B143)&gt;0,1,0))</f>
        <v/>
      </c>
      <c r="G143" s="68" t="str">
        <f aca="false">IF(B143="","",SUMIF(取込チェック!$C$6:$C$505,B143,取込チェック!$D$6:$D$505))</f>
        <v/>
      </c>
      <c r="H143" s="68" t="str">
        <f aca="false">IF(B143="","",SUMIF(取込チェック!$C$6:$C$505,B143,取込チェック!$E$6:$E$505))</f>
        <v/>
      </c>
      <c r="I143" s="68" t="str">
        <f aca="false">IF(B143="","",SUMIF(取込チェック!$C$6:$C$505,B143,取込チェック!$F$6:$F$505))</f>
        <v/>
      </c>
      <c r="J143" s="69" t="str">
        <f aca="false">IF(F143&lt;&gt;1,"",IF(H143=0,"-",G143/H143))</f>
        <v/>
      </c>
      <c r="K143" s="67" t="str">
        <f aca="false">IF(F143&lt;&gt;1,"",COUNTIFS($E$5:$E$304,E143,$F$5:$F$304,1,$B$5:$B$304,"&lt;"&amp;B143)+1)</f>
        <v/>
      </c>
      <c r="L143" s="67" t="str">
        <f aca="false">IF(K143="","",E143&amp;"|"&amp;K143)</f>
        <v/>
      </c>
      <c r="M143" s="67" t="str">
        <f aca="false">IF(F143&lt;&gt;1,"",IF(COUNTIFS($C$5:C143,C143,$F$5:F143,1)=1,1,0))</f>
        <v/>
      </c>
      <c r="N143" s="67" t="str">
        <f aca="false">IF(M143&lt;&gt;1,"",_xlfn.MINIFS($B$5:$B$304,$C$5:$C$304,C143,$F$5:$F$304,1))</f>
        <v/>
      </c>
      <c r="O143" s="67" t="str">
        <f aca="false">IF(M143&lt;&gt;1,"",COUNTIFS($M$5:$M$304,1,$N$5:$N$304,"&lt;"&amp;N143)+1)</f>
        <v/>
      </c>
      <c r="P143" s="68" t="str">
        <f aca="false">IF(OR(B143="",取込チェック!$K$3=0),"",SUMIF(取込チェック!$K$6:$K$505,B143,取込チェック!$L$6:$L$505))</f>
        <v/>
      </c>
      <c r="Q143" s="68" t="str">
        <f aca="false">IF(OR(B143="",取込チェック!$K$3=0),"",SUMIF(取込チェック!$K$6:$K$505,B143,取込チェック!$M$6:$M$505))</f>
        <v/>
      </c>
      <c r="R143" s="68" t="str">
        <f aca="false">IF(P143="","",G143-P143)</f>
        <v/>
      </c>
      <c r="S143" s="68" t="str">
        <f aca="false">IF(Q143="","",I143-Q143)</f>
        <v/>
      </c>
    </row>
    <row r="144" customFormat="false" ht="15" hidden="false" customHeight="false" outlineLevel="0" collapsed="false">
      <c r="A144" s="64" t="str">
        <f aca="false">IF(B144="","",ROW()-4)</f>
        <v/>
      </c>
      <c r="B144" s="65"/>
      <c r="C144" s="65"/>
      <c r="D144" s="65"/>
      <c r="E144" s="66"/>
      <c r="F144" s="67" t="str">
        <f aca="false">IF(B144="","",IF(COUNTIF(取込チェック!$C$6:$C$505,B144)&gt;0,1,0))</f>
        <v/>
      </c>
      <c r="G144" s="68" t="str">
        <f aca="false">IF(B144="","",SUMIF(取込チェック!$C$6:$C$505,B144,取込チェック!$D$6:$D$505))</f>
        <v/>
      </c>
      <c r="H144" s="68" t="str">
        <f aca="false">IF(B144="","",SUMIF(取込チェック!$C$6:$C$505,B144,取込チェック!$E$6:$E$505))</f>
        <v/>
      </c>
      <c r="I144" s="68" t="str">
        <f aca="false">IF(B144="","",SUMIF(取込チェック!$C$6:$C$505,B144,取込チェック!$F$6:$F$505))</f>
        <v/>
      </c>
      <c r="J144" s="69" t="str">
        <f aca="false">IF(F144&lt;&gt;1,"",IF(H144=0,"-",G144/H144))</f>
        <v/>
      </c>
      <c r="K144" s="67" t="str">
        <f aca="false">IF(F144&lt;&gt;1,"",COUNTIFS($E$5:$E$304,E144,$F$5:$F$304,1,$B$5:$B$304,"&lt;"&amp;B144)+1)</f>
        <v/>
      </c>
      <c r="L144" s="67" t="str">
        <f aca="false">IF(K144="","",E144&amp;"|"&amp;K144)</f>
        <v/>
      </c>
      <c r="M144" s="67" t="str">
        <f aca="false">IF(F144&lt;&gt;1,"",IF(COUNTIFS($C$5:C144,C144,$F$5:F144,1)=1,1,0))</f>
        <v/>
      </c>
      <c r="N144" s="67" t="str">
        <f aca="false">IF(M144&lt;&gt;1,"",_xlfn.MINIFS($B$5:$B$304,$C$5:$C$304,C144,$F$5:$F$304,1))</f>
        <v/>
      </c>
      <c r="O144" s="67" t="str">
        <f aca="false">IF(M144&lt;&gt;1,"",COUNTIFS($M$5:$M$304,1,$N$5:$N$304,"&lt;"&amp;N144)+1)</f>
        <v/>
      </c>
      <c r="P144" s="68" t="str">
        <f aca="false">IF(OR(B144="",取込チェック!$K$3=0),"",SUMIF(取込チェック!$K$6:$K$505,B144,取込チェック!$L$6:$L$505))</f>
        <v/>
      </c>
      <c r="Q144" s="68" t="str">
        <f aca="false">IF(OR(B144="",取込チェック!$K$3=0),"",SUMIF(取込チェック!$K$6:$K$505,B144,取込チェック!$M$6:$M$505))</f>
        <v/>
      </c>
      <c r="R144" s="68" t="str">
        <f aca="false">IF(P144="","",G144-P144)</f>
        <v/>
      </c>
      <c r="S144" s="68" t="str">
        <f aca="false">IF(Q144="","",I144-Q144)</f>
        <v/>
      </c>
    </row>
    <row r="145" customFormat="false" ht="15" hidden="false" customHeight="false" outlineLevel="0" collapsed="false">
      <c r="A145" s="64" t="str">
        <f aca="false">IF(B145="","",ROW()-4)</f>
        <v/>
      </c>
      <c r="B145" s="65"/>
      <c r="C145" s="65"/>
      <c r="D145" s="65"/>
      <c r="E145" s="66"/>
      <c r="F145" s="67" t="str">
        <f aca="false">IF(B145="","",IF(COUNTIF(取込チェック!$C$6:$C$505,B145)&gt;0,1,0))</f>
        <v/>
      </c>
      <c r="G145" s="68" t="str">
        <f aca="false">IF(B145="","",SUMIF(取込チェック!$C$6:$C$505,B145,取込チェック!$D$6:$D$505))</f>
        <v/>
      </c>
      <c r="H145" s="68" t="str">
        <f aca="false">IF(B145="","",SUMIF(取込チェック!$C$6:$C$505,B145,取込チェック!$E$6:$E$505))</f>
        <v/>
      </c>
      <c r="I145" s="68" t="str">
        <f aca="false">IF(B145="","",SUMIF(取込チェック!$C$6:$C$505,B145,取込チェック!$F$6:$F$505))</f>
        <v/>
      </c>
      <c r="J145" s="69" t="str">
        <f aca="false">IF(F145&lt;&gt;1,"",IF(H145=0,"-",G145/H145))</f>
        <v/>
      </c>
      <c r="K145" s="67" t="str">
        <f aca="false">IF(F145&lt;&gt;1,"",COUNTIFS($E$5:$E$304,E145,$F$5:$F$304,1,$B$5:$B$304,"&lt;"&amp;B145)+1)</f>
        <v/>
      </c>
      <c r="L145" s="67" t="str">
        <f aca="false">IF(K145="","",E145&amp;"|"&amp;K145)</f>
        <v/>
      </c>
      <c r="M145" s="67" t="str">
        <f aca="false">IF(F145&lt;&gt;1,"",IF(COUNTIFS($C$5:C145,C145,$F$5:F145,1)=1,1,0))</f>
        <v/>
      </c>
      <c r="N145" s="67" t="str">
        <f aca="false">IF(M145&lt;&gt;1,"",_xlfn.MINIFS($B$5:$B$304,$C$5:$C$304,C145,$F$5:$F$304,1))</f>
        <v/>
      </c>
      <c r="O145" s="67" t="str">
        <f aca="false">IF(M145&lt;&gt;1,"",COUNTIFS($M$5:$M$304,1,$N$5:$N$304,"&lt;"&amp;N145)+1)</f>
        <v/>
      </c>
      <c r="P145" s="68" t="str">
        <f aca="false">IF(OR(B145="",取込チェック!$K$3=0),"",SUMIF(取込チェック!$K$6:$K$505,B145,取込チェック!$L$6:$L$505))</f>
        <v/>
      </c>
      <c r="Q145" s="68" t="str">
        <f aca="false">IF(OR(B145="",取込チェック!$K$3=0),"",SUMIF(取込チェック!$K$6:$K$505,B145,取込チェック!$M$6:$M$505))</f>
        <v/>
      </c>
      <c r="R145" s="68" t="str">
        <f aca="false">IF(P145="","",G145-P145)</f>
        <v/>
      </c>
      <c r="S145" s="68" t="str">
        <f aca="false">IF(Q145="","",I145-Q145)</f>
        <v/>
      </c>
    </row>
    <row r="146" customFormat="false" ht="15" hidden="false" customHeight="false" outlineLevel="0" collapsed="false">
      <c r="A146" s="64" t="str">
        <f aca="false">IF(B146="","",ROW()-4)</f>
        <v/>
      </c>
      <c r="B146" s="65"/>
      <c r="C146" s="65"/>
      <c r="D146" s="65"/>
      <c r="E146" s="66"/>
      <c r="F146" s="67" t="str">
        <f aca="false">IF(B146="","",IF(COUNTIF(取込チェック!$C$6:$C$505,B146)&gt;0,1,0))</f>
        <v/>
      </c>
      <c r="G146" s="68" t="str">
        <f aca="false">IF(B146="","",SUMIF(取込チェック!$C$6:$C$505,B146,取込チェック!$D$6:$D$505))</f>
        <v/>
      </c>
      <c r="H146" s="68" t="str">
        <f aca="false">IF(B146="","",SUMIF(取込チェック!$C$6:$C$505,B146,取込チェック!$E$6:$E$505))</f>
        <v/>
      </c>
      <c r="I146" s="68" t="str">
        <f aca="false">IF(B146="","",SUMIF(取込チェック!$C$6:$C$505,B146,取込チェック!$F$6:$F$505))</f>
        <v/>
      </c>
      <c r="J146" s="69" t="str">
        <f aca="false">IF(F146&lt;&gt;1,"",IF(H146=0,"-",G146/H146))</f>
        <v/>
      </c>
      <c r="K146" s="67" t="str">
        <f aca="false">IF(F146&lt;&gt;1,"",COUNTIFS($E$5:$E$304,E146,$F$5:$F$304,1,$B$5:$B$304,"&lt;"&amp;B146)+1)</f>
        <v/>
      </c>
      <c r="L146" s="67" t="str">
        <f aca="false">IF(K146="","",E146&amp;"|"&amp;K146)</f>
        <v/>
      </c>
      <c r="M146" s="67" t="str">
        <f aca="false">IF(F146&lt;&gt;1,"",IF(COUNTIFS($C$5:C146,C146,$F$5:F146,1)=1,1,0))</f>
        <v/>
      </c>
      <c r="N146" s="67" t="str">
        <f aca="false">IF(M146&lt;&gt;1,"",_xlfn.MINIFS($B$5:$B$304,$C$5:$C$304,C146,$F$5:$F$304,1))</f>
        <v/>
      </c>
      <c r="O146" s="67" t="str">
        <f aca="false">IF(M146&lt;&gt;1,"",COUNTIFS($M$5:$M$304,1,$N$5:$N$304,"&lt;"&amp;N146)+1)</f>
        <v/>
      </c>
      <c r="P146" s="68" t="str">
        <f aca="false">IF(OR(B146="",取込チェック!$K$3=0),"",SUMIF(取込チェック!$K$6:$K$505,B146,取込チェック!$L$6:$L$505))</f>
        <v/>
      </c>
      <c r="Q146" s="68" t="str">
        <f aca="false">IF(OR(B146="",取込チェック!$K$3=0),"",SUMIF(取込チェック!$K$6:$K$505,B146,取込チェック!$M$6:$M$505))</f>
        <v/>
      </c>
      <c r="R146" s="68" t="str">
        <f aca="false">IF(P146="","",G146-P146)</f>
        <v/>
      </c>
      <c r="S146" s="68" t="str">
        <f aca="false">IF(Q146="","",I146-Q146)</f>
        <v/>
      </c>
    </row>
    <row r="147" customFormat="false" ht="15" hidden="false" customHeight="false" outlineLevel="0" collapsed="false">
      <c r="A147" s="64" t="str">
        <f aca="false">IF(B147="","",ROW()-4)</f>
        <v/>
      </c>
      <c r="B147" s="65"/>
      <c r="C147" s="65"/>
      <c r="D147" s="65"/>
      <c r="E147" s="66"/>
      <c r="F147" s="67" t="str">
        <f aca="false">IF(B147="","",IF(COUNTIF(取込チェック!$C$6:$C$505,B147)&gt;0,1,0))</f>
        <v/>
      </c>
      <c r="G147" s="68" t="str">
        <f aca="false">IF(B147="","",SUMIF(取込チェック!$C$6:$C$505,B147,取込チェック!$D$6:$D$505))</f>
        <v/>
      </c>
      <c r="H147" s="68" t="str">
        <f aca="false">IF(B147="","",SUMIF(取込チェック!$C$6:$C$505,B147,取込チェック!$E$6:$E$505))</f>
        <v/>
      </c>
      <c r="I147" s="68" t="str">
        <f aca="false">IF(B147="","",SUMIF(取込チェック!$C$6:$C$505,B147,取込チェック!$F$6:$F$505))</f>
        <v/>
      </c>
      <c r="J147" s="69" t="str">
        <f aca="false">IF(F147&lt;&gt;1,"",IF(H147=0,"-",G147/H147))</f>
        <v/>
      </c>
      <c r="K147" s="67" t="str">
        <f aca="false">IF(F147&lt;&gt;1,"",COUNTIFS($E$5:$E$304,E147,$F$5:$F$304,1,$B$5:$B$304,"&lt;"&amp;B147)+1)</f>
        <v/>
      </c>
      <c r="L147" s="67" t="str">
        <f aca="false">IF(K147="","",E147&amp;"|"&amp;K147)</f>
        <v/>
      </c>
      <c r="M147" s="67" t="str">
        <f aca="false">IF(F147&lt;&gt;1,"",IF(COUNTIFS($C$5:C147,C147,$F$5:F147,1)=1,1,0))</f>
        <v/>
      </c>
      <c r="N147" s="67" t="str">
        <f aca="false">IF(M147&lt;&gt;1,"",_xlfn.MINIFS($B$5:$B$304,$C$5:$C$304,C147,$F$5:$F$304,1))</f>
        <v/>
      </c>
      <c r="O147" s="67" t="str">
        <f aca="false">IF(M147&lt;&gt;1,"",COUNTIFS($M$5:$M$304,1,$N$5:$N$304,"&lt;"&amp;N147)+1)</f>
        <v/>
      </c>
      <c r="P147" s="68" t="str">
        <f aca="false">IF(OR(B147="",取込チェック!$K$3=0),"",SUMIF(取込チェック!$K$6:$K$505,B147,取込チェック!$L$6:$L$505))</f>
        <v/>
      </c>
      <c r="Q147" s="68" t="str">
        <f aca="false">IF(OR(B147="",取込チェック!$K$3=0),"",SUMIF(取込チェック!$K$6:$K$505,B147,取込チェック!$M$6:$M$505))</f>
        <v/>
      </c>
      <c r="R147" s="68" t="str">
        <f aca="false">IF(P147="","",G147-P147)</f>
        <v/>
      </c>
      <c r="S147" s="68" t="str">
        <f aca="false">IF(Q147="","",I147-Q147)</f>
        <v/>
      </c>
    </row>
    <row r="148" customFormat="false" ht="15" hidden="false" customHeight="false" outlineLevel="0" collapsed="false">
      <c r="A148" s="64" t="str">
        <f aca="false">IF(B148="","",ROW()-4)</f>
        <v/>
      </c>
      <c r="B148" s="65"/>
      <c r="C148" s="65"/>
      <c r="D148" s="65"/>
      <c r="E148" s="66"/>
      <c r="F148" s="67" t="str">
        <f aca="false">IF(B148="","",IF(COUNTIF(取込チェック!$C$6:$C$505,B148)&gt;0,1,0))</f>
        <v/>
      </c>
      <c r="G148" s="68" t="str">
        <f aca="false">IF(B148="","",SUMIF(取込チェック!$C$6:$C$505,B148,取込チェック!$D$6:$D$505))</f>
        <v/>
      </c>
      <c r="H148" s="68" t="str">
        <f aca="false">IF(B148="","",SUMIF(取込チェック!$C$6:$C$505,B148,取込チェック!$E$6:$E$505))</f>
        <v/>
      </c>
      <c r="I148" s="68" t="str">
        <f aca="false">IF(B148="","",SUMIF(取込チェック!$C$6:$C$505,B148,取込チェック!$F$6:$F$505))</f>
        <v/>
      </c>
      <c r="J148" s="69" t="str">
        <f aca="false">IF(F148&lt;&gt;1,"",IF(H148=0,"-",G148/H148))</f>
        <v/>
      </c>
      <c r="K148" s="67" t="str">
        <f aca="false">IF(F148&lt;&gt;1,"",COUNTIFS($E$5:$E$304,E148,$F$5:$F$304,1,$B$5:$B$304,"&lt;"&amp;B148)+1)</f>
        <v/>
      </c>
      <c r="L148" s="67" t="str">
        <f aca="false">IF(K148="","",E148&amp;"|"&amp;K148)</f>
        <v/>
      </c>
      <c r="M148" s="67" t="str">
        <f aca="false">IF(F148&lt;&gt;1,"",IF(COUNTIFS($C$5:C148,C148,$F$5:F148,1)=1,1,0))</f>
        <v/>
      </c>
      <c r="N148" s="67" t="str">
        <f aca="false">IF(M148&lt;&gt;1,"",_xlfn.MINIFS($B$5:$B$304,$C$5:$C$304,C148,$F$5:$F$304,1))</f>
        <v/>
      </c>
      <c r="O148" s="67" t="str">
        <f aca="false">IF(M148&lt;&gt;1,"",COUNTIFS($M$5:$M$304,1,$N$5:$N$304,"&lt;"&amp;N148)+1)</f>
        <v/>
      </c>
      <c r="P148" s="68" t="str">
        <f aca="false">IF(OR(B148="",取込チェック!$K$3=0),"",SUMIF(取込チェック!$K$6:$K$505,B148,取込チェック!$L$6:$L$505))</f>
        <v/>
      </c>
      <c r="Q148" s="68" t="str">
        <f aca="false">IF(OR(B148="",取込チェック!$K$3=0),"",SUMIF(取込チェック!$K$6:$K$505,B148,取込チェック!$M$6:$M$505))</f>
        <v/>
      </c>
      <c r="R148" s="68" t="str">
        <f aca="false">IF(P148="","",G148-P148)</f>
        <v/>
      </c>
      <c r="S148" s="68" t="str">
        <f aca="false">IF(Q148="","",I148-Q148)</f>
        <v/>
      </c>
    </row>
    <row r="149" customFormat="false" ht="15" hidden="false" customHeight="false" outlineLevel="0" collapsed="false">
      <c r="A149" s="64" t="str">
        <f aca="false">IF(B149="","",ROW()-4)</f>
        <v/>
      </c>
      <c r="B149" s="65"/>
      <c r="C149" s="65"/>
      <c r="D149" s="65"/>
      <c r="E149" s="66"/>
      <c r="F149" s="67" t="str">
        <f aca="false">IF(B149="","",IF(COUNTIF(取込チェック!$C$6:$C$505,B149)&gt;0,1,0))</f>
        <v/>
      </c>
      <c r="G149" s="68" t="str">
        <f aca="false">IF(B149="","",SUMIF(取込チェック!$C$6:$C$505,B149,取込チェック!$D$6:$D$505))</f>
        <v/>
      </c>
      <c r="H149" s="68" t="str">
        <f aca="false">IF(B149="","",SUMIF(取込チェック!$C$6:$C$505,B149,取込チェック!$E$6:$E$505))</f>
        <v/>
      </c>
      <c r="I149" s="68" t="str">
        <f aca="false">IF(B149="","",SUMIF(取込チェック!$C$6:$C$505,B149,取込チェック!$F$6:$F$505))</f>
        <v/>
      </c>
      <c r="J149" s="69" t="str">
        <f aca="false">IF(F149&lt;&gt;1,"",IF(H149=0,"-",G149/H149))</f>
        <v/>
      </c>
      <c r="K149" s="67" t="str">
        <f aca="false">IF(F149&lt;&gt;1,"",COUNTIFS($E$5:$E$304,E149,$F$5:$F$304,1,$B$5:$B$304,"&lt;"&amp;B149)+1)</f>
        <v/>
      </c>
      <c r="L149" s="67" t="str">
        <f aca="false">IF(K149="","",E149&amp;"|"&amp;K149)</f>
        <v/>
      </c>
      <c r="M149" s="67" t="str">
        <f aca="false">IF(F149&lt;&gt;1,"",IF(COUNTIFS($C$5:C149,C149,$F$5:F149,1)=1,1,0))</f>
        <v/>
      </c>
      <c r="N149" s="67" t="str">
        <f aca="false">IF(M149&lt;&gt;1,"",_xlfn.MINIFS($B$5:$B$304,$C$5:$C$304,C149,$F$5:$F$304,1))</f>
        <v/>
      </c>
      <c r="O149" s="67" t="str">
        <f aca="false">IF(M149&lt;&gt;1,"",COUNTIFS($M$5:$M$304,1,$N$5:$N$304,"&lt;"&amp;N149)+1)</f>
        <v/>
      </c>
      <c r="P149" s="68" t="str">
        <f aca="false">IF(OR(B149="",取込チェック!$K$3=0),"",SUMIF(取込チェック!$K$6:$K$505,B149,取込チェック!$L$6:$L$505))</f>
        <v/>
      </c>
      <c r="Q149" s="68" t="str">
        <f aca="false">IF(OR(B149="",取込チェック!$K$3=0),"",SUMIF(取込チェック!$K$6:$K$505,B149,取込チェック!$M$6:$M$505))</f>
        <v/>
      </c>
      <c r="R149" s="68" t="str">
        <f aca="false">IF(P149="","",G149-P149)</f>
        <v/>
      </c>
      <c r="S149" s="68" t="str">
        <f aca="false">IF(Q149="","",I149-Q149)</f>
        <v/>
      </c>
    </row>
    <row r="150" customFormat="false" ht="15" hidden="false" customHeight="false" outlineLevel="0" collapsed="false">
      <c r="A150" s="64" t="str">
        <f aca="false">IF(B150="","",ROW()-4)</f>
        <v/>
      </c>
      <c r="B150" s="65"/>
      <c r="C150" s="65"/>
      <c r="D150" s="65"/>
      <c r="E150" s="66"/>
      <c r="F150" s="67" t="str">
        <f aca="false">IF(B150="","",IF(COUNTIF(取込チェック!$C$6:$C$505,B150)&gt;0,1,0))</f>
        <v/>
      </c>
      <c r="G150" s="68" t="str">
        <f aca="false">IF(B150="","",SUMIF(取込チェック!$C$6:$C$505,B150,取込チェック!$D$6:$D$505))</f>
        <v/>
      </c>
      <c r="H150" s="68" t="str">
        <f aca="false">IF(B150="","",SUMIF(取込チェック!$C$6:$C$505,B150,取込チェック!$E$6:$E$505))</f>
        <v/>
      </c>
      <c r="I150" s="68" t="str">
        <f aca="false">IF(B150="","",SUMIF(取込チェック!$C$6:$C$505,B150,取込チェック!$F$6:$F$505))</f>
        <v/>
      </c>
      <c r="J150" s="69" t="str">
        <f aca="false">IF(F150&lt;&gt;1,"",IF(H150=0,"-",G150/H150))</f>
        <v/>
      </c>
      <c r="K150" s="67" t="str">
        <f aca="false">IF(F150&lt;&gt;1,"",COUNTIFS($E$5:$E$304,E150,$F$5:$F$304,1,$B$5:$B$304,"&lt;"&amp;B150)+1)</f>
        <v/>
      </c>
      <c r="L150" s="67" t="str">
        <f aca="false">IF(K150="","",E150&amp;"|"&amp;K150)</f>
        <v/>
      </c>
      <c r="M150" s="67" t="str">
        <f aca="false">IF(F150&lt;&gt;1,"",IF(COUNTIFS($C$5:C150,C150,$F$5:F150,1)=1,1,0))</f>
        <v/>
      </c>
      <c r="N150" s="67" t="str">
        <f aca="false">IF(M150&lt;&gt;1,"",_xlfn.MINIFS($B$5:$B$304,$C$5:$C$304,C150,$F$5:$F$304,1))</f>
        <v/>
      </c>
      <c r="O150" s="67" t="str">
        <f aca="false">IF(M150&lt;&gt;1,"",COUNTIFS($M$5:$M$304,1,$N$5:$N$304,"&lt;"&amp;N150)+1)</f>
        <v/>
      </c>
      <c r="P150" s="68" t="str">
        <f aca="false">IF(OR(B150="",取込チェック!$K$3=0),"",SUMIF(取込チェック!$K$6:$K$505,B150,取込チェック!$L$6:$L$505))</f>
        <v/>
      </c>
      <c r="Q150" s="68" t="str">
        <f aca="false">IF(OR(B150="",取込チェック!$K$3=0),"",SUMIF(取込チェック!$K$6:$K$505,B150,取込チェック!$M$6:$M$505))</f>
        <v/>
      </c>
      <c r="R150" s="68" t="str">
        <f aca="false">IF(P150="","",G150-P150)</f>
        <v/>
      </c>
      <c r="S150" s="68" t="str">
        <f aca="false">IF(Q150="","",I150-Q150)</f>
        <v/>
      </c>
    </row>
    <row r="151" customFormat="false" ht="15" hidden="false" customHeight="false" outlineLevel="0" collapsed="false">
      <c r="A151" s="64" t="str">
        <f aca="false">IF(B151="","",ROW()-4)</f>
        <v/>
      </c>
      <c r="B151" s="65"/>
      <c r="C151" s="65"/>
      <c r="D151" s="65"/>
      <c r="E151" s="66"/>
      <c r="F151" s="67" t="str">
        <f aca="false">IF(B151="","",IF(COUNTIF(取込チェック!$C$6:$C$505,B151)&gt;0,1,0))</f>
        <v/>
      </c>
      <c r="G151" s="68" t="str">
        <f aca="false">IF(B151="","",SUMIF(取込チェック!$C$6:$C$505,B151,取込チェック!$D$6:$D$505))</f>
        <v/>
      </c>
      <c r="H151" s="68" t="str">
        <f aca="false">IF(B151="","",SUMIF(取込チェック!$C$6:$C$505,B151,取込チェック!$E$6:$E$505))</f>
        <v/>
      </c>
      <c r="I151" s="68" t="str">
        <f aca="false">IF(B151="","",SUMIF(取込チェック!$C$6:$C$505,B151,取込チェック!$F$6:$F$505))</f>
        <v/>
      </c>
      <c r="J151" s="69" t="str">
        <f aca="false">IF(F151&lt;&gt;1,"",IF(H151=0,"-",G151/H151))</f>
        <v/>
      </c>
      <c r="K151" s="67" t="str">
        <f aca="false">IF(F151&lt;&gt;1,"",COUNTIFS($E$5:$E$304,E151,$F$5:$F$304,1,$B$5:$B$304,"&lt;"&amp;B151)+1)</f>
        <v/>
      </c>
      <c r="L151" s="67" t="str">
        <f aca="false">IF(K151="","",E151&amp;"|"&amp;K151)</f>
        <v/>
      </c>
      <c r="M151" s="67" t="str">
        <f aca="false">IF(F151&lt;&gt;1,"",IF(COUNTIFS($C$5:C151,C151,$F$5:F151,1)=1,1,0))</f>
        <v/>
      </c>
      <c r="N151" s="67" t="str">
        <f aca="false">IF(M151&lt;&gt;1,"",_xlfn.MINIFS($B$5:$B$304,$C$5:$C$304,C151,$F$5:$F$304,1))</f>
        <v/>
      </c>
      <c r="O151" s="67" t="str">
        <f aca="false">IF(M151&lt;&gt;1,"",COUNTIFS($M$5:$M$304,1,$N$5:$N$304,"&lt;"&amp;N151)+1)</f>
        <v/>
      </c>
      <c r="P151" s="68" t="str">
        <f aca="false">IF(OR(B151="",取込チェック!$K$3=0),"",SUMIF(取込チェック!$K$6:$K$505,B151,取込チェック!$L$6:$L$505))</f>
        <v/>
      </c>
      <c r="Q151" s="68" t="str">
        <f aca="false">IF(OR(B151="",取込チェック!$K$3=0),"",SUMIF(取込チェック!$K$6:$K$505,B151,取込チェック!$M$6:$M$505))</f>
        <v/>
      </c>
      <c r="R151" s="68" t="str">
        <f aca="false">IF(P151="","",G151-P151)</f>
        <v/>
      </c>
      <c r="S151" s="68" t="str">
        <f aca="false">IF(Q151="","",I151-Q151)</f>
        <v/>
      </c>
    </row>
    <row r="152" customFormat="false" ht="15" hidden="false" customHeight="false" outlineLevel="0" collapsed="false">
      <c r="A152" s="64" t="str">
        <f aca="false">IF(B152="","",ROW()-4)</f>
        <v/>
      </c>
      <c r="B152" s="65"/>
      <c r="C152" s="65"/>
      <c r="D152" s="65"/>
      <c r="E152" s="66"/>
      <c r="F152" s="67" t="str">
        <f aca="false">IF(B152="","",IF(COUNTIF(取込チェック!$C$6:$C$505,B152)&gt;0,1,0))</f>
        <v/>
      </c>
      <c r="G152" s="68" t="str">
        <f aca="false">IF(B152="","",SUMIF(取込チェック!$C$6:$C$505,B152,取込チェック!$D$6:$D$505))</f>
        <v/>
      </c>
      <c r="H152" s="68" t="str">
        <f aca="false">IF(B152="","",SUMIF(取込チェック!$C$6:$C$505,B152,取込チェック!$E$6:$E$505))</f>
        <v/>
      </c>
      <c r="I152" s="68" t="str">
        <f aca="false">IF(B152="","",SUMIF(取込チェック!$C$6:$C$505,B152,取込チェック!$F$6:$F$505))</f>
        <v/>
      </c>
      <c r="J152" s="69" t="str">
        <f aca="false">IF(F152&lt;&gt;1,"",IF(H152=0,"-",G152/H152))</f>
        <v/>
      </c>
      <c r="K152" s="67" t="str">
        <f aca="false">IF(F152&lt;&gt;1,"",COUNTIFS($E$5:$E$304,E152,$F$5:$F$304,1,$B$5:$B$304,"&lt;"&amp;B152)+1)</f>
        <v/>
      </c>
      <c r="L152" s="67" t="str">
        <f aca="false">IF(K152="","",E152&amp;"|"&amp;K152)</f>
        <v/>
      </c>
      <c r="M152" s="67" t="str">
        <f aca="false">IF(F152&lt;&gt;1,"",IF(COUNTIFS($C$5:C152,C152,$F$5:F152,1)=1,1,0))</f>
        <v/>
      </c>
      <c r="N152" s="67" t="str">
        <f aca="false">IF(M152&lt;&gt;1,"",_xlfn.MINIFS($B$5:$B$304,$C$5:$C$304,C152,$F$5:$F$304,1))</f>
        <v/>
      </c>
      <c r="O152" s="67" t="str">
        <f aca="false">IF(M152&lt;&gt;1,"",COUNTIFS($M$5:$M$304,1,$N$5:$N$304,"&lt;"&amp;N152)+1)</f>
        <v/>
      </c>
      <c r="P152" s="68" t="str">
        <f aca="false">IF(OR(B152="",取込チェック!$K$3=0),"",SUMIF(取込チェック!$K$6:$K$505,B152,取込チェック!$L$6:$L$505))</f>
        <v/>
      </c>
      <c r="Q152" s="68" t="str">
        <f aca="false">IF(OR(B152="",取込チェック!$K$3=0),"",SUMIF(取込チェック!$K$6:$K$505,B152,取込チェック!$M$6:$M$505))</f>
        <v/>
      </c>
      <c r="R152" s="68" t="str">
        <f aca="false">IF(P152="","",G152-P152)</f>
        <v/>
      </c>
      <c r="S152" s="68" t="str">
        <f aca="false">IF(Q152="","",I152-Q152)</f>
        <v/>
      </c>
    </row>
    <row r="153" customFormat="false" ht="15" hidden="false" customHeight="false" outlineLevel="0" collapsed="false">
      <c r="A153" s="64" t="str">
        <f aca="false">IF(B153="","",ROW()-4)</f>
        <v/>
      </c>
      <c r="B153" s="65"/>
      <c r="C153" s="65"/>
      <c r="D153" s="65"/>
      <c r="E153" s="66"/>
      <c r="F153" s="67" t="str">
        <f aca="false">IF(B153="","",IF(COUNTIF(取込チェック!$C$6:$C$505,B153)&gt;0,1,0))</f>
        <v/>
      </c>
      <c r="G153" s="68" t="str">
        <f aca="false">IF(B153="","",SUMIF(取込チェック!$C$6:$C$505,B153,取込チェック!$D$6:$D$505))</f>
        <v/>
      </c>
      <c r="H153" s="68" t="str">
        <f aca="false">IF(B153="","",SUMIF(取込チェック!$C$6:$C$505,B153,取込チェック!$E$6:$E$505))</f>
        <v/>
      </c>
      <c r="I153" s="68" t="str">
        <f aca="false">IF(B153="","",SUMIF(取込チェック!$C$6:$C$505,B153,取込チェック!$F$6:$F$505))</f>
        <v/>
      </c>
      <c r="J153" s="69" t="str">
        <f aca="false">IF(F153&lt;&gt;1,"",IF(H153=0,"-",G153/H153))</f>
        <v/>
      </c>
      <c r="K153" s="67" t="str">
        <f aca="false">IF(F153&lt;&gt;1,"",COUNTIFS($E$5:$E$304,E153,$F$5:$F$304,1,$B$5:$B$304,"&lt;"&amp;B153)+1)</f>
        <v/>
      </c>
      <c r="L153" s="67" t="str">
        <f aca="false">IF(K153="","",E153&amp;"|"&amp;K153)</f>
        <v/>
      </c>
      <c r="M153" s="67" t="str">
        <f aca="false">IF(F153&lt;&gt;1,"",IF(COUNTIFS($C$5:C153,C153,$F$5:F153,1)=1,1,0))</f>
        <v/>
      </c>
      <c r="N153" s="67" t="str">
        <f aca="false">IF(M153&lt;&gt;1,"",_xlfn.MINIFS($B$5:$B$304,$C$5:$C$304,C153,$F$5:$F$304,1))</f>
        <v/>
      </c>
      <c r="O153" s="67" t="str">
        <f aca="false">IF(M153&lt;&gt;1,"",COUNTIFS($M$5:$M$304,1,$N$5:$N$304,"&lt;"&amp;N153)+1)</f>
        <v/>
      </c>
      <c r="P153" s="68" t="str">
        <f aca="false">IF(OR(B153="",取込チェック!$K$3=0),"",SUMIF(取込チェック!$K$6:$K$505,B153,取込チェック!$L$6:$L$505))</f>
        <v/>
      </c>
      <c r="Q153" s="68" t="str">
        <f aca="false">IF(OR(B153="",取込チェック!$K$3=0),"",SUMIF(取込チェック!$K$6:$K$505,B153,取込チェック!$M$6:$M$505))</f>
        <v/>
      </c>
      <c r="R153" s="68" t="str">
        <f aca="false">IF(P153="","",G153-P153)</f>
        <v/>
      </c>
      <c r="S153" s="68" t="str">
        <f aca="false">IF(Q153="","",I153-Q153)</f>
        <v/>
      </c>
    </row>
    <row r="154" customFormat="false" ht="15" hidden="false" customHeight="false" outlineLevel="0" collapsed="false">
      <c r="A154" s="64" t="str">
        <f aca="false">IF(B154="","",ROW()-4)</f>
        <v/>
      </c>
      <c r="B154" s="65"/>
      <c r="C154" s="65"/>
      <c r="D154" s="65"/>
      <c r="E154" s="66"/>
      <c r="F154" s="67" t="str">
        <f aca="false">IF(B154="","",IF(COUNTIF(取込チェック!$C$6:$C$505,B154)&gt;0,1,0))</f>
        <v/>
      </c>
      <c r="G154" s="68" t="str">
        <f aca="false">IF(B154="","",SUMIF(取込チェック!$C$6:$C$505,B154,取込チェック!$D$6:$D$505))</f>
        <v/>
      </c>
      <c r="H154" s="68" t="str">
        <f aca="false">IF(B154="","",SUMIF(取込チェック!$C$6:$C$505,B154,取込チェック!$E$6:$E$505))</f>
        <v/>
      </c>
      <c r="I154" s="68" t="str">
        <f aca="false">IF(B154="","",SUMIF(取込チェック!$C$6:$C$505,B154,取込チェック!$F$6:$F$505))</f>
        <v/>
      </c>
      <c r="J154" s="69" t="str">
        <f aca="false">IF(F154&lt;&gt;1,"",IF(H154=0,"-",G154/H154))</f>
        <v/>
      </c>
      <c r="K154" s="67" t="str">
        <f aca="false">IF(F154&lt;&gt;1,"",COUNTIFS($E$5:$E$304,E154,$F$5:$F$304,1,$B$5:$B$304,"&lt;"&amp;B154)+1)</f>
        <v/>
      </c>
      <c r="L154" s="67" t="str">
        <f aca="false">IF(K154="","",E154&amp;"|"&amp;K154)</f>
        <v/>
      </c>
      <c r="M154" s="67" t="str">
        <f aca="false">IF(F154&lt;&gt;1,"",IF(COUNTIFS($C$5:C154,C154,$F$5:F154,1)=1,1,0))</f>
        <v/>
      </c>
      <c r="N154" s="67" t="str">
        <f aca="false">IF(M154&lt;&gt;1,"",_xlfn.MINIFS($B$5:$B$304,$C$5:$C$304,C154,$F$5:$F$304,1))</f>
        <v/>
      </c>
      <c r="O154" s="67" t="str">
        <f aca="false">IF(M154&lt;&gt;1,"",COUNTIFS($M$5:$M$304,1,$N$5:$N$304,"&lt;"&amp;N154)+1)</f>
        <v/>
      </c>
      <c r="P154" s="68" t="str">
        <f aca="false">IF(OR(B154="",取込チェック!$K$3=0),"",SUMIF(取込チェック!$K$6:$K$505,B154,取込チェック!$L$6:$L$505))</f>
        <v/>
      </c>
      <c r="Q154" s="68" t="str">
        <f aca="false">IF(OR(B154="",取込チェック!$K$3=0),"",SUMIF(取込チェック!$K$6:$K$505,B154,取込チェック!$M$6:$M$505))</f>
        <v/>
      </c>
      <c r="R154" s="68" t="str">
        <f aca="false">IF(P154="","",G154-P154)</f>
        <v/>
      </c>
      <c r="S154" s="68" t="str">
        <f aca="false">IF(Q154="","",I154-Q154)</f>
        <v/>
      </c>
    </row>
    <row r="155" customFormat="false" ht="15" hidden="false" customHeight="false" outlineLevel="0" collapsed="false">
      <c r="A155" s="64" t="str">
        <f aca="false">IF(B155="","",ROW()-4)</f>
        <v/>
      </c>
      <c r="B155" s="65"/>
      <c r="C155" s="65"/>
      <c r="D155" s="65"/>
      <c r="E155" s="66"/>
      <c r="F155" s="67" t="str">
        <f aca="false">IF(B155="","",IF(COUNTIF(取込チェック!$C$6:$C$505,B155)&gt;0,1,0))</f>
        <v/>
      </c>
      <c r="G155" s="68" t="str">
        <f aca="false">IF(B155="","",SUMIF(取込チェック!$C$6:$C$505,B155,取込チェック!$D$6:$D$505))</f>
        <v/>
      </c>
      <c r="H155" s="68" t="str">
        <f aca="false">IF(B155="","",SUMIF(取込チェック!$C$6:$C$505,B155,取込チェック!$E$6:$E$505))</f>
        <v/>
      </c>
      <c r="I155" s="68" t="str">
        <f aca="false">IF(B155="","",SUMIF(取込チェック!$C$6:$C$505,B155,取込チェック!$F$6:$F$505))</f>
        <v/>
      </c>
      <c r="J155" s="69" t="str">
        <f aca="false">IF(F155&lt;&gt;1,"",IF(H155=0,"-",G155/H155))</f>
        <v/>
      </c>
      <c r="K155" s="67" t="str">
        <f aca="false">IF(F155&lt;&gt;1,"",COUNTIFS($E$5:$E$304,E155,$F$5:$F$304,1,$B$5:$B$304,"&lt;"&amp;B155)+1)</f>
        <v/>
      </c>
      <c r="L155" s="67" t="str">
        <f aca="false">IF(K155="","",E155&amp;"|"&amp;K155)</f>
        <v/>
      </c>
      <c r="M155" s="67" t="str">
        <f aca="false">IF(F155&lt;&gt;1,"",IF(COUNTIFS($C$5:C155,C155,$F$5:F155,1)=1,1,0))</f>
        <v/>
      </c>
      <c r="N155" s="67" t="str">
        <f aca="false">IF(M155&lt;&gt;1,"",_xlfn.MINIFS($B$5:$B$304,$C$5:$C$304,C155,$F$5:$F$304,1))</f>
        <v/>
      </c>
      <c r="O155" s="67" t="str">
        <f aca="false">IF(M155&lt;&gt;1,"",COUNTIFS($M$5:$M$304,1,$N$5:$N$304,"&lt;"&amp;N155)+1)</f>
        <v/>
      </c>
      <c r="P155" s="68" t="str">
        <f aca="false">IF(OR(B155="",取込チェック!$K$3=0),"",SUMIF(取込チェック!$K$6:$K$505,B155,取込チェック!$L$6:$L$505))</f>
        <v/>
      </c>
      <c r="Q155" s="68" t="str">
        <f aca="false">IF(OR(B155="",取込チェック!$K$3=0),"",SUMIF(取込チェック!$K$6:$K$505,B155,取込チェック!$M$6:$M$505))</f>
        <v/>
      </c>
      <c r="R155" s="68" t="str">
        <f aca="false">IF(P155="","",G155-P155)</f>
        <v/>
      </c>
      <c r="S155" s="68" t="str">
        <f aca="false">IF(Q155="","",I155-Q155)</f>
        <v/>
      </c>
    </row>
    <row r="156" customFormat="false" ht="15" hidden="false" customHeight="false" outlineLevel="0" collapsed="false">
      <c r="A156" s="64" t="str">
        <f aca="false">IF(B156="","",ROW()-4)</f>
        <v/>
      </c>
      <c r="B156" s="65"/>
      <c r="C156" s="65"/>
      <c r="D156" s="65"/>
      <c r="E156" s="66"/>
      <c r="F156" s="67" t="str">
        <f aca="false">IF(B156="","",IF(COUNTIF(取込チェック!$C$6:$C$505,B156)&gt;0,1,0))</f>
        <v/>
      </c>
      <c r="G156" s="68" t="str">
        <f aca="false">IF(B156="","",SUMIF(取込チェック!$C$6:$C$505,B156,取込チェック!$D$6:$D$505))</f>
        <v/>
      </c>
      <c r="H156" s="68" t="str">
        <f aca="false">IF(B156="","",SUMIF(取込チェック!$C$6:$C$505,B156,取込チェック!$E$6:$E$505))</f>
        <v/>
      </c>
      <c r="I156" s="68" t="str">
        <f aca="false">IF(B156="","",SUMIF(取込チェック!$C$6:$C$505,B156,取込チェック!$F$6:$F$505))</f>
        <v/>
      </c>
      <c r="J156" s="69" t="str">
        <f aca="false">IF(F156&lt;&gt;1,"",IF(H156=0,"-",G156/H156))</f>
        <v/>
      </c>
      <c r="K156" s="67" t="str">
        <f aca="false">IF(F156&lt;&gt;1,"",COUNTIFS($E$5:$E$304,E156,$F$5:$F$304,1,$B$5:$B$304,"&lt;"&amp;B156)+1)</f>
        <v/>
      </c>
      <c r="L156" s="67" t="str">
        <f aca="false">IF(K156="","",E156&amp;"|"&amp;K156)</f>
        <v/>
      </c>
      <c r="M156" s="67" t="str">
        <f aca="false">IF(F156&lt;&gt;1,"",IF(COUNTIFS($C$5:C156,C156,$F$5:F156,1)=1,1,0))</f>
        <v/>
      </c>
      <c r="N156" s="67" t="str">
        <f aca="false">IF(M156&lt;&gt;1,"",_xlfn.MINIFS($B$5:$B$304,$C$5:$C$304,C156,$F$5:$F$304,1))</f>
        <v/>
      </c>
      <c r="O156" s="67" t="str">
        <f aca="false">IF(M156&lt;&gt;1,"",COUNTIFS($M$5:$M$304,1,$N$5:$N$304,"&lt;"&amp;N156)+1)</f>
        <v/>
      </c>
      <c r="P156" s="68" t="str">
        <f aca="false">IF(OR(B156="",取込チェック!$K$3=0),"",SUMIF(取込チェック!$K$6:$K$505,B156,取込チェック!$L$6:$L$505))</f>
        <v/>
      </c>
      <c r="Q156" s="68" t="str">
        <f aca="false">IF(OR(B156="",取込チェック!$K$3=0),"",SUMIF(取込チェック!$K$6:$K$505,B156,取込チェック!$M$6:$M$505))</f>
        <v/>
      </c>
      <c r="R156" s="68" t="str">
        <f aca="false">IF(P156="","",G156-P156)</f>
        <v/>
      </c>
      <c r="S156" s="68" t="str">
        <f aca="false">IF(Q156="","",I156-Q156)</f>
        <v/>
      </c>
    </row>
    <row r="157" customFormat="false" ht="15" hidden="false" customHeight="false" outlineLevel="0" collapsed="false">
      <c r="A157" s="64" t="str">
        <f aca="false">IF(B157="","",ROW()-4)</f>
        <v/>
      </c>
      <c r="B157" s="65"/>
      <c r="C157" s="65"/>
      <c r="D157" s="65"/>
      <c r="E157" s="66"/>
      <c r="F157" s="67" t="str">
        <f aca="false">IF(B157="","",IF(COUNTIF(取込チェック!$C$6:$C$505,B157)&gt;0,1,0))</f>
        <v/>
      </c>
      <c r="G157" s="68" t="str">
        <f aca="false">IF(B157="","",SUMIF(取込チェック!$C$6:$C$505,B157,取込チェック!$D$6:$D$505))</f>
        <v/>
      </c>
      <c r="H157" s="68" t="str">
        <f aca="false">IF(B157="","",SUMIF(取込チェック!$C$6:$C$505,B157,取込チェック!$E$6:$E$505))</f>
        <v/>
      </c>
      <c r="I157" s="68" t="str">
        <f aca="false">IF(B157="","",SUMIF(取込チェック!$C$6:$C$505,B157,取込チェック!$F$6:$F$505))</f>
        <v/>
      </c>
      <c r="J157" s="69" t="str">
        <f aca="false">IF(F157&lt;&gt;1,"",IF(H157=0,"-",G157/H157))</f>
        <v/>
      </c>
      <c r="K157" s="67" t="str">
        <f aca="false">IF(F157&lt;&gt;1,"",COUNTIFS($E$5:$E$304,E157,$F$5:$F$304,1,$B$5:$B$304,"&lt;"&amp;B157)+1)</f>
        <v/>
      </c>
      <c r="L157" s="67" t="str">
        <f aca="false">IF(K157="","",E157&amp;"|"&amp;K157)</f>
        <v/>
      </c>
      <c r="M157" s="67" t="str">
        <f aca="false">IF(F157&lt;&gt;1,"",IF(COUNTIFS($C$5:C157,C157,$F$5:F157,1)=1,1,0))</f>
        <v/>
      </c>
      <c r="N157" s="67" t="str">
        <f aca="false">IF(M157&lt;&gt;1,"",_xlfn.MINIFS($B$5:$B$304,$C$5:$C$304,C157,$F$5:$F$304,1))</f>
        <v/>
      </c>
      <c r="O157" s="67" t="str">
        <f aca="false">IF(M157&lt;&gt;1,"",COUNTIFS($M$5:$M$304,1,$N$5:$N$304,"&lt;"&amp;N157)+1)</f>
        <v/>
      </c>
      <c r="P157" s="68" t="str">
        <f aca="false">IF(OR(B157="",取込チェック!$K$3=0),"",SUMIF(取込チェック!$K$6:$K$505,B157,取込チェック!$L$6:$L$505))</f>
        <v/>
      </c>
      <c r="Q157" s="68" t="str">
        <f aca="false">IF(OR(B157="",取込チェック!$K$3=0),"",SUMIF(取込チェック!$K$6:$K$505,B157,取込チェック!$M$6:$M$505))</f>
        <v/>
      </c>
      <c r="R157" s="68" t="str">
        <f aca="false">IF(P157="","",G157-P157)</f>
        <v/>
      </c>
      <c r="S157" s="68" t="str">
        <f aca="false">IF(Q157="","",I157-Q157)</f>
        <v/>
      </c>
    </row>
    <row r="158" customFormat="false" ht="15" hidden="false" customHeight="false" outlineLevel="0" collapsed="false">
      <c r="A158" s="64" t="str">
        <f aca="false">IF(B158="","",ROW()-4)</f>
        <v/>
      </c>
      <c r="B158" s="65"/>
      <c r="C158" s="65"/>
      <c r="D158" s="65"/>
      <c r="E158" s="66"/>
      <c r="F158" s="67" t="str">
        <f aca="false">IF(B158="","",IF(COUNTIF(取込チェック!$C$6:$C$505,B158)&gt;0,1,0))</f>
        <v/>
      </c>
      <c r="G158" s="68" t="str">
        <f aca="false">IF(B158="","",SUMIF(取込チェック!$C$6:$C$505,B158,取込チェック!$D$6:$D$505))</f>
        <v/>
      </c>
      <c r="H158" s="68" t="str">
        <f aca="false">IF(B158="","",SUMIF(取込チェック!$C$6:$C$505,B158,取込チェック!$E$6:$E$505))</f>
        <v/>
      </c>
      <c r="I158" s="68" t="str">
        <f aca="false">IF(B158="","",SUMIF(取込チェック!$C$6:$C$505,B158,取込チェック!$F$6:$F$505))</f>
        <v/>
      </c>
      <c r="J158" s="69" t="str">
        <f aca="false">IF(F158&lt;&gt;1,"",IF(H158=0,"-",G158/H158))</f>
        <v/>
      </c>
      <c r="K158" s="67" t="str">
        <f aca="false">IF(F158&lt;&gt;1,"",COUNTIFS($E$5:$E$304,E158,$F$5:$F$304,1,$B$5:$B$304,"&lt;"&amp;B158)+1)</f>
        <v/>
      </c>
      <c r="L158" s="67" t="str">
        <f aca="false">IF(K158="","",E158&amp;"|"&amp;K158)</f>
        <v/>
      </c>
      <c r="M158" s="67" t="str">
        <f aca="false">IF(F158&lt;&gt;1,"",IF(COUNTIFS($C$5:C158,C158,$F$5:F158,1)=1,1,0))</f>
        <v/>
      </c>
      <c r="N158" s="67" t="str">
        <f aca="false">IF(M158&lt;&gt;1,"",_xlfn.MINIFS($B$5:$B$304,$C$5:$C$304,C158,$F$5:$F$304,1))</f>
        <v/>
      </c>
      <c r="O158" s="67" t="str">
        <f aca="false">IF(M158&lt;&gt;1,"",COUNTIFS($M$5:$M$304,1,$N$5:$N$304,"&lt;"&amp;N158)+1)</f>
        <v/>
      </c>
      <c r="P158" s="68" t="str">
        <f aca="false">IF(OR(B158="",取込チェック!$K$3=0),"",SUMIF(取込チェック!$K$6:$K$505,B158,取込チェック!$L$6:$L$505))</f>
        <v/>
      </c>
      <c r="Q158" s="68" t="str">
        <f aca="false">IF(OR(B158="",取込チェック!$K$3=0),"",SUMIF(取込チェック!$K$6:$K$505,B158,取込チェック!$M$6:$M$505))</f>
        <v/>
      </c>
      <c r="R158" s="68" t="str">
        <f aca="false">IF(P158="","",G158-P158)</f>
        <v/>
      </c>
      <c r="S158" s="68" t="str">
        <f aca="false">IF(Q158="","",I158-Q158)</f>
        <v/>
      </c>
    </row>
    <row r="159" customFormat="false" ht="15" hidden="false" customHeight="false" outlineLevel="0" collapsed="false">
      <c r="A159" s="64" t="str">
        <f aca="false">IF(B159="","",ROW()-4)</f>
        <v/>
      </c>
      <c r="B159" s="65"/>
      <c r="C159" s="65"/>
      <c r="D159" s="65"/>
      <c r="E159" s="66"/>
      <c r="F159" s="67" t="str">
        <f aca="false">IF(B159="","",IF(COUNTIF(取込チェック!$C$6:$C$505,B159)&gt;0,1,0))</f>
        <v/>
      </c>
      <c r="G159" s="68" t="str">
        <f aca="false">IF(B159="","",SUMIF(取込チェック!$C$6:$C$505,B159,取込チェック!$D$6:$D$505))</f>
        <v/>
      </c>
      <c r="H159" s="68" t="str">
        <f aca="false">IF(B159="","",SUMIF(取込チェック!$C$6:$C$505,B159,取込チェック!$E$6:$E$505))</f>
        <v/>
      </c>
      <c r="I159" s="68" t="str">
        <f aca="false">IF(B159="","",SUMIF(取込チェック!$C$6:$C$505,B159,取込チェック!$F$6:$F$505))</f>
        <v/>
      </c>
      <c r="J159" s="69" t="str">
        <f aca="false">IF(F159&lt;&gt;1,"",IF(H159=0,"-",G159/H159))</f>
        <v/>
      </c>
      <c r="K159" s="67" t="str">
        <f aca="false">IF(F159&lt;&gt;1,"",COUNTIFS($E$5:$E$304,E159,$F$5:$F$304,1,$B$5:$B$304,"&lt;"&amp;B159)+1)</f>
        <v/>
      </c>
      <c r="L159" s="67" t="str">
        <f aca="false">IF(K159="","",E159&amp;"|"&amp;K159)</f>
        <v/>
      </c>
      <c r="M159" s="67" t="str">
        <f aca="false">IF(F159&lt;&gt;1,"",IF(COUNTIFS($C$5:C159,C159,$F$5:F159,1)=1,1,0))</f>
        <v/>
      </c>
      <c r="N159" s="67" t="str">
        <f aca="false">IF(M159&lt;&gt;1,"",_xlfn.MINIFS($B$5:$B$304,$C$5:$C$304,C159,$F$5:$F$304,1))</f>
        <v/>
      </c>
      <c r="O159" s="67" t="str">
        <f aca="false">IF(M159&lt;&gt;1,"",COUNTIFS($M$5:$M$304,1,$N$5:$N$304,"&lt;"&amp;N159)+1)</f>
        <v/>
      </c>
      <c r="P159" s="68" t="str">
        <f aca="false">IF(OR(B159="",取込チェック!$K$3=0),"",SUMIF(取込チェック!$K$6:$K$505,B159,取込チェック!$L$6:$L$505))</f>
        <v/>
      </c>
      <c r="Q159" s="68" t="str">
        <f aca="false">IF(OR(B159="",取込チェック!$K$3=0),"",SUMIF(取込チェック!$K$6:$K$505,B159,取込チェック!$M$6:$M$505))</f>
        <v/>
      </c>
      <c r="R159" s="68" t="str">
        <f aca="false">IF(P159="","",G159-P159)</f>
        <v/>
      </c>
      <c r="S159" s="68" t="str">
        <f aca="false">IF(Q159="","",I159-Q159)</f>
        <v/>
      </c>
    </row>
    <row r="160" customFormat="false" ht="15" hidden="false" customHeight="false" outlineLevel="0" collapsed="false">
      <c r="A160" s="64" t="str">
        <f aca="false">IF(B160="","",ROW()-4)</f>
        <v/>
      </c>
      <c r="B160" s="65"/>
      <c r="C160" s="65"/>
      <c r="D160" s="65"/>
      <c r="E160" s="66"/>
      <c r="F160" s="67" t="str">
        <f aca="false">IF(B160="","",IF(COUNTIF(取込チェック!$C$6:$C$505,B160)&gt;0,1,0))</f>
        <v/>
      </c>
      <c r="G160" s="68" t="str">
        <f aca="false">IF(B160="","",SUMIF(取込チェック!$C$6:$C$505,B160,取込チェック!$D$6:$D$505))</f>
        <v/>
      </c>
      <c r="H160" s="68" t="str">
        <f aca="false">IF(B160="","",SUMIF(取込チェック!$C$6:$C$505,B160,取込チェック!$E$6:$E$505))</f>
        <v/>
      </c>
      <c r="I160" s="68" t="str">
        <f aca="false">IF(B160="","",SUMIF(取込チェック!$C$6:$C$505,B160,取込チェック!$F$6:$F$505))</f>
        <v/>
      </c>
      <c r="J160" s="69" t="str">
        <f aca="false">IF(F160&lt;&gt;1,"",IF(H160=0,"-",G160/H160))</f>
        <v/>
      </c>
      <c r="K160" s="67" t="str">
        <f aca="false">IF(F160&lt;&gt;1,"",COUNTIFS($E$5:$E$304,E160,$F$5:$F$304,1,$B$5:$B$304,"&lt;"&amp;B160)+1)</f>
        <v/>
      </c>
      <c r="L160" s="67" t="str">
        <f aca="false">IF(K160="","",E160&amp;"|"&amp;K160)</f>
        <v/>
      </c>
      <c r="M160" s="67" t="str">
        <f aca="false">IF(F160&lt;&gt;1,"",IF(COUNTIFS($C$5:C160,C160,$F$5:F160,1)=1,1,0))</f>
        <v/>
      </c>
      <c r="N160" s="67" t="str">
        <f aca="false">IF(M160&lt;&gt;1,"",_xlfn.MINIFS($B$5:$B$304,$C$5:$C$304,C160,$F$5:$F$304,1))</f>
        <v/>
      </c>
      <c r="O160" s="67" t="str">
        <f aca="false">IF(M160&lt;&gt;1,"",COUNTIFS($M$5:$M$304,1,$N$5:$N$304,"&lt;"&amp;N160)+1)</f>
        <v/>
      </c>
      <c r="P160" s="68" t="str">
        <f aca="false">IF(OR(B160="",取込チェック!$K$3=0),"",SUMIF(取込チェック!$K$6:$K$505,B160,取込チェック!$L$6:$L$505))</f>
        <v/>
      </c>
      <c r="Q160" s="68" t="str">
        <f aca="false">IF(OR(B160="",取込チェック!$K$3=0),"",SUMIF(取込チェック!$K$6:$K$505,B160,取込チェック!$M$6:$M$505))</f>
        <v/>
      </c>
      <c r="R160" s="68" t="str">
        <f aca="false">IF(P160="","",G160-P160)</f>
        <v/>
      </c>
      <c r="S160" s="68" t="str">
        <f aca="false">IF(Q160="","",I160-Q160)</f>
        <v/>
      </c>
    </row>
    <row r="161" customFormat="false" ht="15" hidden="false" customHeight="false" outlineLevel="0" collapsed="false">
      <c r="A161" s="64" t="str">
        <f aca="false">IF(B161="","",ROW()-4)</f>
        <v/>
      </c>
      <c r="B161" s="65"/>
      <c r="C161" s="65"/>
      <c r="D161" s="65"/>
      <c r="E161" s="66"/>
      <c r="F161" s="67" t="str">
        <f aca="false">IF(B161="","",IF(COUNTIF(取込チェック!$C$6:$C$505,B161)&gt;0,1,0))</f>
        <v/>
      </c>
      <c r="G161" s="68" t="str">
        <f aca="false">IF(B161="","",SUMIF(取込チェック!$C$6:$C$505,B161,取込チェック!$D$6:$D$505))</f>
        <v/>
      </c>
      <c r="H161" s="68" t="str">
        <f aca="false">IF(B161="","",SUMIF(取込チェック!$C$6:$C$505,B161,取込チェック!$E$6:$E$505))</f>
        <v/>
      </c>
      <c r="I161" s="68" t="str">
        <f aca="false">IF(B161="","",SUMIF(取込チェック!$C$6:$C$505,B161,取込チェック!$F$6:$F$505))</f>
        <v/>
      </c>
      <c r="J161" s="69" t="str">
        <f aca="false">IF(F161&lt;&gt;1,"",IF(H161=0,"-",G161/H161))</f>
        <v/>
      </c>
      <c r="K161" s="67" t="str">
        <f aca="false">IF(F161&lt;&gt;1,"",COUNTIFS($E$5:$E$304,E161,$F$5:$F$304,1,$B$5:$B$304,"&lt;"&amp;B161)+1)</f>
        <v/>
      </c>
      <c r="L161" s="67" t="str">
        <f aca="false">IF(K161="","",E161&amp;"|"&amp;K161)</f>
        <v/>
      </c>
      <c r="M161" s="67" t="str">
        <f aca="false">IF(F161&lt;&gt;1,"",IF(COUNTIFS($C$5:C161,C161,$F$5:F161,1)=1,1,0))</f>
        <v/>
      </c>
      <c r="N161" s="67" t="str">
        <f aca="false">IF(M161&lt;&gt;1,"",_xlfn.MINIFS($B$5:$B$304,$C$5:$C$304,C161,$F$5:$F$304,1))</f>
        <v/>
      </c>
      <c r="O161" s="67" t="str">
        <f aca="false">IF(M161&lt;&gt;1,"",COUNTIFS($M$5:$M$304,1,$N$5:$N$304,"&lt;"&amp;N161)+1)</f>
        <v/>
      </c>
      <c r="P161" s="68" t="str">
        <f aca="false">IF(OR(B161="",取込チェック!$K$3=0),"",SUMIF(取込チェック!$K$6:$K$505,B161,取込チェック!$L$6:$L$505))</f>
        <v/>
      </c>
      <c r="Q161" s="68" t="str">
        <f aca="false">IF(OR(B161="",取込チェック!$K$3=0),"",SUMIF(取込チェック!$K$6:$K$505,B161,取込チェック!$M$6:$M$505))</f>
        <v/>
      </c>
      <c r="R161" s="68" t="str">
        <f aca="false">IF(P161="","",G161-P161)</f>
        <v/>
      </c>
      <c r="S161" s="68" t="str">
        <f aca="false">IF(Q161="","",I161-Q161)</f>
        <v/>
      </c>
    </row>
    <row r="162" customFormat="false" ht="15" hidden="false" customHeight="false" outlineLevel="0" collapsed="false">
      <c r="A162" s="64" t="str">
        <f aca="false">IF(B162="","",ROW()-4)</f>
        <v/>
      </c>
      <c r="B162" s="65"/>
      <c r="C162" s="65"/>
      <c r="D162" s="65"/>
      <c r="E162" s="66"/>
      <c r="F162" s="67" t="str">
        <f aca="false">IF(B162="","",IF(COUNTIF(取込チェック!$C$6:$C$505,B162)&gt;0,1,0))</f>
        <v/>
      </c>
      <c r="G162" s="68" t="str">
        <f aca="false">IF(B162="","",SUMIF(取込チェック!$C$6:$C$505,B162,取込チェック!$D$6:$D$505))</f>
        <v/>
      </c>
      <c r="H162" s="68" t="str">
        <f aca="false">IF(B162="","",SUMIF(取込チェック!$C$6:$C$505,B162,取込チェック!$E$6:$E$505))</f>
        <v/>
      </c>
      <c r="I162" s="68" t="str">
        <f aca="false">IF(B162="","",SUMIF(取込チェック!$C$6:$C$505,B162,取込チェック!$F$6:$F$505))</f>
        <v/>
      </c>
      <c r="J162" s="69" t="str">
        <f aca="false">IF(F162&lt;&gt;1,"",IF(H162=0,"-",G162/H162))</f>
        <v/>
      </c>
      <c r="K162" s="67" t="str">
        <f aca="false">IF(F162&lt;&gt;1,"",COUNTIFS($E$5:$E$304,E162,$F$5:$F$304,1,$B$5:$B$304,"&lt;"&amp;B162)+1)</f>
        <v/>
      </c>
      <c r="L162" s="67" t="str">
        <f aca="false">IF(K162="","",E162&amp;"|"&amp;K162)</f>
        <v/>
      </c>
      <c r="M162" s="67" t="str">
        <f aca="false">IF(F162&lt;&gt;1,"",IF(COUNTIFS($C$5:C162,C162,$F$5:F162,1)=1,1,0))</f>
        <v/>
      </c>
      <c r="N162" s="67" t="str">
        <f aca="false">IF(M162&lt;&gt;1,"",_xlfn.MINIFS($B$5:$B$304,$C$5:$C$304,C162,$F$5:$F$304,1))</f>
        <v/>
      </c>
      <c r="O162" s="67" t="str">
        <f aca="false">IF(M162&lt;&gt;1,"",COUNTIFS($M$5:$M$304,1,$N$5:$N$304,"&lt;"&amp;N162)+1)</f>
        <v/>
      </c>
      <c r="P162" s="68" t="str">
        <f aca="false">IF(OR(B162="",取込チェック!$K$3=0),"",SUMIF(取込チェック!$K$6:$K$505,B162,取込チェック!$L$6:$L$505))</f>
        <v/>
      </c>
      <c r="Q162" s="68" t="str">
        <f aca="false">IF(OR(B162="",取込チェック!$K$3=0),"",SUMIF(取込チェック!$K$6:$K$505,B162,取込チェック!$M$6:$M$505))</f>
        <v/>
      </c>
      <c r="R162" s="68" t="str">
        <f aca="false">IF(P162="","",G162-P162)</f>
        <v/>
      </c>
      <c r="S162" s="68" t="str">
        <f aca="false">IF(Q162="","",I162-Q162)</f>
        <v/>
      </c>
    </row>
    <row r="163" customFormat="false" ht="15" hidden="false" customHeight="false" outlineLevel="0" collapsed="false">
      <c r="A163" s="64" t="str">
        <f aca="false">IF(B163="","",ROW()-4)</f>
        <v/>
      </c>
      <c r="B163" s="65"/>
      <c r="C163" s="65"/>
      <c r="D163" s="65"/>
      <c r="E163" s="66"/>
      <c r="F163" s="67" t="str">
        <f aca="false">IF(B163="","",IF(COUNTIF(取込チェック!$C$6:$C$505,B163)&gt;0,1,0))</f>
        <v/>
      </c>
      <c r="G163" s="68" t="str">
        <f aca="false">IF(B163="","",SUMIF(取込チェック!$C$6:$C$505,B163,取込チェック!$D$6:$D$505))</f>
        <v/>
      </c>
      <c r="H163" s="68" t="str">
        <f aca="false">IF(B163="","",SUMIF(取込チェック!$C$6:$C$505,B163,取込チェック!$E$6:$E$505))</f>
        <v/>
      </c>
      <c r="I163" s="68" t="str">
        <f aca="false">IF(B163="","",SUMIF(取込チェック!$C$6:$C$505,B163,取込チェック!$F$6:$F$505))</f>
        <v/>
      </c>
      <c r="J163" s="69" t="str">
        <f aca="false">IF(F163&lt;&gt;1,"",IF(H163=0,"-",G163/H163))</f>
        <v/>
      </c>
      <c r="K163" s="67" t="str">
        <f aca="false">IF(F163&lt;&gt;1,"",COUNTIFS($E$5:$E$304,E163,$F$5:$F$304,1,$B$5:$B$304,"&lt;"&amp;B163)+1)</f>
        <v/>
      </c>
      <c r="L163" s="67" t="str">
        <f aca="false">IF(K163="","",E163&amp;"|"&amp;K163)</f>
        <v/>
      </c>
      <c r="M163" s="67" t="str">
        <f aca="false">IF(F163&lt;&gt;1,"",IF(COUNTIFS($C$5:C163,C163,$F$5:F163,1)=1,1,0))</f>
        <v/>
      </c>
      <c r="N163" s="67" t="str">
        <f aca="false">IF(M163&lt;&gt;1,"",_xlfn.MINIFS($B$5:$B$304,$C$5:$C$304,C163,$F$5:$F$304,1))</f>
        <v/>
      </c>
      <c r="O163" s="67" t="str">
        <f aca="false">IF(M163&lt;&gt;1,"",COUNTIFS($M$5:$M$304,1,$N$5:$N$304,"&lt;"&amp;N163)+1)</f>
        <v/>
      </c>
      <c r="P163" s="68" t="str">
        <f aca="false">IF(OR(B163="",取込チェック!$K$3=0),"",SUMIF(取込チェック!$K$6:$K$505,B163,取込チェック!$L$6:$L$505))</f>
        <v/>
      </c>
      <c r="Q163" s="68" t="str">
        <f aca="false">IF(OR(B163="",取込チェック!$K$3=0),"",SUMIF(取込チェック!$K$6:$K$505,B163,取込チェック!$M$6:$M$505))</f>
        <v/>
      </c>
      <c r="R163" s="68" t="str">
        <f aca="false">IF(P163="","",G163-P163)</f>
        <v/>
      </c>
      <c r="S163" s="68" t="str">
        <f aca="false">IF(Q163="","",I163-Q163)</f>
        <v/>
      </c>
    </row>
    <row r="164" customFormat="false" ht="15" hidden="false" customHeight="false" outlineLevel="0" collapsed="false">
      <c r="A164" s="64" t="str">
        <f aca="false">IF(B164="","",ROW()-4)</f>
        <v/>
      </c>
      <c r="B164" s="65"/>
      <c r="C164" s="65"/>
      <c r="D164" s="65"/>
      <c r="E164" s="66"/>
      <c r="F164" s="67" t="str">
        <f aca="false">IF(B164="","",IF(COUNTIF(取込チェック!$C$6:$C$505,B164)&gt;0,1,0))</f>
        <v/>
      </c>
      <c r="G164" s="68" t="str">
        <f aca="false">IF(B164="","",SUMIF(取込チェック!$C$6:$C$505,B164,取込チェック!$D$6:$D$505))</f>
        <v/>
      </c>
      <c r="H164" s="68" t="str">
        <f aca="false">IF(B164="","",SUMIF(取込チェック!$C$6:$C$505,B164,取込チェック!$E$6:$E$505))</f>
        <v/>
      </c>
      <c r="I164" s="68" t="str">
        <f aca="false">IF(B164="","",SUMIF(取込チェック!$C$6:$C$505,B164,取込チェック!$F$6:$F$505))</f>
        <v/>
      </c>
      <c r="J164" s="69" t="str">
        <f aca="false">IF(F164&lt;&gt;1,"",IF(H164=0,"-",G164/H164))</f>
        <v/>
      </c>
      <c r="K164" s="67" t="str">
        <f aca="false">IF(F164&lt;&gt;1,"",COUNTIFS($E$5:$E$304,E164,$F$5:$F$304,1,$B$5:$B$304,"&lt;"&amp;B164)+1)</f>
        <v/>
      </c>
      <c r="L164" s="67" t="str">
        <f aca="false">IF(K164="","",E164&amp;"|"&amp;K164)</f>
        <v/>
      </c>
      <c r="M164" s="67" t="str">
        <f aca="false">IF(F164&lt;&gt;1,"",IF(COUNTIFS($C$5:C164,C164,$F$5:F164,1)=1,1,0))</f>
        <v/>
      </c>
      <c r="N164" s="67" t="str">
        <f aca="false">IF(M164&lt;&gt;1,"",_xlfn.MINIFS($B$5:$B$304,$C$5:$C$304,C164,$F$5:$F$304,1))</f>
        <v/>
      </c>
      <c r="O164" s="67" t="str">
        <f aca="false">IF(M164&lt;&gt;1,"",COUNTIFS($M$5:$M$304,1,$N$5:$N$304,"&lt;"&amp;N164)+1)</f>
        <v/>
      </c>
      <c r="P164" s="68" t="str">
        <f aca="false">IF(OR(B164="",取込チェック!$K$3=0),"",SUMIF(取込チェック!$K$6:$K$505,B164,取込チェック!$L$6:$L$505))</f>
        <v/>
      </c>
      <c r="Q164" s="68" t="str">
        <f aca="false">IF(OR(B164="",取込チェック!$K$3=0),"",SUMIF(取込チェック!$K$6:$K$505,B164,取込チェック!$M$6:$M$505))</f>
        <v/>
      </c>
      <c r="R164" s="68" t="str">
        <f aca="false">IF(P164="","",G164-P164)</f>
        <v/>
      </c>
      <c r="S164" s="68" t="str">
        <f aca="false">IF(Q164="","",I164-Q164)</f>
        <v/>
      </c>
    </row>
    <row r="165" customFormat="false" ht="15" hidden="false" customHeight="false" outlineLevel="0" collapsed="false">
      <c r="A165" s="64" t="str">
        <f aca="false">IF(B165="","",ROW()-4)</f>
        <v/>
      </c>
      <c r="B165" s="65"/>
      <c r="C165" s="65"/>
      <c r="D165" s="65"/>
      <c r="E165" s="66"/>
      <c r="F165" s="67" t="str">
        <f aca="false">IF(B165="","",IF(COUNTIF(取込チェック!$C$6:$C$505,B165)&gt;0,1,0))</f>
        <v/>
      </c>
      <c r="G165" s="68" t="str">
        <f aca="false">IF(B165="","",SUMIF(取込チェック!$C$6:$C$505,B165,取込チェック!$D$6:$D$505))</f>
        <v/>
      </c>
      <c r="H165" s="68" t="str">
        <f aca="false">IF(B165="","",SUMIF(取込チェック!$C$6:$C$505,B165,取込チェック!$E$6:$E$505))</f>
        <v/>
      </c>
      <c r="I165" s="68" t="str">
        <f aca="false">IF(B165="","",SUMIF(取込チェック!$C$6:$C$505,B165,取込チェック!$F$6:$F$505))</f>
        <v/>
      </c>
      <c r="J165" s="69" t="str">
        <f aca="false">IF(F165&lt;&gt;1,"",IF(H165=0,"-",G165/H165))</f>
        <v/>
      </c>
      <c r="K165" s="67" t="str">
        <f aca="false">IF(F165&lt;&gt;1,"",COUNTIFS($E$5:$E$304,E165,$F$5:$F$304,1,$B$5:$B$304,"&lt;"&amp;B165)+1)</f>
        <v/>
      </c>
      <c r="L165" s="67" t="str">
        <f aca="false">IF(K165="","",E165&amp;"|"&amp;K165)</f>
        <v/>
      </c>
      <c r="M165" s="67" t="str">
        <f aca="false">IF(F165&lt;&gt;1,"",IF(COUNTIFS($C$5:C165,C165,$F$5:F165,1)=1,1,0))</f>
        <v/>
      </c>
      <c r="N165" s="67" t="str">
        <f aca="false">IF(M165&lt;&gt;1,"",_xlfn.MINIFS($B$5:$B$304,$C$5:$C$304,C165,$F$5:$F$304,1))</f>
        <v/>
      </c>
      <c r="O165" s="67" t="str">
        <f aca="false">IF(M165&lt;&gt;1,"",COUNTIFS($M$5:$M$304,1,$N$5:$N$304,"&lt;"&amp;N165)+1)</f>
        <v/>
      </c>
      <c r="P165" s="68" t="str">
        <f aca="false">IF(OR(B165="",取込チェック!$K$3=0),"",SUMIF(取込チェック!$K$6:$K$505,B165,取込チェック!$L$6:$L$505))</f>
        <v/>
      </c>
      <c r="Q165" s="68" t="str">
        <f aca="false">IF(OR(B165="",取込チェック!$K$3=0),"",SUMIF(取込チェック!$K$6:$K$505,B165,取込チェック!$M$6:$M$505))</f>
        <v/>
      </c>
      <c r="R165" s="68" t="str">
        <f aca="false">IF(P165="","",G165-P165)</f>
        <v/>
      </c>
      <c r="S165" s="68" t="str">
        <f aca="false">IF(Q165="","",I165-Q165)</f>
        <v/>
      </c>
    </row>
    <row r="166" customFormat="false" ht="15" hidden="false" customHeight="false" outlineLevel="0" collapsed="false">
      <c r="A166" s="64" t="str">
        <f aca="false">IF(B166="","",ROW()-4)</f>
        <v/>
      </c>
      <c r="B166" s="65"/>
      <c r="C166" s="65"/>
      <c r="D166" s="65"/>
      <c r="E166" s="66"/>
      <c r="F166" s="67" t="str">
        <f aca="false">IF(B166="","",IF(COUNTIF(取込チェック!$C$6:$C$505,B166)&gt;0,1,0))</f>
        <v/>
      </c>
      <c r="G166" s="68" t="str">
        <f aca="false">IF(B166="","",SUMIF(取込チェック!$C$6:$C$505,B166,取込チェック!$D$6:$D$505))</f>
        <v/>
      </c>
      <c r="H166" s="68" t="str">
        <f aca="false">IF(B166="","",SUMIF(取込チェック!$C$6:$C$505,B166,取込チェック!$E$6:$E$505))</f>
        <v/>
      </c>
      <c r="I166" s="68" t="str">
        <f aca="false">IF(B166="","",SUMIF(取込チェック!$C$6:$C$505,B166,取込チェック!$F$6:$F$505))</f>
        <v/>
      </c>
      <c r="J166" s="69" t="str">
        <f aca="false">IF(F166&lt;&gt;1,"",IF(H166=0,"-",G166/H166))</f>
        <v/>
      </c>
      <c r="K166" s="67" t="str">
        <f aca="false">IF(F166&lt;&gt;1,"",COUNTIFS($E$5:$E$304,E166,$F$5:$F$304,1,$B$5:$B$304,"&lt;"&amp;B166)+1)</f>
        <v/>
      </c>
      <c r="L166" s="67" t="str">
        <f aca="false">IF(K166="","",E166&amp;"|"&amp;K166)</f>
        <v/>
      </c>
      <c r="M166" s="67" t="str">
        <f aca="false">IF(F166&lt;&gt;1,"",IF(COUNTIFS($C$5:C166,C166,$F$5:F166,1)=1,1,0))</f>
        <v/>
      </c>
      <c r="N166" s="67" t="str">
        <f aca="false">IF(M166&lt;&gt;1,"",_xlfn.MINIFS($B$5:$B$304,$C$5:$C$304,C166,$F$5:$F$304,1))</f>
        <v/>
      </c>
      <c r="O166" s="67" t="str">
        <f aca="false">IF(M166&lt;&gt;1,"",COUNTIFS($M$5:$M$304,1,$N$5:$N$304,"&lt;"&amp;N166)+1)</f>
        <v/>
      </c>
      <c r="P166" s="68" t="str">
        <f aca="false">IF(OR(B166="",取込チェック!$K$3=0),"",SUMIF(取込チェック!$K$6:$K$505,B166,取込チェック!$L$6:$L$505))</f>
        <v/>
      </c>
      <c r="Q166" s="68" t="str">
        <f aca="false">IF(OR(B166="",取込チェック!$K$3=0),"",SUMIF(取込チェック!$K$6:$K$505,B166,取込チェック!$M$6:$M$505))</f>
        <v/>
      </c>
      <c r="R166" s="68" t="str">
        <f aca="false">IF(P166="","",G166-P166)</f>
        <v/>
      </c>
      <c r="S166" s="68" t="str">
        <f aca="false">IF(Q166="","",I166-Q166)</f>
        <v/>
      </c>
    </row>
    <row r="167" customFormat="false" ht="15" hidden="false" customHeight="false" outlineLevel="0" collapsed="false">
      <c r="A167" s="64" t="str">
        <f aca="false">IF(B167="","",ROW()-4)</f>
        <v/>
      </c>
      <c r="B167" s="65"/>
      <c r="C167" s="65"/>
      <c r="D167" s="65"/>
      <c r="E167" s="66"/>
      <c r="F167" s="67" t="str">
        <f aca="false">IF(B167="","",IF(COUNTIF(取込チェック!$C$6:$C$505,B167)&gt;0,1,0))</f>
        <v/>
      </c>
      <c r="G167" s="68" t="str">
        <f aca="false">IF(B167="","",SUMIF(取込チェック!$C$6:$C$505,B167,取込チェック!$D$6:$D$505))</f>
        <v/>
      </c>
      <c r="H167" s="68" t="str">
        <f aca="false">IF(B167="","",SUMIF(取込チェック!$C$6:$C$505,B167,取込チェック!$E$6:$E$505))</f>
        <v/>
      </c>
      <c r="I167" s="68" t="str">
        <f aca="false">IF(B167="","",SUMIF(取込チェック!$C$6:$C$505,B167,取込チェック!$F$6:$F$505))</f>
        <v/>
      </c>
      <c r="J167" s="69" t="str">
        <f aca="false">IF(F167&lt;&gt;1,"",IF(H167=0,"-",G167/H167))</f>
        <v/>
      </c>
      <c r="K167" s="67" t="str">
        <f aca="false">IF(F167&lt;&gt;1,"",COUNTIFS($E$5:$E$304,E167,$F$5:$F$304,1,$B$5:$B$304,"&lt;"&amp;B167)+1)</f>
        <v/>
      </c>
      <c r="L167" s="67" t="str">
        <f aca="false">IF(K167="","",E167&amp;"|"&amp;K167)</f>
        <v/>
      </c>
      <c r="M167" s="67" t="str">
        <f aca="false">IF(F167&lt;&gt;1,"",IF(COUNTIFS($C$5:C167,C167,$F$5:F167,1)=1,1,0))</f>
        <v/>
      </c>
      <c r="N167" s="67" t="str">
        <f aca="false">IF(M167&lt;&gt;1,"",_xlfn.MINIFS($B$5:$B$304,$C$5:$C$304,C167,$F$5:$F$304,1))</f>
        <v/>
      </c>
      <c r="O167" s="67" t="str">
        <f aca="false">IF(M167&lt;&gt;1,"",COUNTIFS($M$5:$M$304,1,$N$5:$N$304,"&lt;"&amp;N167)+1)</f>
        <v/>
      </c>
      <c r="P167" s="68" t="str">
        <f aca="false">IF(OR(B167="",取込チェック!$K$3=0),"",SUMIF(取込チェック!$K$6:$K$505,B167,取込チェック!$L$6:$L$505))</f>
        <v/>
      </c>
      <c r="Q167" s="68" t="str">
        <f aca="false">IF(OR(B167="",取込チェック!$K$3=0),"",SUMIF(取込チェック!$K$6:$K$505,B167,取込チェック!$M$6:$M$505))</f>
        <v/>
      </c>
      <c r="R167" s="68" t="str">
        <f aca="false">IF(P167="","",G167-P167)</f>
        <v/>
      </c>
      <c r="S167" s="68" t="str">
        <f aca="false">IF(Q167="","",I167-Q167)</f>
        <v/>
      </c>
    </row>
    <row r="168" customFormat="false" ht="15" hidden="false" customHeight="false" outlineLevel="0" collapsed="false">
      <c r="A168" s="64" t="str">
        <f aca="false">IF(B168="","",ROW()-4)</f>
        <v/>
      </c>
      <c r="B168" s="65"/>
      <c r="C168" s="65"/>
      <c r="D168" s="65"/>
      <c r="E168" s="66"/>
      <c r="F168" s="67" t="str">
        <f aca="false">IF(B168="","",IF(COUNTIF(取込チェック!$C$6:$C$505,B168)&gt;0,1,0))</f>
        <v/>
      </c>
      <c r="G168" s="68" t="str">
        <f aca="false">IF(B168="","",SUMIF(取込チェック!$C$6:$C$505,B168,取込チェック!$D$6:$D$505))</f>
        <v/>
      </c>
      <c r="H168" s="68" t="str">
        <f aca="false">IF(B168="","",SUMIF(取込チェック!$C$6:$C$505,B168,取込チェック!$E$6:$E$505))</f>
        <v/>
      </c>
      <c r="I168" s="68" t="str">
        <f aca="false">IF(B168="","",SUMIF(取込チェック!$C$6:$C$505,B168,取込チェック!$F$6:$F$505))</f>
        <v/>
      </c>
      <c r="J168" s="69" t="str">
        <f aca="false">IF(F168&lt;&gt;1,"",IF(H168=0,"-",G168/H168))</f>
        <v/>
      </c>
      <c r="K168" s="67" t="str">
        <f aca="false">IF(F168&lt;&gt;1,"",COUNTIFS($E$5:$E$304,E168,$F$5:$F$304,1,$B$5:$B$304,"&lt;"&amp;B168)+1)</f>
        <v/>
      </c>
      <c r="L168" s="67" t="str">
        <f aca="false">IF(K168="","",E168&amp;"|"&amp;K168)</f>
        <v/>
      </c>
      <c r="M168" s="67" t="str">
        <f aca="false">IF(F168&lt;&gt;1,"",IF(COUNTIFS($C$5:C168,C168,$F$5:F168,1)=1,1,0))</f>
        <v/>
      </c>
      <c r="N168" s="67" t="str">
        <f aca="false">IF(M168&lt;&gt;1,"",_xlfn.MINIFS($B$5:$B$304,$C$5:$C$304,C168,$F$5:$F$304,1))</f>
        <v/>
      </c>
      <c r="O168" s="67" t="str">
        <f aca="false">IF(M168&lt;&gt;1,"",COUNTIFS($M$5:$M$304,1,$N$5:$N$304,"&lt;"&amp;N168)+1)</f>
        <v/>
      </c>
      <c r="P168" s="68" t="str">
        <f aca="false">IF(OR(B168="",取込チェック!$K$3=0),"",SUMIF(取込チェック!$K$6:$K$505,B168,取込チェック!$L$6:$L$505))</f>
        <v/>
      </c>
      <c r="Q168" s="68" t="str">
        <f aca="false">IF(OR(B168="",取込チェック!$K$3=0),"",SUMIF(取込チェック!$K$6:$K$505,B168,取込チェック!$M$6:$M$505))</f>
        <v/>
      </c>
      <c r="R168" s="68" t="str">
        <f aca="false">IF(P168="","",G168-P168)</f>
        <v/>
      </c>
      <c r="S168" s="68" t="str">
        <f aca="false">IF(Q168="","",I168-Q168)</f>
        <v/>
      </c>
    </row>
    <row r="169" customFormat="false" ht="15" hidden="false" customHeight="false" outlineLevel="0" collapsed="false">
      <c r="A169" s="64" t="str">
        <f aca="false">IF(B169="","",ROW()-4)</f>
        <v/>
      </c>
      <c r="B169" s="65"/>
      <c r="C169" s="65"/>
      <c r="D169" s="65"/>
      <c r="E169" s="66"/>
      <c r="F169" s="67" t="str">
        <f aca="false">IF(B169="","",IF(COUNTIF(取込チェック!$C$6:$C$505,B169)&gt;0,1,0))</f>
        <v/>
      </c>
      <c r="G169" s="68" t="str">
        <f aca="false">IF(B169="","",SUMIF(取込チェック!$C$6:$C$505,B169,取込チェック!$D$6:$D$505))</f>
        <v/>
      </c>
      <c r="H169" s="68" t="str">
        <f aca="false">IF(B169="","",SUMIF(取込チェック!$C$6:$C$505,B169,取込チェック!$E$6:$E$505))</f>
        <v/>
      </c>
      <c r="I169" s="68" t="str">
        <f aca="false">IF(B169="","",SUMIF(取込チェック!$C$6:$C$505,B169,取込チェック!$F$6:$F$505))</f>
        <v/>
      </c>
      <c r="J169" s="69" t="str">
        <f aca="false">IF(F169&lt;&gt;1,"",IF(H169=0,"-",G169/H169))</f>
        <v/>
      </c>
      <c r="K169" s="67" t="str">
        <f aca="false">IF(F169&lt;&gt;1,"",COUNTIFS($E$5:$E$304,E169,$F$5:$F$304,1,$B$5:$B$304,"&lt;"&amp;B169)+1)</f>
        <v/>
      </c>
      <c r="L169" s="67" t="str">
        <f aca="false">IF(K169="","",E169&amp;"|"&amp;K169)</f>
        <v/>
      </c>
      <c r="M169" s="67" t="str">
        <f aca="false">IF(F169&lt;&gt;1,"",IF(COUNTIFS($C$5:C169,C169,$F$5:F169,1)=1,1,0))</f>
        <v/>
      </c>
      <c r="N169" s="67" t="str">
        <f aca="false">IF(M169&lt;&gt;1,"",_xlfn.MINIFS($B$5:$B$304,$C$5:$C$304,C169,$F$5:$F$304,1))</f>
        <v/>
      </c>
      <c r="O169" s="67" t="str">
        <f aca="false">IF(M169&lt;&gt;1,"",COUNTIFS($M$5:$M$304,1,$N$5:$N$304,"&lt;"&amp;N169)+1)</f>
        <v/>
      </c>
      <c r="P169" s="68" t="str">
        <f aca="false">IF(OR(B169="",取込チェック!$K$3=0),"",SUMIF(取込チェック!$K$6:$K$505,B169,取込チェック!$L$6:$L$505))</f>
        <v/>
      </c>
      <c r="Q169" s="68" t="str">
        <f aca="false">IF(OR(B169="",取込チェック!$K$3=0),"",SUMIF(取込チェック!$K$6:$K$505,B169,取込チェック!$M$6:$M$505))</f>
        <v/>
      </c>
      <c r="R169" s="68" t="str">
        <f aca="false">IF(P169="","",G169-P169)</f>
        <v/>
      </c>
      <c r="S169" s="68" t="str">
        <f aca="false">IF(Q169="","",I169-Q169)</f>
        <v/>
      </c>
    </row>
    <row r="170" customFormat="false" ht="15" hidden="false" customHeight="false" outlineLevel="0" collapsed="false">
      <c r="A170" s="64" t="str">
        <f aca="false">IF(B170="","",ROW()-4)</f>
        <v/>
      </c>
      <c r="B170" s="65"/>
      <c r="C170" s="65"/>
      <c r="D170" s="65"/>
      <c r="E170" s="66"/>
      <c r="F170" s="67" t="str">
        <f aca="false">IF(B170="","",IF(COUNTIF(取込チェック!$C$6:$C$505,B170)&gt;0,1,0))</f>
        <v/>
      </c>
      <c r="G170" s="68" t="str">
        <f aca="false">IF(B170="","",SUMIF(取込チェック!$C$6:$C$505,B170,取込チェック!$D$6:$D$505))</f>
        <v/>
      </c>
      <c r="H170" s="68" t="str">
        <f aca="false">IF(B170="","",SUMIF(取込チェック!$C$6:$C$505,B170,取込チェック!$E$6:$E$505))</f>
        <v/>
      </c>
      <c r="I170" s="68" t="str">
        <f aca="false">IF(B170="","",SUMIF(取込チェック!$C$6:$C$505,B170,取込チェック!$F$6:$F$505))</f>
        <v/>
      </c>
      <c r="J170" s="69" t="str">
        <f aca="false">IF(F170&lt;&gt;1,"",IF(H170=0,"-",G170/H170))</f>
        <v/>
      </c>
      <c r="K170" s="67" t="str">
        <f aca="false">IF(F170&lt;&gt;1,"",COUNTIFS($E$5:$E$304,E170,$F$5:$F$304,1,$B$5:$B$304,"&lt;"&amp;B170)+1)</f>
        <v/>
      </c>
      <c r="L170" s="67" t="str">
        <f aca="false">IF(K170="","",E170&amp;"|"&amp;K170)</f>
        <v/>
      </c>
      <c r="M170" s="67" t="str">
        <f aca="false">IF(F170&lt;&gt;1,"",IF(COUNTIFS($C$5:C170,C170,$F$5:F170,1)=1,1,0))</f>
        <v/>
      </c>
      <c r="N170" s="67" t="str">
        <f aca="false">IF(M170&lt;&gt;1,"",_xlfn.MINIFS($B$5:$B$304,$C$5:$C$304,C170,$F$5:$F$304,1))</f>
        <v/>
      </c>
      <c r="O170" s="67" t="str">
        <f aca="false">IF(M170&lt;&gt;1,"",COUNTIFS($M$5:$M$304,1,$N$5:$N$304,"&lt;"&amp;N170)+1)</f>
        <v/>
      </c>
      <c r="P170" s="68" t="str">
        <f aca="false">IF(OR(B170="",取込チェック!$K$3=0),"",SUMIF(取込チェック!$K$6:$K$505,B170,取込チェック!$L$6:$L$505))</f>
        <v/>
      </c>
      <c r="Q170" s="68" t="str">
        <f aca="false">IF(OR(B170="",取込チェック!$K$3=0),"",SUMIF(取込チェック!$K$6:$K$505,B170,取込チェック!$M$6:$M$505))</f>
        <v/>
      </c>
      <c r="R170" s="68" t="str">
        <f aca="false">IF(P170="","",G170-P170)</f>
        <v/>
      </c>
      <c r="S170" s="68" t="str">
        <f aca="false">IF(Q170="","",I170-Q170)</f>
        <v/>
      </c>
    </row>
    <row r="171" customFormat="false" ht="15" hidden="false" customHeight="false" outlineLevel="0" collapsed="false">
      <c r="A171" s="64" t="str">
        <f aca="false">IF(B171="","",ROW()-4)</f>
        <v/>
      </c>
      <c r="B171" s="65"/>
      <c r="C171" s="65"/>
      <c r="D171" s="65"/>
      <c r="E171" s="66"/>
      <c r="F171" s="67" t="str">
        <f aca="false">IF(B171="","",IF(COUNTIF(取込チェック!$C$6:$C$505,B171)&gt;0,1,0))</f>
        <v/>
      </c>
      <c r="G171" s="68" t="str">
        <f aca="false">IF(B171="","",SUMIF(取込チェック!$C$6:$C$505,B171,取込チェック!$D$6:$D$505))</f>
        <v/>
      </c>
      <c r="H171" s="68" t="str">
        <f aca="false">IF(B171="","",SUMIF(取込チェック!$C$6:$C$505,B171,取込チェック!$E$6:$E$505))</f>
        <v/>
      </c>
      <c r="I171" s="68" t="str">
        <f aca="false">IF(B171="","",SUMIF(取込チェック!$C$6:$C$505,B171,取込チェック!$F$6:$F$505))</f>
        <v/>
      </c>
      <c r="J171" s="69" t="str">
        <f aca="false">IF(F171&lt;&gt;1,"",IF(H171=0,"-",G171/H171))</f>
        <v/>
      </c>
      <c r="K171" s="67" t="str">
        <f aca="false">IF(F171&lt;&gt;1,"",COUNTIFS($E$5:$E$304,E171,$F$5:$F$304,1,$B$5:$B$304,"&lt;"&amp;B171)+1)</f>
        <v/>
      </c>
      <c r="L171" s="67" t="str">
        <f aca="false">IF(K171="","",E171&amp;"|"&amp;K171)</f>
        <v/>
      </c>
      <c r="M171" s="67" t="str">
        <f aca="false">IF(F171&lt;&gt;1,"",IF(COUNTIFS($C$5:C171,C171,$F$5:F171,1)=1,1,0))</f>
        <v/>
      </c>
      <c r="N171" s="67" t="str">
        <f aca="false">IF(M171&lt;&gt;1,"",_xlfn.MINIFS($B$5:$B$304,$C$5:$C$304,C171,$F$5:$F$304,1))</f>
        <v/>
      </c>
      <c r="O171" s="67" t="str">
        <f aca="false">IF(M171&lt;&gt;1,"",COUNTIFS($M$5:$M$304,1,$N$5:$N$304,"&lt;"&amp;N171)+1)</f>
        <v/>
      </c>
      <c r="P171" s="68" t="str">
        <f aca="false">IF(OR(B171="",取込チェック!$K$3=0),"",SUMIF(取込チェック!$K$6:$K$505,B171,取込チェック!$L$6:$L$505))</f>
        <v/>
      </c>
      <c r="Q171" s="68" t="str">
        <f aca="false">IF(OR(B171="",取込チェック!$K$3=0),"",SUMIF(取込チェック!$K$6:$K$505,B171,取込チェック!$M$6:$M$505))</f>
        <v/>
      </c>
      <c r="R171" s="68" t="str">
        <f aca="false">IF(P171="","",G171-P171)</f>
        <v/>
      </c>
      <c r="S171" s="68" t="str">
        <f aca="false">IF(Q171="","",I171-Q171)</f>
        <v/>
      </c>
    </row>
    <row r="172" customFormat="false" ht="15" hidden="false" customHeight="false" outlineLevel="0" collapsed="false">
      <c r="A172" s="64" t="str">
        <f aca="false">IF(B172="","",ROW()-4)</f>
        <v/>
      </c>
      <c r="B172" s="65"/>
      <c r="C172" s="65"/>
      <c r="D172" s="65"/>
      <c r="E172" s="66"/>
      <c r="F172" s="67" t="str">
        <f aca="false">IF(B172="","",IF(COUNTIF(取込チェック!$C$6:$C$505,B172)&gt;0,1,0))</f>
        <v/>
      </c>
      <c r="G172" s="68" t="str">
        <f aca="false">IF(B172="","",SUMIF(取込チェック!$C$6:$C$505,B172,取込チェック!$D$6:$D$505))</f>
        <v/>
      </c>
      <c r="H172" s="68" t="str">
        <f aca="false">IF(B172="","",SUMIF(取込チェック!$C$6:$C$505,B172,取込チェック!$E$6:$E$505))</f>
        <v/>
      </c>
      <c r="I172" s="68" t="str">
        <f aca="false">IF(B172="","",SUMIF(取込チェック!$C$6:$C$505,B172,取込チェック!$F$6:$F$505))</f>
        <v/>
      </c>
      <c r="J172" s="69" t="str">
        <f aca="false">IF(F172&lt;&gt;1,"",IF(H172=0,"-",G172/H172))</f>
        <v/>
      </c>
      <c r="K172" s="67" t="str">
        <f aca="false">IF(F172&lt;&gt;1,"",COUNTIFS($E$5:$E$304,E172,$F$5:$F$304,1,$B$5:$B$304,"&lt;"&amp;B172)+1)</f>
        <v/>
      </c>
      <c r="L172" s="67" t="str">
        <f aca="false">IF(K172="","",E172&amp;"|"&amp;K172)</f>
        <v/>
      </c>
      <c r="M172" s="67" t="str">
        <f aca="false">IF(F172&lt;&gt;1,"",IF(COUNTIFS($C$5:C172,C172,$F$5:F172,1)=1,1,0))</f>
        <v/>
      </c>
      <c r="N172" s="67" t="str">
        <f aca="false">IF(M172&lt;&gt;1,"",_xlfn.MINIFS($B$5:$B$304,$C$5:$C$304,C172,$F$5:$F$304,1))</f>
        <v/>
      </c>
      <c r="O172" s="67" t="str">
        <f aca="false">IF(M172&lt;&gt;1,"",COUNTIFS($M$5:$M$304,1,$N$5:$N$304,"&lt;"&amp;N172)+1)</f>
        <v/>
      </c>
      <c r="P172" s="68" t="str">
        <f aca="false">IF(OR(B172="",取込チェック!$K$3=0),"",SUMIF(取込チェック!$K$6:$K$505,B172,取込チェック!$L$6:$L$505))</f>
        <v/>
      </c>
      <c r="Q172" s="68" t="str">
        <f aca="false">IF(OR(B172="",取込チェック!$K$3=0),"",SUMIF(取込チェック!$K$6:$K$505,B172,取込チェック!$M$6:$M$505))</f>
        <v/>
      </c>
      <c r="R172" s="68" t="str">
        <f aca="false">IF(P172="","",G172-P172)</f>
        <v/>
      </c>
      <c r="S172" s="68" t="str">
        <f aca="false">IF(Q172="","",I172-Q172)</f>
        <v/>
      </c>
    </row>
    <row r="173" customFormat="false" ht="15" hidden="false" customHeight="false" outlineLevel="0" collapsed="false">
      <c r="A173" s="64" t="str">
        <f aca="false">IF(B173="","",ROW()-4)</f>
        <v/>
      </c>
      <c r="B173" s="65"/>
      <c r="C173" s="65"/>
      <c r="D173" s="65"/>
      <c r="E173" s="66"/>
      <c r="F173" s="67" t="str">
        <f aca="false">IF(B173="","",IF(COUNTIF(取込チェック!$C$6:$C$505,B173)&gt;0,1,0))</f>
        <v/>
      </c>
      <c r="G173" s="68" t="str">
        <f aca="false">IF(B173="","",SUMIF(取込チェック!$C$6:$C$505,B173,取込チェック!$D$6:$D$505))</f>
        <v/>
      </c>
      <c r="H173" s="68" t="str">
        <f aca="false">IF(B173="","",SUMIF(取込チェック!$C$6:$C$505,B173,取込チェック!$E$6:$E$505))</f>
        <v/>
      </c>
      <c r="I173" s="68" t="str">
        <f aca="false">IF(B173="","",SUMIF(取込チェック!$C$6:$C$505,B173,取込チェック!$F$6:$F$505))</f>
        <v/>
      </c>
      <c r="J173" s="69" t="str">
        <f aca="false">IF(F173&lt;&gt;1,"",IF(H173=0,"-",G173/H173))</f>
        <v/>
      </c>
      <c r="K173" s="67" t="str">
        <f aca="false">IF(F173&lt;&gt;1,"",COUNTIFS($E$5:$E$304,E173,$F$5:$F$304,1,$B$5:$B$304,"&lt;"&amp;B173)+1)</f>
        <v/>
      </c>
      <c r="L173" s="67" t="str">
        <f aca="false">IF(K173="","",E173&amp;"|"&amp;K173)</f>
        <v/>
      </c>
      <c r="M173" s="67" t="str">
        <f aca="false">IF(F173&lt;&gt;1,"",IF(COUNTIFS($C$5:C173,C173,$F$5:F173,1)=1,1,0))</f>
        <v/>
      </c>
      <c r="N173" s="67" t="str">
        <f aca="false">IF(M173&lt;&gt;1,"",_xlfn.MINIFS($B$5:$B$304,$C$5:$C$304,C173,$F$5:$F$304,1))</f>
        <v/>
      </c>
      <c r="O173" s="67" t="str">
        <f aca="false">IF(M173&lt;&gt;1,"",COUNTIFS($M$5:$M$304,1,$N$5:$N$304,"&lt;"&amp;N173)+1)</f>
        <v/>
      </c>
      <c r="P173" s="68" t="str">
        <f aca="false">IF(OR(B173="",取込チェック!$K$3=0),"",SUMIF(取込チェック!$K$6:$K$505,B173,取込チェック!$L$6:$L$505))</f>
        <v/>
      </c>
      <c r="Q173" s="68" t="str">
        <f aca="false">IF(OR(B173="",取込チェック!$K$3=0),"",SUMIF(取込チェック!$K$6:$K$505,B173,取込チェック!$M$6:$M$505))</f>
        <v/>
      </c>
      <c r="R173" s="68" t="str">
        <f aca="false">IF(P173="","",G173-P173)</f>
        <v/>
      </c>
      <c r="S173" s="68" t="str">
        <f aca="false">IF(Q173="","",I173-Q173)</f>
        <v/>
      </c>
    </row>
    <row r="174" customFormat="false" ht="15" hidden="false" customHeight="false" outlineLevel="0" collapsed="false">
      <c r="A174" s="64" t="str">
        <f aca="false">IF(B174="","",ROW()-4)</f>
        <v/>
      </c>
      <c r="B174" s="65"/>
      <c r="C174" s="65"/>
      <c r="D174" s="65"/>
      <c r="E174" s="66"/>
      <c r="F174" s="67" t="str">
        <f aca="false">IF(B174="","",IF(COUNTIF(取込チェック!$C$6:$C$505,B174)&gt;0,1,0))</f>
        <v/>
      </c>
      <c r="G174" s="68" t="str">
        <f aca="false">IF(B174="","",SUMIF(取込チェック!$C$6:$C$505,B174,取込チェック!$D$6:$D$505))</f>
        <v/>
      </c>
      <c r="H174" s="68" t="str">
        <f aca="false">IF(B174="","",SUMIF(取込チェック!$C$6:$C$505,B174,取込チェック!$E$6:$E$505))</f>
        <v/>
      </c>
      <c r="I174" s="68" t="str">
        <f aca="false">IF(B174="","",SUMIF(取込チェック!$C$6:$C$505,B174,取込チェック!$F$6:$F$505))</f>
        <v/>
      </c>
      <c r="J174" s="69" t="str">
        <f aca="false">IF(F174&lt;&gt;1,"",IF(H174=0,"-",G174/H174))</f>
        <v/>
      </c>
      <c r="K174" s="67" t="str">
        <f aca="false">IF(F174&lt;&gt;1,"",COUNTIFS($E$5:$E$304,E174,$F$5:$F$304,1,$B$5:$B$304,"&lt;"&amp;B174)+1)</f>
        <v/>
      </c>
      <c r="L174" s="67" t="str">
        <f aca="false">IF(K174="","",E174&amp;"|"&amp;K174)</f>
        <v/>
      </c>
      <c r="M174" s="67" t="str">
        <f aca="false">IF(F174&lt;&gt;1,"",IF(COUNTIFS($C$5:C174,C174,$F$5:F174,1)=1,1,0))</f>
        <v/>
      </c>
      <c r="N174" s="67" t="str">
        <f aca="false">IF(M174&lt;&gt;1,"",_xlfn.MINIFS($B$5:$B$304,$C$5:$C$304,C174,$F$5:$F$304,1))</f>
        <v/>
      </c>
      <c r="O174" s="67" t="str">
        <f aca="false">IF(M174&lt;&gt;1,"",COUNTIFS($M$5:$M$304,1,$N$5:$N$304,"&lt;"&amp;N174)+1)</f>
        <v/>
      </c>
      <c r="P174" s="68" t="str">
        <f aca="false">IF(OR(B174="",取込チェック!$K$3=0),"",SUMIF(取込チェック!$K$6:$K$505,B174,取込チェック!$L$6:$L$505))</f>
        <v/>
      </c>
      <c r="Q174" s="68" t="str">
        <f aca="false">IF(OR(B174="",取込チェック!$K$3=0),"",SUMIF(取込チェック!$K$6:$K$505,B174,取込チェック!$M$6:$M$505))</f>
        <v/>
      </c>
      <c r="R174" s="68" t="str">
        <f aca="false">IF(P174="","",G174-P174)</f>
        <v/>
      </c>
      <c r="S174" s="68" t="str">
        <f aca="false">IF(Q174="","",I174-Q174)</f>
        <v/>
      </c>
    </row>
    <row r="175" customFormat="false" ht="15" hidden="false" customHeight="false" outlineLevel="0" collapsed="false">
      <c r="A175" s="64" t="str">
        <f aca="false">IF(B175="","",ROW()-4)</f>
        <v/>
      </c>
      <c r="B175" s="65"/>
      <c r="C175" s="65"/>
      <c r="D175" s="65"/>
      <c r="E175" s="66"/>
      <c r="F175" s="67" t="str">
        <f aca="false">IF(B175="","",IF(COUNTIF(取込チェック!$C$6:$C$505,B175)&gt;0,1,0))</f>
        <v/>
      </c>
      <c r="G175" s="68" t="str">
        <f aca="false">IF(B175="","",SUMIF(取込チェック!$C$6:$C$505,B175,取込チェック!$D$6:$D$505))</f>
        <v/>
      </c>
      <c r="H175" s="68" t="str">
        <f aca="false">IF(B175="","",SUMIF(取込チェック!$C$6:$C$505,B175,取込チェック!$E$6:$E$505))</f>
        <v/>
      </c>
      <c r="I175" s="68" t="str">
        <f aca="false">IF(B175="","",SUMIF(取込チェック!$C$6:$C$505,B175,取込チェック!$F$6:$F$505))</f>
        <v/>
      </c>
      <c r="J175" s="69" t="str">
        <f aca="false">IF(F175&lt;&gt;1,"",IF(H175=0,"-",G175/H175))</f>
        <v/>
      </c>
      <c r="K175" s="67" t="str">
        <f aca="false">IF(F175&lt;&gt;1,"",COUNTIFS($E$5:$E$304,E175,$F$5:$F$304,1,$B$5:$B$304,"&lt;"&amp;B175)+1)</f>
        <v/>
      </c>
      <c r="L175" s="67" t="str">
        <f aca="false">IF(K175="","",E175&amp;"|"&amp;K175)</f>
        <v/>
      </c>
      <c r="M175" s="67" t="str">
        <f aca="false">IF(F175&lt;&gt;1,"",IF(COUNTIFS($C$5:C175,C175,$F$5:F175,1)=1,1,0))</f>
        <v/>
      </c>
      <c r="N175" s="67" t="str">
        <f aca="false">IF(M175&lt;&gt;1,"",_xlfn.MINIFS($B$5:$B$304,$C$5:$C$304,C175,$F$5:$F$304,1))</f>
        <v/>
      </c>
      <c r="O175" s="67" t="str">
        <f aca="false">IF(M175&lt;&gt;1,"",COUNTIFS($M$5:$M$304,1,$N$5:$N$304,"&lt;"&amp;N175)+1)</f>
        <v/>
      </c>
      <c r="P175" s="68" t="str">
        <f aca="false">IF(OR(B175="",取込チェック!$K$3=0),"",SUMIF(取込チェック!$K$6:$K$505,B175,取込チェック!$L$6:$L$505))</f>
        <v/>
      </c>
      <c r="Q175" s="68" t="str">
        <f aca="false">IF(OR(B175="",取込チェック!$K$3=0),"",SUMIF(取込チェック!$K$6:$K$505,B175,取込チェック!$M$6:$M$505))</f>
        <v/>
      </c>
      <c r="R175" s="68" t="str">
        <f aca="false">IF(P175="","",G175-P175)</f>
        <v/>
      </c>
      <c r="S175" s="68" t="str">
        <f aca="false">IF(Q175="","",I175-Q175)</f>
        <v/>
      </c>
    </row>
    <row r="176" customFormat="false" ht="15" hidden="false" customHeight="false" outlineLevel="0" collapsed="false">
      <c r="A176" s="64" t="str">
        <f aca="false">IF(B176="","",ROW()-4)</f>
        <v/>
      </c>
      <c r="B176" s="65"/>
      <c r="C176" s="65"/>
      <c r="D176" s="65"/>
      <c r="E176" s="66"/>
      <c r="F176" s="67" t="str">
        <f aca="false">IF(B176="","",IF(COUNTIF(取込チェック!$C$6:$C$505,B176)&gt;0,1,0))</f>
        <v/>
      </c>
      <c r="G176" s="68" t="str">
        <f aca="false">IF(B176="","",SUMIF(取込チェック!$C$6:$C$505,B176,取込チェック!$D$6:$D$505))</f>
        <v/>
      </c>
      <c r="H176" s="68" t="str">
        <f aca="false">IF(B176="","",SUMIF(取込チェック!$C$6:$C$505,B176,取込チェック!$E$6:$E$505))</f>
        <v/>
      </c>
      <c r="I176" s="68" t="str">
        <f aca="false">IF(B176="","",SUMIF(取込チェック!$C$6:$C$505,B176,取込チェック!$F$6:$F$505))</f>
        <v/>
      </c>
      <c r="J176" s="69" t="str">
        <f aca="false">IF(F176&lt;&gt;1,"",IF(H176=0,"-",G176/H176))</f>
        <v/>
      </c>
      <c r="K176" s="67" t="str">
        <f aca="false">IF(F176&lt;&gt;1,"",COUNTIFS($E$5:$E$304,E176,$F$5:$F$304,1,$B$5:$B$304,"&lt;"&amp;B176)+1)</f>
        <v/>
      </c>
      <c r="L176" s="67" t="str">
        <f aca="false">IF(K176="","",E176&amp;"|"&amp;K176)</f>
        <v/>
      </c>
      <c r="M176" s="67" t="str">
        <f aca="false">IF(F176&lt;&gt;1,"",IF(COUNTIFS($C$5:C176,C176,$F$5:F176,1)=1,1,0))</f>
        <v/>
      </c>
      <c r="N176" s="67" t="str">
        <f aca="false">IF(M176&lt;&gt;1,"",_xlfn.MINIFS($B$5:$B$304,$C$5:$C$304,C176,$F$5:$F$304,1))</f>
        <v/>
      </c>
      <c r="O176" s="67" t="str">
        <f aca="false">IF(M176&lt;&gt;1,"",COUNTIFS($M$5:$M$304,1,$N$5:$N$304,"&lt;"&amp;N176)+1)</f>
        <v/>
      </c>
      <c r="P176" s="68" t="str">
        <f aca="false">IF(OR(B176="",取込チェック!$K$3=0),"",SUMIF(取込チェック!$K$6:$K$505,B176,取込チェック!$L$6:$L$505))</f>
        <v/>
      </c>
      <c r="Q176" s="68" t="str">
        <f aca="false">IF(OR(B176="",取込チェック!$K$3=0),"",SUMIF(取込チェック!$K$6:$K$505,B176,取込チェック!$M$6:$M$505))</f>
        <v/>
      </c>
      <c r="R176" s="68" t="str">
        <f aca="false">IF(P176="","",G176-P176)</f>
        <v/>
      </c>
      <c r="S176" s="68" t="str">
        <f aca="false">IF(Q176="","",I176-Q176)</f>
        <v/>
      </c>
    </row>
    <row r="177" customFormat="false" ht="15" hidden="false" customHeight="false" outlineLevel="0" collapsed="false">
      <c r="A177" s="64" t="str">
        <f aca="false">IF(B177="","",ROW()-4)</f>
        <v/>
      </c>
      <c r="B177" s="65"/>
      <c r="C177" s="65"/>
      <c r="D177" s="65"/>
      <c r="E177" s="66"/>
      <c r="F177" s="67" t="str">
        <f aca="false">IF(B177="","",IF(COUNTIF(取込チェック!$C$6:$C$505,B177)&gt;0,1,0))</f>
        <v/>
      </c>
      <c r="G177" s="68" t="str">
        <f aca="false">IF(B177="","",SUMIF(取込チェック!$C$6:$C$505,B177,取込チェック!$D$6:$D$505))</f>
        <v/>
      </c>
      <c r="H177" s="68" t="str">
        <f aca="false">IF(B177="","",SUMIF(取込チェック!$C$6:$C$505,B177,取込チェック!$E$6:$E$505))</f>
        <v/>
      </c>
      <c r="I177" s="68" t="str">
        <f aca="false">IF(B177="","",SUMIF(取込チェック!$C$6:$C$505,B177,取込チェック!$F$6:$F$505))</f>
        <v/>
      </c>
      <c r="J177" s="69" t="str">
        <f aca="false">IF(F177&lt;&gt;1,"",IF(H177=0,"-",G177/H177))</f>
        <v/>
      </c>
      <c r="K177" s="67" t="str">
        <f aca="false">IF(F177&lt;&gt;1,"",COUNTIFS($E$5:$E$304,E177,$F$5:$F$304,1,$B$5:$B$304,"&lt;"&amp;B177)+1)</f>
        <v/>
      </c>
      <c r="L177" s="67" t="str">
        <f aca="false">IF(K177="","",E177&amp;"|"&amp;K177)</f>
        <v/>
      </c>
      <c r="M177" s="67" t="str">
        <f aca="false">IF(F177&lt;&gt;1,"",IF(COUNTIFS($C$5:C177,C177,$F$5:F177,1)=1,1,0))</f>
        <v/>
      </c>
      <c r="N177" s="67" t="str">
        <f aca="false">IF(M177&lt;&gt;1,"",_xlfn.MINIFS($B$5:$B$304,$C$5:$C$304,C177,$F$5:$F$304,1))</f>
        <v/>
      </c>
      <c r="O177" s="67" t="str">
        <f aca="false">IF(M177&lt;&gt;1,"",COUNTIFS($M$5:$M$304,1,$N$5:$N$304,"&lt;"&amp;N177)+1)</f>
        <v/>
      </c>
      <c r="P177" s="68" t="str">
        <f aca="false">IF(OR(B177="",取込チェック!$K$3=0),"",SUMIF(取込チェック!$K$6:$K$505,B177,取込チェック!$L$6:$L$505))</f>
        <v/>
      </c>
      <c r="Q177" s="68" t="str">
        <f aca="false">IF(OR(B177="",取込チェック!$K$3=0),"",SUMIF(取込チェック!$K$6:$K$505,B177,取込チェック!$M$6:$M$505))</f>
        <v/>
      </c>
      <c r="R177" s="68" t="str">
        <f aca="false">IF(P177="","",G177-P177)</f>
        <v/>
      </c>
      <c r="S177" s="68" t="str">
        <f aca="false">IF(Q177="","",I177-Q177)</f>
        <v/>
      </c>
    </row>
    <row r="178" customFormat="false" ht="15" hidden="false" customHeight="false" outlineLevel="0" collapsed="false">
      <c r="A178" s="64" t="str">
        <f aca="false">IF(B178="","",ROW()-4)</f>
        <v/>
      </c>
      <c r="B178" s="65"/>
      <c r="C178" s="65"/>
      <c r="D178" s="65"/>
      <c r="E178" s="66"/>
      <c r="F178" s="67" t="str">
        <f aca="false">IF(B178="","",IF(COUNTIF(取込チェック!$C$6:$C$505,B178)&gt;0,1,0))</f>
        <v/>
      </c>
      <c r="G178" s="68" t="str">
        <f aca="false">IF(B178="","",SUMIF(取込チェック!$C$6:$C$505,B178,取込チェック!$D$6:$D$505))</f>
        <v/>
      </c>
      <c r="H178" s="68" t="str">
        <f aca="false">IF(B178="","",SUMIF(取込チェック!$C$6:$C$505,B178,取込チェック!$E$6:$E$505))</f>
        <v/>
      </c>
      <c r="I178" s="68" t="str">
        <f aca="false">IF(B178="","",SUMIF(取込チェック!$C$6:$C$505,B178,取込チェック!$F$6:$F$505))</f>
        <v/>
      </c>
      <c r="J178" s="69" t="str">
        <f aca="false">IF(F178&lt;&gt;1,"",IF(H178=0,"-",G178/H178))</f>
        <v/>
      </c>
      <c r="K178" s="67" t="str">
        <f aca="false">IF(F178&lt;&gt;1,"",COUNTIFS($E$5:$E$304,E178,$F$5:$F$304,1,$B$5:$B$304,"&lt;"&amp;B178)+1)</f>
        <v/>
      </c>
      <c r="L178" s="67" t="str">
        <f aca="false">IF(K178="","",E178&amp;"|"&amp;K178)</f>
        <v/>
      </c>
      <c r="M178" s="67" t="str">
        <f aca="false">IF(F178&lt;&gt;1,"",IF(COUNTIFS($C$5:C178,C178,$F$5:F178,1)=1,1,0))</f>
        <v/>
      </c>
      <c r="N178" s="67" t="str">
        <f aca="false">IF(M178&lt;&gt;1,"",_xlfn.MINIFS($B$5:$B$304,$C$5:$C$304,C178,$F$5:$F$304,1))</f>
        <v/>
      </c>
      <c r="O178" s="67" t="str">
        <f aca="false">IF(M178&lt;&gt;1,"",COUNTIFS($M$5:$M$304,1,$N$5:$N$304,"&lt;"&amp;N178)+1)</f>
        <v/>
      </c>
      <c r="P178" s="68" t="str">
        <f aca="false">IF(OR(B178="",取込チェック!$K$3=0),"",SUMIF(取込チェック!$K$6:$K$505,B178,取込チェック!$L$6:$L$505))</f>
        <v/>
      </c>
      <c r="Q178" s="68" t="str">
        <f aca="false">IF(OR(B178="",取込チェック!$K$3=0),"",SUMIF(取込チェック!$K$6:$K$505,B178,取込チェック!$M$6:$M$505))</f>
        <v/>
      </c>
      <c r="R178" s="68" t="str">
        <f aca="false">IF(P178="","",G178-P178)</f>
        <v/>
      </c>
      <c r="S178" s="68" t="str">
        <f aca="false">IF(Q178="","",I178-Q178)</f>
        <v/>
      </c>
    </row>
    <row r="179" customFormat="false" ht="15" hidden="false" customHeight="false" outlineLevel="0" collapsed="false">
      <c r="A179" s="64" t="str">
        <f aca="false">IF(B179="","",ROW()-4)</f>
        <v/>
      </c>
      <c r="B179" s="65"/>
      <c r="C179" s="65"/>
      <c r="D179" s="65"/>
      <c r="E179" s="66"/>
      <c r="F179" s="67" t="str">
        <f aca="false">IF(B179="","",IF(COUNTIF(取込チェック!$C$6:$C$505,B179)&gt;0,1,0))</f>
        <v/>
      </c>
      <c r="G179" s="68" t="str">
        <f aca="false">IF(B179="","",SUMIF(取込チェック!$C$6:$C$505,B179,取込チェック!$D$6:$D$505))</f>
        <v/>
      </c>
      <c r="H179" s="68" t="str">
        <f aca="false">IF(B179="","",SUMIF(取込チェック!$C$6:$C$505,B179,取込チェック!$E$6:$E$505))</f>
        <v/>
      </c>
      <c r="I179" s="68" t="str">
        <f aca="false">IF(B179="","",SUMIF(取込チェック!$C$6:$C$505,B179,取込チェック!$F$6:$F$505))</f>
        <v/>
      </c>
      <c r="J179" s="69" t="str">
        <f aca="false">IF(F179&lt;&gt;1,"",IF(H179=0,"-",G179/H179))</f>
        <v/>
      </c>
      <c r="K179" s="67" t="str">
        <f aca="false">IF(F179&lt;&gt;1,"",COUNTIFS($E$5:$E$304,E179,$F$5:$F$304,1,$B$5:$B$304,"&lt;"&amp;B179)+1)</f>
        <v/>
      </c>
      <c r="L179" s="67" t="str">
        <f aca="false">IF(K179="","",E179&amp;"|"&amp;K179)</f>
        <v/>
      </c>
      <c r="M179" s="67" t="str">
        <f aca="false">IF(F179&lt;&gt;1,"",IF(COUNTIFS($C$5:C179,C179,$F$5:F179,1)=1,1,0))</f>
        <v/>
      </c>
      <c r="N179" s="67" t="str">
        <f aca="false">IF(M179&lt;&gt;1,"",_xlfn.MINIFS($B$5:$B$304,$C$5:$C$304,C179,$F$5:$F$304,1))</f>
        <v/>
      </c>
      <c r="O179" s="67" t="str">
        <f aca="false">IF(M179&lt;&gt;1,"",COUNTIFS($M$5:$M$304,1,$N$5:$N$304,"&lt;"&amp;N179)+1)</f>
        <v/>
      </c>
      <c r="P179" s="68" t="str">
        <f aca="false">IF(OR(B179="",取込チェック!$K$3=0),"",SUMIF(取込チェック!$K$6:$K$505,B179,取込チェック!$L$6:$L$505))</f>
        <v/>
      </c>
      <c r="Q179" s="68" t="str">
        <f aca="false">IF(OR(B179="",取込チェック!$K$3=0),"",SUMIF(取込チェック!$K$6:$K$505,B179,取込チェック!$M$6:$M$505))</f>
        <v/>
      </c>
      <c r="R179" s="68" t="str">
        <f aca="false">IF(P179="","",G179-P179)</f>
        <v/>
      </c>
      <c r="S179" s="68" t="str">
        <f aca="false">IF(Q179="","",I179-Q179)</f>
        <v/>
      </c>
    </row>
    <row r="180" customFormat="false" ht="15" hidden="false" customHeight="false" outlineLevel="0" collapsed="false">
      <c r="A180" s="64" t="str">
        <f aca="false">IF(B180="","",ROW()-4)</f>
        <v/>
      </c>
      <c r="B180" s="65"/>
      <c r="C180" s="65"/>
      <c r="D180" s="65"/>
      <c r="E180" s="66"/>
      <c r="F180" s="67" t="str">
        <f aca="false">IF(B180="","",IF(COUNTIF(取込チェック!$C$6:$C$505,B180)&gt;0,1,0))</f>
        <v/>
      </c>
      <c r="G180" s="68" t="str">
        <f aca="false">IF(B180="","",SUMIF(取込チェック!$C$6:$C$505,B180,取込チェック!$D$6:$D$505))</f>
        <v/>
      </c>
      <c r="H180" s="68" t="str">
        <f aca="false">IF(B180="","",SUMIF(取込チェック!$C$6:$C$505,B180,取込チェック!$E$6:$E$505))</f>
        <v/>
      </c>
      <c r="I180" s="68" t="str">
        <f aca="false">IF(B180="","",SUMIF(取込チェック!$C$6:$C$505,B180,取込チェック!$F$6:$F$505))</f>
        <v/>
      </c>
      <c r="J180" s="69" t="str">
        <f aca="false">IF(F180&lt;&gt;1,"",IF(H180=0,"-",G180/H180))</f>
        <v/>
      </c>
      <c r="K180" s="67" t="str">
        <f aca="false">IF(F180&lt;&gt;1,"",COUNTIFS($E$5:$E$304,E180,$F$5:$F$304,1,$B$5:$B$304,"&lt;"&amp;B180)+1)</f>
        <v/>
      </c>
      <c r="L180" s="67" t="str">
        <f aca="false">IF(K180="","",E180&amp;"|"&amp;K180)</f>
        <v/>
      </c>
      <c r="M180" s="67" t="str">
        <f aca="false">IF(F180&lt;&gt;1,"",IF(COUNTIFS($C$5:C180,C180,$F$5:F180,1)=1,1,0))</f>
        <v/>
      </c>
      <c r="N180" s="67" t="str">
        <f aca="false">IF(M180&lt;&gt;1,"",_xlfn.MINIFS($B$5:$B$304,$C$5:$C$304,C180,$F$5:$F$304,1))</f>
        <v/>
      </c>
      <c r="O180" s="67" t="str">
        <f aca="false">IF(M180&lt;&gt;1,"",COUNTIFS($M$5:$M$304,1,$N$5:$N$304,"&lt;"&amp;N180)+1)</f>
        <v/>
      </c>
      <c r="P180" s="68" t="str">
        <f aca="false">IF(OR(B180="",取込チェック!$K$3=0),"",SUMIF(取込チェック!$K$6:$K$505,B180,取込チェック!$L$6:$L$505))</f>
        <v/>
      </c>
      <c r="Q180" s="68" t="str">
        <f aca="false">IF(OR(B180="",取込チェック!$K$3=0),"",SUMIF(取込チェック!$K$6:$K$505,B180,取込チェック!$M$6:$M$505))</f>
        <v/>
      </c>
      <c r="R180" s="68" t="str">
        <f aca="false">IF(P180="","",G180-P180)</f>
        <v/>
      </c>
      <c r="S180" s="68" t="str">
        <f aca="false">IF(Q180="","",I180-Q180)</f>
        <v/>
      </c>
    </row>
    <row r="181" customFormat="false" ht="15" hidden="false" customHeight="false" outlineLevel="0" collapsed="false">
      <c r="A181" s="64" t="str">
        <f aca="false">IF(B181="","",ROW()-4)</f>
        <v/>
      </c>
      <c r="B181" s="65"/>
      <c r="C181" s="65"/>
      <c r="D181" s="65"/>
      <c r="E181" s="66"/>
      <c r="F181" s="67" t="str">
        <f aca="false">IF(B181="","",IF(COUNTIF(取込チェック!$C$6:$C$505,B181)&gt;0,1,0))</f>
        <v/>
      </c>
      <c r="G181" s="68" t="str">
        <f aca="false">IF(B181="","",SUMIF(取込チェック!$C$6:$C$505,B181,取込チェック!$D$6:$D$505))</f>
        <v/>
      </c>
      <c r="H181" s="68" t="str">
        <f aca="false">IF(B181="","",SUMIF(取込チェック!$C$6:$C$505,B181,取込チェック!$E$6:$E$505))</f>
        <v/>
      </c>
      <c r="I181" s="68" t="str">
        <f aca="false">IF(B181="","",SUMIF(取込チェック!$C$6:$C$505,B181,取込チェック!$F$6:$F$505))</f>
        <v/>
      </c>
      <c r="J181" s="69" t="str">
        <f aca="false">IF(F181&lt;&gt;1,"",IF(H181=0,"-",G181/H181))</f>
        <v/>
      </c>
      <c r="K181" s="67" t="str">
        <f aca="false">IF(F181&lt;&gt;1,"",COUNTIFS($E$5:$E$304,E181,$F$5:$F$304,1,$B$5:$B$304,"&lt;"&amp;B181)+1)</f>
        <v/>
      </c>
      <c r="L181" s="67" t="str">
        <f aca="false">IF(K181="","",E181&amp;"|"&amp;K181)</f>
        <v/>
      </c>
      <c r="M181" s="67" t="str">
        <f aca="false">IF(F181&lt;&gt;1,"",IF(COUNTIFS($C$5:C181,C181,$F$5:F181,1)=1,1,0))</f>
        <v/>
      </c>
      <c r="N181" s="67" t="str">
        <f aca="false">IF(M181&lt;&gt;1,"",_xlfn.MINIFS($B$5:$B$304,$C$5:$C$304,C181,$F$5:$F$304,1))</f>
        <v/>
      </c>
      <c r="O181" s="67" t="str">
        <f aca="false">IF(M181&lt;&gt;1,"",COUNTIFS($M$5:$M$304,1,$N$5:$N$304,"&lt;"&amp;N181)+1)</f>
        <v/>
      </c>
      <c r="P181" s="68" t="str">
        <f aca="false">IF(OR(B181="",取込チェック!$K$3=0),"",SUMIF(取込チェック!$K$6:$K$505,B181,取込チェック!$L$6:$L$505))</f>
        <v/>
      </c>
      <c r="Q181" s="68" t="str">
        <f aca="false">IF(OR(B181="",取込チェック!$K$3=0),"",SUMIF(取込チェック!$K$6:$K$505,B181,取込チェック!$M$6:$M$505))</f>
        <v/>
      </c>
      <c r="R181" s="68" t="str">
        <f aca="false">IF(P181="","",G181-P181)</f>
        <v/>
      </c>
      <c r="S181" s="68" t="str">
        <f aca="false">IF(Q181="","",I181-Q181)</f>
        <v/>
      </c>
    </row>
    <row r="182" customFormat="false" ht="15" hidden="false" customHeight="false" outlineLevel="0" collapsed="false">
      <c r="A182" s="64" t="str">
        <f aca="false">IF(B182="","",ROW()-4)</f>
        <v/>
      </c>
      <c r="B182" s="65"/>
      <c r="C182" s="65"/>
      <c r="D182" s="65"/>
      <c r="E182" s="66"/>
      <c r="F182" s="67" t="str">
        <f aca="false">IF(B182="","",IF(COUNTIF(取込チェック!$C$6:$C$505,B182)&gt;0,1,0))</f>
        <v/>
      </c>
      <c r="G182" s="68" t="str">
        <f aca="false">IF(B182="","",SUMIF(取込チェック!$C$6:$C$505,B182,取込チェック!$D$6:$D$505))</f>
        <v/>
      </c>
      <c r="H182" s="68" t="str">
        <f aca="false">IF(B182="","",SUMIF(取込チェック!$C$6:$C$505,B182,取込チェック!$E$6:$E$505))</f>
        <v/>
      </c>
      <c r="I182" s="68" t="str">
        <f aca="false">IF(B182="","",SUMIF(取込チェック!$C$6:$C$505,B182,取込チェック!$F$6:$F$505))</f>
        <v/>
      </c>
      <c r="J182" s="69" t="str">
        <f aca="false">IF(F182&lt;&gt;1,"",IF(H182=0,"-",G182/H182))</f>
        <v/>
      </c>
      <c r="K182" s="67" t="str">
        <f aca="false">IF(F182&lt;&gt;1,"",COUNTIFS($E$5:$E$304,E182,$F$5:$F$304,1,$B$5:$B$304,"&lt;"&amp;B182)+1)</f>
        <v/>
      </c>
      <c r="L182" s="67" t="str">
        <f aca="false">IF(K182="","",E182&amp;"|"&amp;K182)</f>
        <v/>
      </c>
      <c r="M182" s="67" t="str">
        <f aca="false">IF(F182&lt;&gt;1,"",IF(COUNTIFS($C$5:C182,C182,$F$5:F182,1)=1,1,0))</f>
        <v/>
      </c>
      <c r="N182" s="67" t="str">
        <f aca="false">IF(M182&lt;&gt;1,"",_xlfn.MINIFS($B$5:$B$304,$C$5:$C$304,C182,$F$5:$F$304,1))</f>
        <v/>
      </c>
      <c r="O182" s="67" t="str">
        <f aca="false">IF(M182&lt;&gt;1,"",COUNTIFS($M$5:$M$304,1,$N$5:$N$304,"&lt;"&amp;N182)+1)</f>
        <v/>
      </c>
      <c r="P182" s="68" t="str">
        <f aca="false">IF(OR(B182="",取込チェック!$K$3=0),"",SUMIF(取込チェック!$K$6:$K$505,B182,取込チェック!$L$6:$L$505))</f>
        <v/>
      </c>
      <c r="Q182" s="68" t="str">
        <f aca="false">IF(OR(B182="",取込チェック!$K$3=0),"",SUMIF(取込チェック!$K$6:$K$505,B182,取込チェック!$M$6:$M$505))</f>
        <v/>
      </c>
      <c r="R182" s="68" t="str">
        <f aca="false">IF(P182="","",G182-P182)</f>
        <v/>
      </c>
      <c r="S182" s="68" t="str">
        <f aca="false">IF(Q182="","",I182-Q182)</f>
        <v/>
      </c>
    </row>
    <row r="183" customFormat="false" ht="15" hidden="false" customHeight="false" outlineLevel="0" collapsed="false">
      <c r="A183" s="64" t="str">
        <f aca="false">IF(B183="","",ROW()-4)</f>
        <v/>
      </c>
      <c r="B183" s="65"/>
      <c r="C183" s="65"/>
      <c r="D183" s="65"/>
      <c r="E183" s="66"/>
      <c r="F183" s="67" t="str">
        <f aca="false">IF(B183="","",IF(COUNTIF(取込チェック!$C$6:$C$505,B183)&gt;0,1,0))</f>
        <v/>
      </c>
      <c r="G183" s="68" t="str">
        <f aca="false">IF(B183="","",SUMIF(取込チェック!$C$6:$C$505,B183,取込チェック!$D$6:$D$505))</f>
        <v/>
      </c>
      <c r="H183" s="68" t="str">
        <f aca="false">IF(B183="","",SUMIF(取込チェック!$C$6:$C$505,B183,取込チェック!$E$6:$E$505))</f>
        <v/>
      </c>
      <c r="I183" s="68" t="str">
        <f aca="false">IF(B183="","",SUMIF(取込チェック!$C$6:$C$505,B183,取込チェック!$F$6:$F$505))</f>
        <v/>
      </c>
      <c r="J183" s="69" t="str">
        <f aca="false">IF(F183&lt;&gt;1,"",IF(H183=0,"-",G183/H183))</f>
        <v/>
      </c>
      <c r="K183" s="67" t="str">
        <f aca="false">IF(F183&lt;&gt;1,"",COUNTIFS($E$5:$E$304,E183,$F$5:$F$304,1,$B$5:$B$304,"&lt;"&amp;B183)+1)</f>
        <v/>
      </c>
      <c r="L183" s="67" t="str">
        <f aca="false">IF(K183="","",E183&amp;"|"&amp;K183)</f>
        <v/>
      </c>
      <c r="M183" s="67" t="str">
        <f aca="false">IF(F183&lt;&gt;1,"",IF(COUNTIFS($C$5:C183,C183,$F$5:F183,1)=1,1,0))</f>
        <v/>
      </c>
      <c r="N183" s="67" t="str">
        <f aca="false">IF(M183&lt;&gt;1,"",_xlfn.MINIFS($B$5:$B$304,$C$5:$C$304,C183,$F$5:$F$304,1))</f>
        <v/>
      </c>
      <c r="O183" s="67" t="str">
        <f aca="false">IF(M183&lt;&gt;1,"",COUNTIFS($M$5:$M$304,1,$N$5:$N$304,"&lt;"&amp;N183)+1)</f>
        <v/>
      </c>
      <c r="P183" s="68" t="str">
        <f aca="false">IF(OR(B183="",取込チェック!$K$3=0),"",SUMIF(取込チェック!$K$6:$K$505,B183,取込チェック!$L$6:$L$505))</f>
        <v/>
      </c>
      <c r="Q183" s="68" t="str">
        <f aca="false">IF(OR(B183="",取込チェック!$K$3=0),"",SUMIF(取込チェック!$K$6:$K$505,B183,取込チェック!$M$6:$M$505))</f>
        <v/>
      </c>
      <c r="R183" s="68" t="str">
        <f aca="false">IF(P183="","",G183-P183)</f>
        <v/>
      </c>
      <c r="S183" s="68" t="str">
        <f aca="false">IF(Q183="","",I183-Q183)</f>
        <v/>
      </c>
    </row>
    <row r="184" customFormat="false" ht="15" hidden="false" customHeight="false" outlineLevel="0" collapsed="false">
      <c r="A184" s="64" t="str">
        <f aca="false">IF(B184="","",ROW()-4)</f>
        <v/>
      </c>
      <c r="B184" s="65"/>
      <c r="C184" s="65"/>
      <c r="D184" s="65"/>
      <c r="E184" s="66"/>
      <c r="F184" s="67" t="str">
        <f aca="false">IF(B184="","",IF(COUNTIF(取込チェック!$C$6:$C$505,B184)&gt;0,1,0))</f>
        <v/>
      </c>
      <c r="G184" s="68" t="str">
        <f aca="false">IF(B184="","",SUMIF(取込チェック!$C$6:$C$505,B184,取込チェック!$D$6:$D$505))</f>
        <v/>
      </c>
      <c r="H184" s="68" t="str">
        <f aca="false">IF(B184="","",SUMIF(取込チェック!$C$6:$C$505,B184,取込チェック!$E$6:$E$505))</f>
        <v/>
      </c>
      <c r="I184" s="68" t="str">
        <f aca="false">IF(B184="","",SUMIF(取込チェック!$C$6:$C$505,B184,取込チェック!$F$6:$F$505))</f>
        <v/>
      </c>
      <c r="J184" s="69" t="str">
        <f aca="false">IF(F184&lt;&gt;1,"",IF(H184=0,"-",G184/H184))</f>
        <v/>
      </c>
      <c r="K184" s="67" t="str">
        <f aca="false">IF(F184&lt;&gt;1,"",COUNTIFS($E$5:$E$304,E184,$F$5:$F$304,1,$B$5:$B$304,"&lt;"&amp;B184)+1)</f>
        <v/>
      </c>
      <c r="L184" s="67" t="str">
        <f aca="false">IF(K184="","",E184&amp;"|"&amp;K184)</f>
        <v/>
      </c>
      <c r="M184" s="67" t="str">
        <f aca="false">IF(F184&lt;&gt;1,"",IF(COUNTIFS($C$5:C184,C184,$F$5:F184,1)=1,1,0))</f>
        <v/>
      </c>
      <c r="N184" s="67" t="str">
        <f aca="false">IF(M184&lt;&gt;1,"",_xlfn.MINIFS($B$5:$B$304,$C$5:$C$304,C184,$F$5:$F$304,1))</f>
        <v/>
      </c>
      <c r="O184" s="67" t="str">
        <f aca="false">IF(M184&lt;&gt;1,"",COUNTIFS($M$5:$M$304,1,$N$5:$N$304,"&lt;"&amp;N184)+1)</f>
        <v/>
      </c>
      <c r="P184" s="68" t="str">
        <f aca="false">IF(OR(B184="",取込チェック!$K$3=0),"",SUMIF(取込チェック!$K$6:$K$505,B184,取込チェック!$L$6:$L$505))</f>
        <v/>
      </c>
      <c r="Q184" s="68" t="str">
        <f aca="false">IF(OR(B184="",取込チェック!$K$3=0),"",SUMIF(取込チェック!$K$6:$K$505,B184,取込チェック!$M$6:$M$505))</f>
        <v/>
      </c>
      <c r="R184" s="68" t="str">
        <f aca="false">IF(P184="","",G184-P184)</f>
        <v/>
      </c>
      <c r="S184" s="68" t="str">
        <f aca="false">IF(Q184="","",I184-Q184)</f>
        <v/>
      </c>
    </row>
    <row r="185" customFormat="false" ht="15" hidden="false" customHeight="false" outlineLevel="0" collapsed="false">
      <c r="A185" s="64" t="str">
        <f aca="false">IF(B185="","",ROW()-4)</f>
        <v/>
      </c>
      <c r="B185" s="65"/>
      <c r="C185" s="65"/>
      <c r="D185" s="65"/>
      <c r="E185" s="66"/>
      <c r="F185" s="67" t="str">
        <f aca="false">IF(B185="","",IF(COUNTIF(取込チェック!$C$6:$C$505,B185)&gt;0,1,0))</f>
        <v/>
      </c>
      <c r="G185" s="68" t="str">
        <f aca="false">IF(B185="","",SUMIF(取込チェック!$C$6:$C$505,B185,取込チェック!$D$6:$D$505))</f>
        <v/>
      </c>
      <c r="H185" s="68" t="str">
        <f aca="false">IF(B185="","",SUMIF(取込チェック!$C$6:$C$505,B185,取込チェック!$E$6:$E$505))</f>
        <v/>
      </c>
      <c r="I185" s="68" t="str">
        <f aca="false">IF(B185="","",SUMIF(取込チェック!$C$6:$C$505,B185,取込チェック!$F$6:$F$505))</f>
        <v/>
      </c>
      <c r="J185" s="69" t="str">
        <f aca="false">IF(F185&lt;&gt;1,"",IF(H185=0,"-",G185/H185))</f>
        <v/>
      </c>
      <c r="K185" s="67" t="str">
        <f aca="false">IF(F185&lt;&gt;1,"",COUNTIFS($E$5:$E$304,E185,$F$5:$F$304,1,$B$5:$B$304,"&lt;"&amp;B185)+1)</f>
        <v/>
      </c>
      <c r="L185" s="67" t="str">
        <f aca="false">IF(K185="","",E185&amp;"|"&amp;K185)</f>
        <v/>
      </c>
      <c r="M185" s="67" t="str">
        <f aca="false">IF(F185&lt;&gt;1,"",IF(COUNTIFS($C$5:C185,C185,$F$5:F185,1)=1,1,0))</f>
        <v/>
      </c>
      <c r="N185" s="67" t="str">
        <f aca="false">IF(M185&lt;&gt;1,"",_xlfn.MINIFS($B$5:$B$304,$C$5:$C$304,C185,$F$5:$F$304,1))</f>
        <v/>
      </c>
      <c r="O185" s="67" t="str">
        <f aca="false">IF(M185&lt;&gt;1,"",COUNTIFS($M$5:$M$304,1,$N$5:$N$304,"&lt;"&amp;N185)+1)</f>
        <v/>
      </c>
      <c r="P185" s="68" t="str">
        <f aca="false">IF(OR(B185="",取込チェック!$K$3=0),"",SUMIF(取込チェック!$K$6:$K$505,B185,取込チェック!$L$6:$L$505))</f>
        <v/>
      </c>
      <c r="Q185" s="68" t="str">
        <f aca="false">IF(OR(B185="",取込チェック!$K$3=0),"",SUMIF(取込チェック!$K$6:$K$505,B185,取込チェック!$M$6:$M$505))</f>
        <v/>
      </c>
      <c r="R185" s="68" t="str">
        <f aca="false">IF(P185="","",G185-P185)</f>
        <v/>
      </c>
      <c r="S185" s="68" t="str">
        <f aca="false">IF(Q185="","",I185-Q185)</f>
        <v/>
      </c>
    </row>
    <row r="186" customFormat="false" ht="15" hidden="false" customHeight="false" outlineLevel="0" collapsed="false">
      <c r="A186" s="64" t="str">
        <f aca="false">IF(B186="","",ROW()-4)</f>
        <v/>
      </c>
      <c r="B186" s="65"/>
      <c r="C186" s="65"/>
      <c r="D186" s="65"/>
      <c r="E186" s="66"/>
      <c r="F186" s="67" t="str">
        <f aca="false">IF(B186="","",IF(COUNTIF(取込チェック!$C$6:$C$505,B186)&gt;0,1,0))</f>
        <v/>
      </c>
      <c r="G186" s="68" t="str">
        <f aca="false">IF(B186="","",SUMIF(取込チェック!$C$6:$C$505,B186,取込チェック!$D$6:$D$505))</f>
        <v/>
      </c>
      <c r="H186" s="68" t="str">
        <f aca="false">IF(B186="","",SUMIF(取込チェック!$C$6:$C$505,B186,取込チェック!$E$6:$E$505))</f>
        <v/>
      </c>
      <c r="I186" s="68" t="str">
        <f aca="false">IF(B186="","",SUMIF(取込チェック!$C$6:$C$505,B186,取込チェック!$F$6:$F$505))</f>
        <v/>
      </c>
      <c r="J186" s="69" t="str">
        <f aca="false">IF(F186&lt;&gt;1,"",IF(H186=0,"-",G186/H186))</f>
        <v/>
      </c>
      <c r="K186" s="67" t="str">
        <f aca="false">IF(F186&lt;&gt;1,"",COUNTIFS($E$5:$E$304,E186,$F$5:$F$304,1,$B$5:$B$304,"&lt;"&amp;B186)+1)</f>
        <v/>
      </c>
      <c r="L186" s="67" t="str">
        <f aca="false">IF(K186="","",E186&amp;"|"&amp;K186)</f>
        <v/>
      </c>
      <c r="M186" s="67" t="str">
        <f aca="false">IF(F186&lt;&gt;1,"",IF(COUNTIFS($C$5:C186,C186,$F$5:F186,1)=1,1,0))</f>
        <v/>
      </c>
      <c r="N186" s="67" t="str">
        <f aca="false">IF(M186&lt;&gt;1,"",_xlfn.MINIFS($B$5:$B$304,$C$5:$C$304,C186,$F$5:$F$304,1))</f>
        <v/>
      </c>
      <c r="O186" s="67" t="str">
        <f aca="false">IF(M186&lt;&gt;1,"",COUNTIFS($M$5:$M$304,1,$N$5:$N$304,"&lt;"&amp;N186)+1)</f>
        <v/>
      </c>
      <c r="P186" s="68" t="str">
        <f aca="false">IF(OR(B186="",取込チェック!$K$3=0),"",SUMIF(取込チェック!$K$6:$K$505,B186,取込チェック!$L$6:$L$505))</f>
        <v/>
      </c>
      <c r="Q186" s="68" t="str">
        <f aca="false">IF(OR(B186="",取込チェック!$K$3=0),"",SUMIF(取込チェック!$K$6:$K$505,B186,取込チェック!$M$6:$M$505))</f>
        <v/>
      </c>
      <c r="R186" s="68" t="str">
        <f aca="false">IF(P186="","",G186-P186)</f>
        <v/>
      </c>
      <c r="S186" s="68" t="str">
        <f aca="false">IF(Q186="","",I186-Q186)</f>
        <v/>
      </c>
    </row>
    <row r="187" customFormat="false" ht="15" hidden="false" customHeight="false" outlineLevel="0" collapsed="false">
      <c r="A187" s="64" t="str">
        <f aca="false">IF(B187="","",ROW()-4)</f>
        <v/>
      </c>
      <c r="B187" s="65"/>
      <c r="C187" s="65"/>
      <c r="D187" s="65"/>
      <c r="E187" s="66"/>
      <c r="F187" s="67" t="str">
        <f aca="false">IF(B187="","",IF(COUNTIF(取込チェック!$C$6:$C$505,B187)&gt;0,1,0))</f>
        <v/>
      </c>
      <c r="G187" s="68" t="str">
        <f aca="false">IF(B187="","",SUMIF(取込チェック!$C$6:$C$505,B187,取込チェック!$D$6:$D$505))</f>
        <v/>
      </c>
      <c r="H187" s="68" t="str">
        <f aca="false">IF(B187="","",SUMIF(取込チェック!$C$6:$C$505,B187,取込チェック!$E$6:$E$505))</f>
        <v/>
      </c>
      <c r="I187" s="68" t="str">
        <f aca="false">IF(B187="","",SUMIF(取込チェック!$C$6:$C$505,B187,取込チェック!$F$6:$F$505))</f>
        <v/>
      </c>
      <c r="J187" s="69" t="str">
        <f aca="false">IF(F187&lt;&gt;1,"",IF(H187=0,"-",G187/H187))</f>
        <v/>
      </c>
      <c r="K187" s="67" t="str">
        <f aca="false">IF(F187&lt;&gt;1,"",COUNTIFS($E$5:$E$304,E187,$F$5:$F$304,1,$B$5:$B$304,"&lt;"&amp;B187)+1)</f>
        <v/>
      </c>
      <c r="L187" s="67" t="str">
        <f aca="false">IF(K187="","",E187&amp;"|"&amp;K187)</f>
        <v/>
      </c>
      <c r="M187" s="67" t="str">
        <f aca="false">IF(F187&lt;&gt;1,"",IF(COUNTIFS($C$5:C187,C187,$F$5:F187,1)=1,1,0))</f>
        <v/>
      </c>
      <c r="N187" s="67" t="str">
        <f aca="false">IF(M187&lt;&gt;1,"",_xlfn.MINIFS($B$5:$B$304,$C$5:$C$304,C187,$F$5:$F$304,1))</f>
        <v/>
      </c>
      <c r="O187" s="67" t="str">
        <f aca="false">IF(M187&lt;&gt;1,"",COUNTIFS($M$5:$M$304,1,$N$5:$N$304,"&lt;"&amp;N187)+1)</f>
        <v/>
      </c>
      <c r="P187" s="68" t="str">
        <f aca="false">IF(OR(B187="",取込チェック!$K$3=0),"",SUMIF(取込チェック!$K$6:$K$505,B187,取込チェック!$L$6:$L$505))</f>
        <v/>
      </c>
      <c r="Q187" s="68" t="str">
        <f aca="false">IF(OR(B187="",取込チェック!$K$3=0),"",SUMIF(取込チェック!$K$6:$K$505,B187,取込チェック!$M$6:$M$505))</f>
        <v/>
      </c>
      <c r="R187" s="68" t="str">
        <f aca="false">IF(P187="","",G187-P187)</f>
        <v/>
      </c>
      <c r="S187" s="68" t="str">
        <f aca="false">IF(Q187="","",I187-Q187)</f>
        <v/>
      </c>
    </row>
    <row r="188" customFormat="false" ht="15" hidden="false" customHeight="false" outlineLevel="0" collapsed="false">
      <c r="A188" s="64" t="str">
        <f aca="false">IF(B188="","",ROW()-4)</f>
        <v/>
      </c>
      <c r="B188" s="65"/>
      <c r="C188" s="65"/>
      <c r="D188" s="65"/>
      <c r="E188" s="66"/>
      <c r="F188" s="67" t="str">
        <f aca="false">IF(B188="","",IF(COUNTIF(取込チェック!$C$6:$C$505,B188)&gt;0,1,0))</f>
        <v/>
      </c>
      <c r="G188" s="68" t="str">
        <f aca="false">IF(B188="","",SUMIF(取込チェック!$C$6:$C$505,B188,取込チェック!$D$6:$D$505))</f>
        <v/>
      </c>
      <c r="H188" s="68" t="str">
        <f aca="false">IF(B188="","",SUMIF(取込チェック!$C$6:$C$505,B188,取込チェック!$E$6:$E$505))</f>
        <v/>
      </c>
      <c r="I188" s="68" t="str">
        <f aca="false">IF(B188="","",SUMIF(取込チェック!$C$6:$C$505,B188,取込チェック!$F$6:$F$505))</f>
        <v/>
      </c>
      <c r="J188" s="69" t="str">
        <f aca="false">IF(F188&lt;&gt;1,"",IF(H188=0,"-",G188/H188))</f>
        <v/>
      </c>
      <c r="K188" s="67" t="str">
        <f aca="false">IF(F188&lt;&gt;1,"",COUNTIFS($E$5:$E$304,E188,$F$5:$F$304,1,$B$5:$B$304,"&lt;"&amp;B188)+1)</f>
        <v/>
      </c>
      <c r="L188" s="67" t="str">
        <f aca="false">IF(K188="","",E188&amp;"|"&amp;K188)</f>
        <v/>
      </c>
      <c r="M188" s="67" t="str">
        <f aca="false">IF(F188&lt;&gt;1,"",IF(COUNTIFS($C$5:C188,C188,$F$5:F188,1)=1,1,0))</f>
        <v/>
      </c>
      <c r="N188" s="67" t="str">
        <f aca="false">IF(M188&lt;&gt;1,"",_xlfn.MINIFS($B$5:$B$304,$C$5:$C$304,C188,$F$5:$F$304,1))</f>
        <v/>
      </c>
      <c r="O188" s="67" t="str">
        <f aca="false">IF(M188&lt;&gt;1,"",COUNTIFS($M$5:$M$304,1,$N$5:$N$304,"&lt;"&amp;N188)+1)</f>
        <v/>
      </c>
      <c r="P188" s="68" t="str">
        <f aca="false">IF(OR(B188="",取込チェック!$K$3=0),"",SUMIF(取込チェック!$K$6:$K$505,B188,取込チェック!$L$6:$L$505))</f>
        <v/>
      </c>
      <c r="Q188" s="68" t="str">
        <f aca="false">IF(OR(B188="",取込チェック!$K$3=0),"",SUMIF(取込チェック!$K$6:$K$505,B188,取込チェック!$M$6:$M$505))</f>
        <v/>
      </c>
      <c r="R188" s="68" t="str">
        <f aca="false">IF(P188="","",G188-P188)</f>
        <v/>
      </c>
      <c r="S188" s="68" t="str">
        <f aca="false">IF(Q188="","",I188-Q188)</f>
        <v/>
      </c>
    </row>
    <row r="189" customFormat="false" ht="15" hidden="false" customHeight="false" outlineLevel="0" collapsed="false">
      <c r="A189" s="64" t="str">
        <f aca="false">IF(B189="","",ROW()-4)</f>
        <v/>
      </c>
      <c r="B189" s="65"/>
      <c r="C189" s="65"/>
      <c r="D189" s="65"/>
      <c r="E189" s="66"/>
      <c r="F189" s="67" t="str">
        <f aca="false">IF(B189="","",IF(COUNTIF(取込チェック!$C$6:$C$505,B189)&gt;0,1,0))</f>
        <v/>
      </c>
      <c r="G189" s="68" t="str">
        <f aca="false">IF(B189="","",SUMIF(取込チェック!$C$6:$C$505,B189,取込チェック!$D$6:$D$505))</f>
        <v/>
      </c>
      <c r="H189" s="68" t="str">
        <f aca="false">IF(B189="","",SUMIF(取込チェック!$C$6:$C$505,B189,取込チェック!$E$6:$E$505))</f>
        <v/>
      </c>
      <c r="I189" s="68" t="str">
        <f aca="false">IF(B189="","",SUMIF(取込チェック!$C$6:$C$505,B189,取込チェック!$F$6:$F$505))</f>
        <v/>
      </c>
      <c r="J189" s="69" t="str">
        <f aca="false">IF(F189&lt;&gt;1,"",IF(H189=0,"-",G189/H189))</f>
        <v/>
      </c>
      <c r="K189" s="67" t="str">
        <f aca="false">IF(F189&lt;&gt;1,"",COUNTIFS($E$5:$E$304,E189,$F$5:$F$304,1,$B$5:$B$304,"&lt;"&amp;B189)+1)</f>
        <v/>
      </c>
      <c r="L189" s="67" t="str">
        <f aca="false">IF(K189="","",E189&amp;"|"&amp;K189)</f>
        <v/>
      </c>
      <c r="M189" s="67" t="str">
        <f aca="false">IF(F189&lt;&gt;1,"",IF(COUNTIFS($C$5:C189,C189,$F$5:F189,1)=1,1,0))</f>
        <v/>
      </c>
      <c r="N189" s="67" t="str">
        <f aca="false">IF(M189&lt;&gt;1,"",_xlfn.MINIFS($B$5:$B$304,$C$5:$C$304,C189,$F$5:$F$304,1))</f>
        <v/>
      </c>
      <c r="O189" s="67" t="str">
        <f aca="false">IF(M189&lt;&gt;1,"",COUNTIFS($M$5:$M$304,1,$N$5:$N$304,"&lt;"&amp;N189)+1)</f>
        <v/>
      </c>
      <c r="P189" s="68" t="str">
        <f aca="false">IF(OR(B189="",取込チェック!$K$3=0),"",SUMIF(取込チェック!$K$6:$K$505,B189,取込チェック!$L$6:$L$505))</f>
        <v/>
      </c>
      <c r="Q189" s="68" t="str">
        <f aca="false">IF(OR(B189="",取込チェック!$K$3=0),"",SUMIF(取込チェック!$K$6:$K$505,B189,取込チェック!$M$6:$M$505))</f>
        <v/>
      </c>
      <c r="R189" s="68" t="str">
        <f aca="false">IF(P189="","",G189-P189)</f>
        <v/>
      </c>
      <c r="S189" s="68" t="str">
        <f aca="false">IF(Q189="","",I189-Q189)</f>
        <v/>
      </c>
    </row>
    <row r="190" customFormat="false" ht="15" hidden="false" customHeight="false" outlineLevel="0" collapsed="false">
      <c r="A190" s="64" t="str">
        <f aca="false">IF(B190="","",ROW()-4)</f>
        <v/>
      </c>
      <c r="B190" s="65"/>
      <c r="C190" s="65"/>
      <c r="D190" s="65"/>
      <c r="E190" s="66"/>
      <c r="F190" s="67" t="str">
        <f aca="false">IF(B190="","",IF(COUNTIF(取込チェック!$C$6:$C$505,B190)&gt;0,1,0))</f>
        <v/>
      </c>
      <c r="G190" s="68" t="str">
        <f aca="false">IF(B190="","",SUMIF(取込チェック!$C$6:$C$505,B190,取込チェック!$D$6:$D$505))</f>
        <v/>
      </c>
      <c r="H190" s="68" t="str">
        <f aca="false">IF(B190="","",SUMIF(取込チェック!$C$6:$C$505,B190,取込チェック!$E$6:$E$505))</f>
        <v/>
      </c>
      <c r="I190" s="68" t="str">
        <f aca="false">IF(B190="","",SUMIF(取込チェック!$C$6:$C$505,B190,取込チェック!$F$6:$F$505))</f>
        <v/>
      </c>
      <c r="J190" s="69" t="str">
        <f aca="false">IF(F190&lt;&gt;1,"",IF(H190=0,"-",G190/H190))</f>
        <v/>
      </c>
      <c r="K190" s="67" t="str">
        <f aca="false">IF(F190&lt;&gt;1,"",COUNTIFS($E$5:$E$304,E190,$F$5:$F$304,1,$B$5:$B$304,"&lt;"&amp;B190)+1)</f>
        <v/>
      </c>
      <c r="L190" s="67" t="str">
        <f aca="false">IF(K190="","",E190&amp;"|"&amp;K190)</f>
        <v/>
      </c>
      <c r="M190" s="67" t="str">
        <f aca="false">IF(F190&lt;&gt;1,"",IF(COUNTIFS($C$5:C190,C190,$F$5:F190,1)=1,1,0))</f>
        <v/>
      </c>
      <c r="N190" s="67" t="str">
        <f aca="false">IF(M190&lt;&gt;1,"",_xlfn.MINIFS($B$5:$B$304,$C$5:$C$304,C190,$F$5:$F$304,1))</f>
        <v/>
      </c>
      <c r="O190" s="67" t="str">
        <f aca="false">IF(M190&lt;&gt;1,"",COUNTIFS($M$5:$M$304,1,$N$5:$N$304,"&lt;"&amp;N190)+1)</f>
        <v/>
      </c>
      <c r="P190" s="68" t="str">
        <f aca="false">IF(OR(B190="",取込チェック!$K$3=0),"",SUMIF(取込チェック!$K$6:$K$505,B190,取込チェック!$L$6:$L$505))</f>
        <v/>
      </c>
      <c r="Q190" s="68" t="str">
        <f aca="false">IF(OR(B190="",取込チェック!$K$3=0),"",SUMIF(取込チェック!$K$6:$K$505,B190,取込チェック!$M$6:$M$505))</f>
        <v/>
      </c>
      <c r="R190" s="68" t="str">
        <f aca="false">IF(P190="","",G190-P190)</f>
        <v/>
      </c>
      <c r="S190" s="68" t="str">
        <f aca="false">IF(Q190="","",I190-Q190)</f>
        <v/>
      </c>
    </row>
    <row r="191" customFormat="false" ht="15" hidden="false" customHeight="false" outlineLevel="0" collapsed="false">
      <c r="A191" s="64" t="str">
        <f aca="false">IF(B191="","",ROW()-4)</f>
        <v/>
      </c>
      <c r="B191" s="65"/>
      <c r="C191" s="65"/>
      <c r="D191" s="65"/>
      <c r="E191" s="66"/>
      <c r="F191" s="67" t="str">
        <f aca="false">IF(B191="","",IF(COUNTIF(取込チェック!$C$6:$C$505,B191)&gt;0,1,0))</f>
        <v/>
      </c>
      <c r="G191" s="68" t="str">
        <f aca="false">IF(B191="","",SUMIF(取込チェック!$C$6:$C$505,B191,取込チェック!$D$6:$D$505))</f>
        <v/>
      </c>
      <c r="H191" s="68" t="str">
        <f aca="false">IF(B191="","",SUMIF(取込チェック!$C$6:$C$505,B191,取込チェック!$E$6:$E$505))</f>
        <v/>
      </c>
      <c r="I191" s="68" t="str">
        <f aca="false">IF(B191="","",SUMIF(取込チェック!$C$6:$C$505,B191,取込チェック!$F$6:$F$505))</f>
        <v/>
      </c>
      <c r="J191" s="69" t="str">
        <f aca="false">IF(F191&lt;&gt;1,"",IF(H191=0,"-",G191/H191))</f>
        <v/>
      </c>
      <c r="K191" s="67" t="str">
        <f aca="false">IF(F191&lt;&gt;1,"",COUNTIFS($E$5:$E$304,E191,$F$5:$F$304,1,$B$5:$B$304,"&lt;"&amp;B191)+1)</f>
        <v/>
      </c>
      <c r="L191" s="67" t="str">
        <f aca="false">IF(K191="","",E191&amp;"|"&amp;K191)</f>
        <v/>
      </c>
      <c r="M191" s="67" t="str">
        <f aca="false">IF(F191&lt;&gt;1,"",IF(COUNTIFS($C$5:C191,C191,$F$5:F191,1)=1,1,0))</f>
        <v/>
      </c>
      <c r="N191" s="67" t="str">
        <f aca="false">IF(M191&lt;&gt;1,"",_xlfn.MINIFS($B$5:$B$304,$C$5:$C$304,C191,$F$5:$F$304,1))</f>
        <v/>
      </c>
      <c r="O191" s="67" t="str">
        <f aca="false">IF(M191&lt;&gt;1,"",COUNTIFS($M$5:$M$304,1,$N$5:$N$304,"&lt;"&amp;N191)+1)</f>
        <v/>
      </c>
      <c r="P191" s="68" t="str">
        <f aca="false">IF(OR(B191="",取込チェック!$K$3=0),"",SUMIF(取込チェック!$K$6:$K$505,B191,取込チェック!$L$6:$L$505))</f>
        <v/>
      </c>
      <c r="Q191" s="68" t="str">
        <f aca="false">IF(OR(B191="",取込チェック!$K$3=0),"",SUMIF(取込チェック!$K$6:$K$505,B191,取込チェック!$M$6:$M$505))</f>
        <v/>
      </c>
      <c r="R191" s="68" t="str">
        <f aca="false">IF(P191="","",G191-P191)</f>
        <v/>
      </c>
      <c r="S191" s="68" t="str">
        <f aca="false">IF(Q191="","",I191-Q191)</f>
        <v/>
      </c>
    </row>
    <row r="192" customFormat="false" ht="15" hidden="false" customHeight="false" outlineLevel="0" collapsed="false">
      <c r="A192" s="64" t="str">
        <f aca="false">IF(B192="","",ROW()-4)</f>
        <v/>
      </c>
      <c r="B192" s="65"/>
      <c r="C192" s="65"/>
      <c r="D192" s="65"/>
      <c r="E192" s="66"/>
      <c r="F192" s="67" t="str">
        <f aca="false">IF(B192="","",IF(COUNTIF(取込チェック!$C$6:$C$505,B192)&gt;0,1,0))</f>
        <v/>
      </c>
      <c r="G192" s="68" t="str">
        <f aca="false">IF(B192="","",SUMIF(取込チェック!$C$6:$C$505,B192,取込チェック!$D$6:$D$505))</f>
        <v/>
      </c>
      <c r="H192" s="68" t="str">
        <f aca="false">IF(B192="","",SUMIF(取込チェック!$C$6:$C$505,B192,取込チェック!$E$6:$E$505))</f>
        <v/>
      </c>
      <c r="I192" s="68" t="str">
        <f aca="false">IF(B192="","",SUMIF(取込チェック!$C$6:$C$505,B192,取込チェック!$F$6:$F$505))</f>
        <v/>
      </c>
      <c r="J192" s="69" t="str">
        <f aca="false">IF(F192&lt;&gt;1,"",IF(H192=0,"-",G192/H192))</f>
        <v/>
      </c>
      <c r="K192" s="67" t="str">
        <f aca="false">IF(F192&lt;&gt;1,"",COUNTIFS($E$5:$E$304,E192,$F$5:$F$304,1,$B$5:$B$304,"&lt;"&amp;B192)+1)</f>
        <v/>
      </c>
      <c r="L192" s="67" t="str">
        <f aca="false">IF(K192="","",E192&amp;"|"&amp;K192)</f>
        <v/>
      </c>
      <c r="M192" s="67" t="str">
        <f aca="false">IF(F192&lt;&gt;1,"",IF(COUNTIFS($C$5:C192,C192,$F$5:F192,1)=1,1,0))</f>
        <v/>
      </c>
      <c r="N192" s="67" t="str">
        <f aca="false">IF(M192&lt;&gt;1,"",_xlfn.MINIFS($B$5:$B$304,$C$5:$C$304,C192,$F$5:$F$304,1))</f>
        <v/>
      </c>
      <c r="O192" s="67" t="str">
        <f aca="false">IF(M192&lt;&gt;1,"",COUNTIFS($M$5:$M$304,1,$N$5:$N$304,"&lt;"&amp;N192)+1)</f>
        <v/>
      </c>
      <c r="P192" s="68" t="str">
        <f aca="false">IF(OR(B192="",取込チェック!$K$3=0),"",SUMIF(取込チェック!$K$6:$K$505,B192,取込チェック!$L$6:$L$505))</f>
        <v/>
      </c>
      <c r="Q192" s="68" t="str">
        <f aca="false">IF(OR(B192="",取込チェック!$K$3=0),"",SUMIF(取込チェック!$K$6:$K$505,B192,取込チェック!$M$6:$M$505))</f>
        <v/>
      </c>
      <c r="R192" s="68" t="str">
        <f aca="false">IF(P192="","",G192-P192)</f>
        <v/>
      </c>
      <c r="S192" s="68" t="str">
        <f aca="false">IF(Q192="","",I192-Q192)</f>
        <v/>
      </c>
    </row>
    <row r="193" customFormat="false" ht="15" hidden="false" customHeight="false" outlineLevel="0" collapsed="false">
      <c r="A193" s="64" t="str">
        <f aca="false">IF(B193="","",ROW()-4)</f>
        <v/>
      </c>
      <c r="B193" s="65"/>
      <c r="C193" s="65"/>
      <c r="D193" s="65"/>
      <c r="E193" s="66"/>
      <c r="F193" s="67" t="str">
        <f aca="false">IF(B193="","",IF(COUNTIF(取込チェック!$C$6:$C$505,B193)&gt;0,1,0))</f>
        <v/>
      </c>
      <c r="G193" s="68" t="str">
        <f aca="false">IF(B193="","",SUMIF(取込チェック!$C$6:$C$505,B193,取込チェック!$D$6:$D$505))</f>
        <v/>
      </c>
      <c r="H193" s="68" t="str">
        <f aca="false">IF(B193="","",SUMIF(取込チェック!$C$6:$C$505,B193,取込チェック!$E$6:$E$505))</f>
        <v/>
      </c>
      <c r="I193" s="68" t="str">
        <f aca="false">IF(B193="","",SUMIF(取込チェック!$C$6:$C$505,B193,取込チェック!$F$6:$F$505))</f>
        <v/>
      </c>
      <c r="J193" s="69" t="str">
        <f aca="false">IF(F193&lt;&gt;1,"",IF(H193=0,"-",G193/H193))</f>
        <v/>
      </c>
      <c r="K193" s="67" t="str">
        <f aca="false">IF(F193&lt;&gt;1,"",COUNTIFS($E$5:$E$304,E193,$F$5:$F$304,1,$B$5:$B$304,"&lt;"&amp;B193)+1)</f>
        <v/>
      </c>
      <c r="L193" s="67" t="str">
        <f aca="false">IF(K193="","",E193&amp;"|"&amp;K193)</f>
        <v/>
      </c>
      <c r="M193" s="67" t="str">
        <f aca="false">IF(F193&lt;&gt;1,"",IF(COUNTIFS($C$5:C193,C193,$F$5:F193,1)=1,1,0))</f>
        <v/>
      </c>
      <c r="N193" s="67" t="str">
        <f aca="false">IF(M193&lt;&gt;1,"",_xlfn.MINIFS($B$5:$B$304,$C$5:$C$304,C193,$F$5:$F$304,1))</f>
        <v/>
      </c>
      <c r="O193" s="67" t="str">
        <f aca="false">IF(M193&lt;&gt;1,"",COUNTIFS($M$5:$M$304,1,$N$5:$N$304,"&lt;"&amp;N193)+1)</f>
        <v/>
      </c>
      <c r="P193" s="68" t="str">
        <f aca="false">IF(OR(B193="",取込チェック!$K$3=0),"",SUMIF(取込チェック!$K$6:$K$505,B193,取込チェック!$L$6:$L$505))</f>
        <v/>
      </c>
      <c r="Q193" s="68" t="str">
        <f aca="false">IF(OR(B193="",取込チェック!$K$3=0),"",SUMIF(取込チェック!$K$6:$K$505,B193,取込チェック!$M$6:$M$505))</f>
        <v/>
      </c>
      <c r="R193" s="68" t="str">
        <f aca="false">IF(P193="","",G193-P193)</f>
        <v/>
      </c>
      <c r="S193" s="68" t="str">
        <f aca="false">IF(Q193="","",I193-Q193)</f>
        <v/>
      </c>
    </row>
    <row r="194" customFormat="false" ht="15" hidden="false" customHeight="false" outlineLevel="0" collapsed="false">
      <c r="A194" s="64" t="str">
        <f aca="false">IF(B194="","",ROW()-4)</f>
        <v/>
      </c>
      <c r="B194" s="65"/>
      <c r="C194" s="65"/>
      <c r="D194" s="65"/>
      <c r="E194" s="66"/>
      <c r="F194" s="67" t="str">
        <f aca="false">IF(B194="","",IF(COUNTIF(取込チェック!$C$6:$C$505,B194)&gt;0,1,0))</f>
        <v/>
      </c>
      <c r="G194" s="68" t="str">
        <f aca="false">IF(B194="","",SUMIF(取込チェック!$C$6:$C$505,B194,取込チェック!$D$6:$D$505))</f>
        <v/>
      </c>
      <c r="H194" s="68" t="str">
        <f aca="false">IF(B194="","",SUMIF(取込チェック!$C$6:$C$505,B194,取込チェック!$E$6:$E$505))</f>
        <v/>
      </c>
      <c r="I194" s="68" t="str">
        <f aca="false">IF(B194="","",SUMIF(取込チェック!$C$6:$C$505,B194,取込チェック!$F$6:$F$505))</f>
        <v/>
      </c>
      <c r="J194" s="69" t="str">
        <f aca="false">IF(F194&lt;&gt;1,"",IF(H194=0,"-",G194/H194))</f>
        <v/>
      </c>
      <c r="K194" s="67" t="str">
        <f aca="false">IF(F194&lt;&gt;1,"",COUNTIFS($E$5:$E$304,E194,$F$5:$F$304,1,$B$5:$B$304,"&lt;"&amp;B194)+1)</f>
        <v/>
      </c>
      <c r="L194" s="67" t="str">
        <f aca="false">IF(K194="","",E194&amp;"|"&amp;K194)</f>
        <v/>
      </c>
      <c r="M194" s="67" t="str">
        <f aca="false">IF(F194&lt;&gt;1,"",IF(COUNTIFS($C$5:C194,C194,$F$5:F194,1)=1,1,0))</f>
        <v/>
      </c>
      <c r="N194" s="67" t="str">
        <f aca="false">IF(M194&lt;&gt;1,"",_xlfn.MINIFS($B$5:$B$304,$C$5:$C$304,C194,$F$5:$F$304,1))</f>
        <v/>
      </c>
      <c r="O194" s="67" t="str">
        <f aca="false">IF(M194&lt;&gt;1,"",COUNTIFS($M$5:$M$304,1,$N$5:$N$304,"&lt;"&amp;N194)+1)</f>
        <v/>
      </c>
      <c r="P194" s="68" t="str">
        <f aca="false">IF(OR(B194="",取込チェック!$K$3=0),"",SUMIF(取込チェック!$K$6:$K$505,B194,取込チェック!$L$6:$L$505))</f>
        <v/>
      </c>
      <c r="Q194" s="68" t="str">
        <f aca="false">IF(OR(B194="",取込チェック!$K$3=0),"",SUMIF(取込チェック!$K$6:$K$505,B194,取込チェック!$M$6:$M$505))</f>
        <v/>
      </c>
      <c r="R194" s="68" t="str">
        <f aca="false">IF(P194="","",G194-P194)</f>
        <v/>
      </c>
      <c r="S194" s="68" t="str">
        <f aca="false">IF(Q194="","",I194-Q194)</f>
        <v/>
      </c>
    </row>
    <row r="195" customFormat="false" ht="15" hidden="false" customHeight="false" outlineLevel="0" collapsed="false">
      <c r="A195" s="64" t="str">
        <f aca="false">IF(B195="","",ROW()-4)</f>
        <v/>
      </c>
      <c r="B195" s="65"/>
      <c r="C195" s="65"/>
      <c r="D195" s="65"/>
      <c r="E195" s="66"/>
      <c r="F195" s="67" t="str">
        <f aca="false">IF(B195="","",IF(COUNTIF(取込チェック!$C$6:$C$505,B195)&gt;0,1,0))</f>
        <v/>
      </c>
      <c r="G195" s="68" t="str">
        <f aca="false">IF(B195="","",SUMIF(取込チェック!$C$6:$C$505,B195,取込チェック!$D$6:$D$505))</f>
        <v/>
      </c>
      <c r="H195" s="68" t="str">
        <f aca="false">IF(B195="","",SUMIF(取込チェック!$C$6:$C$505,B195,取込チェック!$E$6:$E$505))</f>
        <v/>
      </c>
      <c r="I195" s="68" t="str">
        <f aca="false">IF(B195="","",SUMIF(取込チェック!$C$6:$C$505,B195,取込チェック!$F$6:$F$505))</f>
        <v/>
      </c>
      <c r="J195" s="69" t="str">
        <f aca="false">IF(F195&lt;&gt;1,"",IF(H195=0,"-",G195/H195))</f>
        <v/>
      </c>
      <c r="K195" s="67" t="str">
        <f aca="false">IF(F195&lt;&gt;1,"",COUNTIFS($E$5:$E$304,E195,$F$5:$F$304,1,$B$5:$B$304,"&lt;"&amp;B195)+1)</f>
        <v/>
      </c>
      <c r="L195" s="67" t="str">
        <f aca="false">IF(K195="","",E195&amp;"|"&amp;K195)</f>
        <v/>
      </c>
      <c r="M195" s="67" t="str">
        <f aca="false">IF(F195&lt;&gt;1,"",IF(COUNTIFS($C$5:C195,C195,$F$5:F195,1)=1,1,0))</f>
        <v/>
      </c>
      <c r="N195" s="67" t="str">
        <f aca="false">IF(M195&lt;&gt;1,"",_xlfn.MINIFS($B$5:$B$304,$C$5:$C$304,C195,$F$5:$F$304,1))</f>
        <v/>
      </c>
      <c r="O195" s="67" t="str">
        <f aca="false">IF(M195&lt;&gt;1,"",COUNTIFS($M$5:$M$304,1,$N$5:$N$304,"&lt;"&amp;N195)+1)</f>
        <v/>
      </c>
      <c r="P195" s="68" t="str">
        <f aca="false">IF(OR(B195="",取込チェック!$K$3=0),"",SUMIF(取込チェック!$K$6:$K$505,B195,取込チェック!$L$6:$L$505))</f>
        <v/>
      </c>
      <c r="Q195" s="68" t="str">
        <f aca="false">IF(OR(B195="",取込チェック!$K$3=0),"",SUMIF(取込チェック!$K$6:$K$505,B195,取込チェック!$M$6:$M$505))</f>
        <v/>
      </c>
      <c r="R195" s="68" t="str">
        <f aca="false">IF(P195="","",G195-P195)</f>
        <v/>
      </c>
      <c r="S195" s="68" t="str">
        <f aca="false">IF(Q195="","",I195-Q195)</f>
        <v/>
      </c>
    </row>
    <row r="196" customFormat="false" ht="15" hidden="false" customHeight="false" outlineLevel="0" collapsed="false">
      <c r="A196" s="64" t="str">
        <f aca="false">IF(B196="","",ROW()-4)</f>
        <v/>
      </c>
      <c r="B196" s="65"/>
      <c r="C196" s="65"/>
      <c r="D196" s="65"/>
      <c r="E196" s="66"/>
      <c r="F196" s="67" t="str">
        <f aca="false">IF(B196="","",IF(COUNTIF(取込チェック!$C$6:$C$505,B196)&gt;0,1,0))</f>
        <v/>
      </c>
      <c r="G196" s="68" t="str">
        <f aca="false">IF(B196="","",SUMIF(取込チェック!$C$6:$C$505,B196,取込チェック!$D$6:$D$505))</f>
        <v/>
      </c>
      <c r="H196" s="68" t="str">
        <f aca="false">IF(B196="","",SUMIF(取込チェック!$C$6:$C$505,B196,取込チェック!$E$6:$E$505))</f>
        <v/>
      </c>
      <c r="I196" s="68" t="str">
        <f aca="false">IF(B196="","",SUMIF(取込チェック!$C$6:$C$505,B196,取込チェック!$F$6:$F$505))</f>
        <v/>
      </c>
      <c r="J196" s="69" t="str">
        <f aca="false">IF(F196&lt;&gt;1,"",IF(H196=0,"-",G196/H196))</f>
        <v/>
      </c>
      <c r="K196" s="67" t="str">
        <f aca="false">IF(F196&lt;&gt;1,"",COUNTIFS($E$5:$E$304,E196,$F$5:$F$304,1,$B$5:$B$304,"&lt;"&amp;B196)+1)</f>
        <v/>
      </c>
      <c r="L196" s="67" t="str">
        <f aca="false">IF(K196="","",E196&amp;"|"&amp;K196)</f>
        <v/>
      </c>
      <c r="M196" s="67" t="str">
        <f aca="false">IF(F196&lt;&gt;1,"",IF(COUNTIFS($C$5:C196,C196,$F$5:F196,1)=1,1,0))</f>
        <v/>
      </c>
      <c r="N196" s="67" t="str">
        <f aca="false">IF(M196&lt;&gt;1,"",_xlfn.MINIFS($B$5:$B$304,$C$5:$C$304,C196,$F$5:$F$304,1))</f>
        <v/>
      </c>
      <c r="O196" s="67" t="str">
        <f aca="false">IF(M196&lt;&gt;1,"",COUNTIFS($M$5:$M$304,1,$N$5:$N$304,"&lt;"&amp;N196)+1)</f>
        <v/>
      </c>
      <c r="P196" s="68" t="str">
        <f aca="false">IF(OR(B196="",取込チェック!$K$3=0),"",SUMIF(取込チェック!$K$6:$K$505,B196,取込チェック!$L$6:$L$505))</f>
        <v/>
      </c>
      <c r="Q196" s="68" t="str">
        <f aca="false">IF(OR(B196="",取込チェック!$K$3=0),"",SUMIF(取込チェック!$K$6:$K$505,B196,取込チェック!$M$6:$M$505))</f>
        <v/>
      </c>
      <c r="R196" s="68" t="str">
        <f aca="false">IF(P196="","",G196-P196)</f>
        <v/>
      </c>
      <c r="S196" s="68" t="str">
        <f aca="false">IF(Q196="","",I196-Q196)</f>
        <v/>
      </c>
    </row>
    <row r="197" customFormat="false" ht="15" hidden="false" customHeight="false" outlineLevel="0" collapsed="false">
      <c r="A197" s="64" t="str">
        <f aca="false">IF(B197="","",ROW()-4)</f>
        <v/>
      </c>
      <c r="B197" s="65"/>
      <c r="C197" s="65"/>
      <c r="D197" s="65"/>
      <c r="E197" s="66"/>
      <c r="F197" s="67" t="str">
        <f aca="false">IF(B197="","",IF(COUNTIF(取込チェック!$C$6:$C$505,B197)&gt;0,1,0))</f>
        <v/>
      </c>
      <c r="G197" s="68" t="str">
        <f aca="false">IF(B197="","",SUMIF(取込チェック!$C$6:$C$505,B197,取込チェック!$D$6:$D$505))</f>
        <v/>
      </c>
      <c r="H197" s="68" t="str">
        <f aca="false">IF(B197="","",SUMIF(取込チェック!$C$6:$C$505,B197,取込チェック!$E$6:$E$505))</f>
        <v/>
      </c>
      <c r="I197" s="68" t="str">
        <f aca="false">IF(B197="","",SUMIF(取込チェック!$C$6:$C$505,B197,取込チェック!$F$6:$F$505))</f>
        <v/>
      </c>
      <c r="J197" s="69" t="str">
        <f aca="false">IF(F197&lt;&gt;1,"",IF(H197=0,"-",G197/H197))</f>
        <v/>
      </c>
      <c r="K197" s="67" t="str">
        <f aca="false">IF(F197&lt;&gt;1,"",COUNTIFS($E$5:$E$304,E197,$F$5:$F$304,1,$B$5:$B$304,"&lt;"&amp;B197)+1)</f>
        <v/>
      </c>
      <c r="L197" s="67" t="str">
        <f aca="false">IF(K197="","",E197&amp;"|"&amp;K197)</f>
        <v/>
      </c>
      <c r="M197" s="67" t="str">
        <f aca="false">IF(F197&lt;&gt;1,"",IF(COUNTIFS($C$5:C197,C197,$F$5:F197,1)=1,1,0))</f>
        <v/>
      </c>
      <c r="N197" s="67" t="str">
        <f aca="false">IF(M197&lt;&gt;1,"",_xlfn.MINIFS($B$5:$B$304,$C$5:$C$304,C197,$F$5:$F$304,1))</f>
        <v/>
      </c>
      <c r="O197" s="67" t="str">
        <f aca="false">IF(M197&lt;&gt;1,"",COUNTIFS($M$5:$M$304,1,$N$5:$N$304,"&lt;"&amp;N197)+1)</f>
        <v/>
      </c>
      <c r="P197" s="68" t="str">
        <f aca="false">IF(OR(B197="",取込チェック!$K$3=0),"",SUMIF(取込チェック!$K$6:$K$505,B197,取込チェック!$L$6:$L$505))</f>
        <v/>
      </c>
      <c r="Q197" s="68" t="str">
        <f aca="false">IF(OR(B197="",取込チェック!$K$3=0),"",SUMIF(取込チェック!$K$6:$K$505,B197,取込チェック!$M$6:$M$505))</f>
        <v/>
      </c>
      <c r="R197" s="68" t="str">
        <f aca="false">IF(P197="","",G197-P197)</f>
        <v/>
      </c>
      <c r="S197" s="68" t="str">
        <f aca="false">IF(Q197="","",I197-Q197)</f>
        <v/>
      </c>
    </row>
    <row r="198" customFormat="false" ht="15" hidden="false" customHeight="false" outlineLevel="0" collapsed="false">
      <c r="A198" s="64" t="str">
        <f aca="false">IF(B198="","",ROW()-4)</f>
        <v/>
      </c>
      <c r="B198" s="65"/>
      <c r="C198" s="65"/>
      <c r="D198" s="65"/>
      <c r="E198" s="66"/>
      <c r="F198" s="67" t="str">
        <f aca="false">IF(B198="","",IF(COUNTIF(取込チェック!$C$6:$C$505,B198)&gt;0,1,0))</f>
        <v/>
      </c>
      <c r="G198" s="68" t="str">
        <f aca="false">IF(B198="","",SUMIF(取込チェック!$C$6:$C$505,B198,取込チェック!$D$6:$D$505))</f>
        <v/>
      </c>
      <c r="H198" s="68" t="str">
        <f aca="false">IF(B198="","",SUMIF(取込チェック!$C$6:$C$505,B198,取込チェック!$E$6:$E$505))</f>
        <v/>
      </c>
      <c r="I198" s="68" t="str">
        <f aca="false">IF(B198="","",SUMIF(取込チェック!$C$6:$C$505,B198,取込チェック!$F$6:$F$505))</f>
        <v/>
      </c>
      <c r="J198" s="69" t="str">
        <f aca="false">IF(F198&lt;&gt;1,"",IF(H198=0,"-",G198/H198))</f>
        <v/>
      </c>
      <c r="K198" s="67" t="str">
        <f aca="false">IF(F198&lt;&gt;1,"",COUNTIFS($E$5:$E$304,E198,$F$5:$F$304,1,$B$5:$B$304,"&lt;"&amp;B198)+1)</f>
        <v/>
      </c>
      <c r="L198" s="67" t="str">
        <f aca="false">IF(K198="","",E198&amp;"|"&amp;K198)</f>
        <v/>
      </c>
      <c r="M198" s="67" t="str">
        <f aca="false">IF(F198&lt;&gt;1,"",IF(COUNTIFS($C$5:C198,C198,$F$5:F198,1)=1,1,0))</f>
        <v/>
      </c>
      <c r="N198" s="67" t="str">
        <f aca="false">IF(M198&lt;&gt;1,"",_xlfn.MINIFS($B$5:$B$304,$C$5:$C$304,C198,$F$5:$F$304,1))</f>
        <v/>
      </c>
      <c r="O198" s="67" t="str">
        <f aca="false">IF(M198&lt;&gt;1,"",COUNTIFS($M$5:$M$304,1,$N$5:$N$304,"&lt;"&amp;N198)+1)</f>
        <v/>
      </c>
      <c r="P198" s="68" t="str">
        <f aca="false">IF(OR(B198="",取込チェック!$K$3=0),"",SUMIF(取込チェック!$K$6:$K$505,B198,取込チェック!$L$6:$L$505))</f>
        <v/>
      </c>
      <c r="Q198" s="68" t="str">
        <f aca="false">IF(OR(B198="",取込チェック!$K$3=0),"",SUMIF(取込チェック!$K$6:$K$505,B198,取込チェック!$M$6:$M$505))</f>
        <v/>
      </c>
      <c r="R198" s="68" t="str">
        <f aca="false">IF(P198="","",G198-P198)</f>
        <v/>
      </c>
      <c r="S198" s="68" t="str">
        <f aca="false">IF(Q198="","",I198-Q198)</f>
        <v/>
      </c>
    </row>
    <row r="199" customFormat="false" ht="15" hidden="false" customHeight="false" outlineLevel="0" collapsed="false">
      <c r="A199" s="64" t="str">
        <f aca="false">IF(B199="","",ROW()-4)</f>
        <v/>
      </c>
      <c r="B199" s="65"/>
      <c r="C199" s="65"/>
      <c r="D199" s="65"/>
      <c r="E199" s="66"/>
      <c r="F199" s="67" t="str">
        <f aca="false">IF(B199="","",IF(COUNTIF(取込チェック!$C$6:$C$505,B199)&gt;0,1,0))</f>
        <v/>
      </c>
      <c r="G199" s="68" t="str">
        <f aca="false">IF(B199="","",SUMIF(取込チェック!$C$6:$C$505,B199,取込チェック!$D$6:$D$505))</f>
        <v/>
      </c>
      <c r="H199" s="68" t="str">
        <f aca="false">IF(B199="","",SUMIF(取込チェック!$C$6:$C$505,B199,取込チェック!$E$6:$E$505))</f>
        <v/>
      </c>
      <c r="I199" s="68" t="str">
        <f aca="false">IF(B199="","",SUMIF(取込チェック!$C$6:$C$505,B199,取込チェック!$F$6:$F$505))</f>
        <v/>
      </c>
      <c r="J199" s="69" t="str">
        <f aca="false">IF(F199&lt;&gt;1,"",IF(H199=0,"-",G199/H199))</f>
        <v/>
      </c>
      <c r="K199" s="67" t="str">
        <f aca="false">IF(F199&lt;&gt;1,"",COUNTIFS($E$5:$E$304,E199,$F$5:$F$304,1,$B$5:$B$304,"&lt;"&amp;B199)+1)</f>
        <v/>
      </c>
      <c r="L199" s="67" t="str">
        <f aca="false">IF(K199="","",E199&amp;"|"&amp;K199)</f>
        <v/>
      </c>
      <c r="M199" s="67" t="str">
        <f aca="false">IF(F199&lt;&gt;1,"",IF(COUNTIFS($C$5:C199,C199,$F$5:F199,1)=1,1,0))</f>
        <v/>
      </c>
      <c r="N199" s="67" t="str">
        <f aca="false">IF(M199&lt;&gt;1,"",_xlfn.MINIFS($B$5:$B$304,$C$5:$C$304,C199,$F$5:$F$304,1))</f>
        <v/>
      </c>
      <c r="O199" s="67" t="str">
        <f aca="false">IF(M199&lt;&gt;1,"",COUNTIFS($M$5:$M$304,1,$N$5:$N$304,"&lt;"&amp;N199)+1)</f>
        <v/>
      </c>
      <c r="P199" s="68" t="str">
        <f aca="false">IF(OR(B199="",取込チェック!$K$3=0),"",SUMIF(取込チェック!$K$6:$K$505,B199,取込チェック!$L$6:$L$505))</f>
        <v/>
      </c>
      <c r="Q199" s="68" t="str">
        <f aca="false">IF(OR(B199="",取込チェック!$K$3=0),"",SUMIF(取込チェック!$K$6:$K$505,B199,取込チェック!$M$6:$M$505))</f>
        <v/>
      </c>
      <c r="R199" s="68" t="str">
        <f aca="false">IF(P199="","",G199-P199)</f>
        <v/>
      </c>
      <c r="S199" s="68" t="str">
        <f aca="false">IF(Q199="","",I199-Q199)</f>
        <v/>
      </c>
    </row>
    <row r="200" customFormat="false" ht="15" hidden="false" customHeight="false" outlineLevel="0" collapsed="false">
      <c r="A200" s="64" t="str">
        <f aca="false">IF(B200="","",ROW()-4)</f>
        <v/>
      </c>
      <c r="B200" s="65"/>
      <c r="C200" s="65"/>
      <c r="D200" s="65"/>
      <c r="E200" s="66"/>
      <c r="F200" s="67" t="str">
        <f aca="false">IF(B200="","",IF(COUNTIF(取込チェック!$C$6:$C$505,B200)&gt;0,1,0))</f>
        <v/>
      </c>
      <c r="G200" s="68" t="str">
        <f aca="false">IF(B200="","",SUMIF(取込チェック!$C$6:$C$505,B200,取込チェック!$D$6:$D$505))</f>
        <v/>
      </c>
      <c r="H200" s="68" t="str">
        <f aca="false">IF(B200="","",SUMIF(取込チェック!$C$6:$C$505,B200,取込チェック!$E$6:$E$505))</f>
        <v/>
      </c>
      <c r="I200" s="68" t="str">
        <f aca="false">IF(B200="","",SUMIF(取込チェック!$C$6:$C$505,B200,取込チェック!$F$6:$F$505))</f>
        <v/>
      </c>
      <c r="J200" s="69" t="str">
        <f aca="false">IF(F200&lt;&gt;1,"",IF(H200=0,"-",G200/H200))</f>
        <v/>
      </c>
      <c r="K200" s="67" t="str">
        <f aca="false">IF(F200&lt;&gt;1,"",COUNTIFS($E$5:$E$304,E200,$F$5:$F$304,1,$B$5:$B$304,"&lt;"&amp;B200)+1)</f>
        <v/>
      </c>
      <c r="L200" s="67" t="str">
        <f aca="false">IF(K200="","",E200&amp;"|"&amp;K200)</f>
        <v/>
      </c>
      <c r="M200" s="67" t="str">
        <f aca="false">IF(F200&lt;&gt;1,"",IF(COUNTIFS($C$5:C200,C200,$F$5:F200,1)=1,1,0))</f>
        <v/>
      </c>
      <c r="N200" s="67" t="str">
        <f aca="false">IF(M200&lt;&gt;1,"",_xlfn.MINIFS($B$5:$B$304,$C$5:$C$304,C200,$F$5:$F$304,1))</f>
        <v/>
      </c>
      <c r="O200" s="67" t="str">
        <f aca="false">IF(M200&lt;&gt;1,"",COUNTIFS($M$5:$M$304,1,$N$5:$N$304,"&lt;"&amp;N200)+1)</f>
        <v/>
      </c>
      <c r="P200" s="68" t="str">
        <f aca="false">IF(OR(B200="",取込チェック!$K$3=0),"",SUMIF(取込チェック!$K$6:$K$505,B200,取込チェック!$L$6:$L$505))</f>
        <v/>
      </c>
      <c r="Q200" s="68" t="str">
        <f aca="false">IF(OR(B200="",取込チェック!$K$3=0),"",SUMIF(取込チェック!$K$6:$K$505,B200,取込チェック!$M$6:$M$505))</f>
        <v/>
      </c>
      <c r="R200" s="68" t="str">
        <f aca="false">IF(P200="","",G200-P200)</f>
        <v/>
      </c>
      <c r="S200" s="68" t="str">
        <f aca="false">IF(Q200="","",I200-Q200)</f>
        <v/>
      </c>
    </row>
    <row r="201" customFormat="false" ht="15" hidden="false" customHeight="false" outlineLevel="0" collapsed="false">
      <c r="A201" s="64" t="str">
        <f aca="false">IF(B201="","",ROW()-4)</f>
        <v/>
      </c>
      <c r="B201" s="65"/>
      <c r="C201" s="65"/>
      <c r="D201" s="65"/>
      <c r="E201" s="66"/>
      <c r="F201" s="67" t="str">
        <f aca="false">IF(B201="","",IF(COUNTIF(取込チェック!$C$6:$C$505,B201)&gt;0,1,0))</f>
        <v/>
      </c>
      <c r="G201" s="68" t="str">
        <f aca="false">IF(B201="","",SUMIF(取込チェック!$C$6:$C$505,B201,取込チェック!$D$6:$D$505))</f>
        <v/>
      </c>
      <c r="H201" s="68" t="str">
        <f aca="false">IF(B201="","",SUMIF(取込チェック!$C$6:$C$505,B201,取込チェック!$E$6:$E$505))</f>
        <v/>
      </c>
      <c r="I201" s="68" t="str">
        <f aca="false">IF(B201="","",SUMIF(取込チェック!$C$6:$C$505,B201,取込チェック!$F$6:$F$505))</f>
        <v/>
      </c>
      <c r="J201" s="69" t="str">
        <f aca="false">IF(F201&lt;&gt;1,"",IF(H201=0,"-",G201/H201))</f>
        <v/>
      </c>
      <c r="K201" s="67" t="str">
        <f aca="false">IF(F201&lt;&gt;1,"",COUNTIFS($E$5:$E$304,E201,$F$5:$F$304,1,$B$5:$B$304,"&lt;"&amp;B201)+1)</f>
        <v/>
      </c>
      <c r="L201" s="67" t="str">
        <f aca="false">IF(K201="","",E201&amp;"|"&amp;K201)</f>
        <v/>
      </c>
      <c r="M201" s="67" t="str">
        <f aca="false">IF(F201&lt;&gt;1,"",IF(COUNTIFS($C$5:C201,C201,$F$5:F201,1)=1,1,0))</f>
        <v/>
      </c>
      <c r="N201" s="67" t="str">
        <f aca="false">IF(M201&lt;&gt;1,"",_xlfn.MINIFS($B$5:$B$304,$C$5:$C$304,C201,$F$5:$F$304,1))</f>
        <v/>
      </c>
      <c r="O201" s="67" t="str">
        <f aca="false">IF(M201&lt;&gt;1,"",COUNTIFS($M$5:$M$304,1,$N$5:$N$304,"&lt;"&amp;N201)+1)</f>
        <v/>
      </c>
      <c r="P201" s="68" t="str">
        <f aca="false">IF(OR(B201="",取込チェック!$K$3=0),"",SUMIF(取込チェック!$K$6:$K$505,B201,取込チェック!$L$6:$L$505))</f>
        <v/>
      </c>
      <c r="Q201" s="68" t="str">
        <f aca="false">IF(OR(B201="",取込チェック!$K$3=0),"",SUMIF(取込チェック!$K$6:$K$505,B201,取込チェック!$M$6:$M$505))</f>
        <v/>
      </c>
      <c r="R201" s="68" t="str">
        <f aca="false">IF(P201="","",G201-P201)</f>
        <v/>
      </c>
      <c r="S201" s="68" t="str">
        <f aca="false">IF(Q201="","",I201-Q201)</f>
        <v/>
      </c>
    </row>
    <row r="202" customFormat="false" ht="15" hidden="false" customHeight="false" outlineLevel="0" collapsed="false">
      <c r="A202" s="64" t="str">
        <f aca="false">IF(B202="","",ROW()-4)</f>
        <v/>
      </c>
      <c r="B202" s="65"/>
      <c r="C202" s="65"/>
      <c r="D202" s="65"/>
      <c r="E202" s="66"/>
      <c r="F202" s="67" t="str">
        <f aca="false">IF(B202="","",IF(COUNTIF(取込チェック!$C$6:$C$505,B202)&gt;0,1,0))</f>
        <v/>
      </c>
      <c r="G202" s="68" t="str">
        <f aca="false">IF(B202="","",SUMIF(取込チェック!$C$6:$C$505,B202,取込チェック!$D$6:$D$505))</f>
        <v/>
      </c>
      <c r="H202" s="68" t="str">
        <f aca="false">IF(B202="","",SUMIF(取込チェック!$C$6:$C$505,B202,取込チェック!$E$6:$E$505))</f>
        <v/>
      </c>
      <c r="I202" s="68" t="str">
        <f aca="false">IF(B202="","",SUMIF(取込チェック!$C$6:$C$505,B202,取込チェック!$F$6:$F$505))</f>
        <v/>
      </c>
      <c r="J202" s="69" t="str">
        <f aca="false">IF(F202&lt;&gt;1,"",IF(H202=0,"-",G202/H202))</f>
        <v/>
      </c>
      <c r="K202" s="67" t="str">
        <f aca="false">IF(F202&lt;&gt;1,"",COUNTIFS($E$5:$E$304,E202,$F$5:$F$304,1,$B$5:$B$304,"&lt;"&amp;B202)+1)</f>
        <v/>
      </c>
      <c r="L202" s="67" t="str">
        <f aca="false">IF(K202="","",E202&amp;"|"&amp;K202)</f>
        <v/>
      </c>
      <c r="M202" s="67" t="str">
        <f aca="false">IF(F202&lt;&gt;1,"",IF(COUNTIFS($C$5:C202,C202,$F$5:F202,1)=1,1,0))</f>
        <v/>
      </c>
      <c r="N202" s="67" t="str">
        <f aca="false">IF(M202&lt;&gt;1,"",_xlfn.MINIFS($B$5:$B$304,$C$5:$C$304,C202,$F$5:$F$304,1))</f>
        <v/>
      </c>
      <c r="O202" s="67" t="str">
        <f aca="false">IF(M202&lt;&gt;1,"",COUNTIFS($M$5:$M$304,1,$N$5:$N$304,"&lt;"&amp;N202)+1)</f>
        <v/>
      </c>
      <c r="P202" s="68" t="str">
        <f aca="false">IF(OR(B202="",取込チェック!$K$3=0),"",SUMIF(取込チェック!$K$6:$K$505,B202,取込チェック!$L$6:$L$505))</f>
        <v/>
      </c>
      <c r="Q202" s="68" t="str">
        <f aca="false">IF(OR(B202="",取込チェック!$K$3=0),"",SUMIF(取込チェック!$K$6:$K$505,B202,取込チェック!$M$6:$M$505))</f>
        <v/>
      </c>
      <c r="R202" s="68" t="str">
        <f aca="false">IF(P202="","",G202-P202)</f>
        <v/>
      </c>
      <c r="S202" s="68" t="str">
        <f aca="false">IF(Q202="","",I202-Q202)</f>
        <v/>
      </c>
    </row>
    <row r="203" customFormat="false" ht="15" hidden="false" customHeight="false" outlineLevel="0" collapsed="false">
      <c r="A203" s="64" t="str">
        <f aca="false">IF(B203="","",ROW()-4)</f>
        <v/>
      </c>
      <c r="B203" s="65"/>
      <c r="C203" s="65"/>
      <c r="D203" s="65"/>
      <c r="E203" s="66"/>
      <c r="F203" s="67" t="str">
        <f aca="false">IF(B203="","",IF(COUNTIF(取込チェック!$C$6:$C$505,B203)&gt;0,1,0))</f>
        <v/>
      </c>
      <c r="G203" s="68" t="str">
        <f aca="false">IF(B203="","",SUMIF(取込チェック!$C$6:$C$505,B203,取込チェック!$D$6:$D$505))</f>
        <v/>
      </c>
      <c r="H203" s="68" t="str">
        <f aca="false">IF(B203="","",SUMIF(取込チェック!$C$6:$C$505,B203,取込チェック!$E$6:$E$505))</f>
        <v/>
      </c>
      <c r="I203" s="68" t="str">
        <f aca="false">IF(B203="","",SUMIF(取込チェック!$C$6:$C$505,B203,取込チェック!$F$6:$F$505))</f>
        <v/>
      </c>
      <c r="J203" s="69" t="str">
        <f aca="false">IF(F203&lt;&gt;1,"",IF(H203=0,"-",G203/H203))</f>
        <v/>
      </c>
      <c r="K203" s="67" t="str">
        <f aca="false">IF(F203&lt;&gt;1,"",COUNTIFS($E$5:$E$304,E203,$F$5:$F$304,1,$B$5:$B$304,"&lt;"&amp;B203)+1)</f>
        <v/>
      </c>
      <c r="L203" s="67" t="str">
        <f aca="false">IF(K203="","",E203&amp;"|"&amp;K203)</f>
        <v/>
      </c>
      <c r="M203" s="67" t="str">
        <f aca="false">IF(F203&lt;&gt;1,"",IF(COUNTIFS($C$5:C203,C203,$F$5:F203,1)=1,1,0))</f>
        <v/>
      </c>
      <c r="N203" s="67" t="str">
        <f aca="false">IF(M203&lt;&gt;1,"",_xlfn.MINIFS($B$5:$B$304,$C$5:$C$304,C203,$F$5:$F$304,1))</f>
        <v/>
      </c>
      <c r="O203" s="67" t="str">
        <f aca="false">IF(M203&lt;&gt;1,"",COUNTIFS($M$5:$M$304,1,$N$5:$N$304,"&lt;"&amp;N203)+1)</f>
        <v/>
      </c>
      <c r="P203" s="68" t="str">
        <f aca="false">IF(OR(B203="",取込チェック!$K$3=0),"",SUMIF(取込チェック!$K$6:$K$505,B203,取込チェック!$L$6:$L$505))</f>
        <v/>
      </c>
      <c r="Q203" s="68" t="str">
        <f aca="false">IF(OR(B203="",取込チェック!$K$3=0),"",SUMIF(取込チェック!$K$6:$K$505,B203,取込チェック!$M$6:$M$505))</f>
        <v/>
      </c>
      <c r="R203" s="68" t="str">
        <f aca="false">IF(P203="","",G203-P203)</f>
        <v/>
      </c>
      <c r="S203" s="68" t="str">
        <f aca="false">IF(Q203="","",I203-Q203)</f>
        <v/>
      </c>
    </row>
    <row r="204" customFormat="false" ht="15" hidden="false" customHeight="false" outlineLevel="0" collapsed="false">
      <c r="A204" s="64" t="str">
        <f aca="false">IF(B204="","",ROW()-4)</f>
        <v/>
      </c>
      <c r="B204" s="65"/>
      <c r="C204" s="65"/>
      <c r="D204" s="65"/>
      <c r="E204" s="66"/>
      <c r="F204" s="67" t="str">
        <f aca="false">IF(B204="","",IF(COUNTIF(取込チェック!$C$6:$C$505,B204)&gt;0,1,0))</f>
        <v/>
      </c>
      <c r="G204" s="68" t="str">
        <f aca="false">IF(B204="","",SUMIF(取込チェック!$C$6:$C$505,B204,取込チェック!$D$6:$D$505))</f>
        <v/>
      </c>
      <c r="H204" s="68" t="str">
        <f aca="false">IF(B204="","",SUMIF(取込チェック!$C$6:$C$505,B204,取込チェック!$E$6:$E$505))</f>
        <v/>
      </c>
      <c r="I204" s="68" t="str">
        <f aca="false">IF(B204="","",SUMIF(取込チェック!$C$6:$C$505,B204,取込チェック!$F$6:$F$505))</f>
        <v/>
      </c>
      <c r="J204" s="69" t="str">
        <f aca="false">IF(F204&lt;&gt;1,"",IF(H204=0,"-",G204/H204))</f>
        <v/>
      </c>
      <c r="K204" s="67" t="str">
        <f aca="false">IF(F204&lt;&gt;1,"",COUNTIFS($E$5:$E$304,E204,$F$5:$F$304,1,$B$5:$B$304,"&lt;"&amp;B204)+1)</f>
        <v/>
      </c>
      <c r="L204" s="67" t="str">
        <f aca="false">IF(K204="","",E204&amp;"|"&amp;K204)</f>
        <v/>
      </c>
      <c r="M204" s="67" t="str">
        <f aca="false">IF(F204&lt;&gt;1,"",IF(COUNTIFS($C$5:C204,C204,$F$5:F204,1)=1,1,0))</f>
        <v/>
      </c>
      <c r="N204" s="67" t="str">
        <f aca="false">IF(M204&lt;&gt;1,"",_xlfn.MINIFS($B$5:$B$304,$C$5:$C$304,C204,$F$5:$F$304,1))</f>
        <v/>
      </c>
      <c r="O204" s="67" t="str">
        <f aca="false">IF(M204&lt;&gt;1,"",COUNTIFS($M$5:$M$304,1,$N$5:$N$304,"&lt;"&amp;N204)+1)</f>
        <v/>
      </c>
      <c r="P204" s="68" t="str">
        <f aca="false">IF(OR(B204="",取込チェック!$K$3=0),"",SUMIF(取込チェック!$K$6:$K$505,B204,取込チェック!$L$6:$L$505))</f>
        <v/>
      </c>
      <c r="Q204" s="68" t="str">
        <f aca="false">IF(OR(B204="",取込チェック!$K$3=0),"",SUMIF(取込チェック!$K$6:$K$505,B204,取込チェック!$M$6:$M$505))</f>
        <v/>
      </c>
      <c r="R204" s="68" t="str">
        <f aca="false">IF(P204="","",G204-P204)</f>
        <v/>
      </c>
      <c r="S204" s="68" t="str">
        <f aca="false">IF(Q204="","",I204-Q204)</f>
        <v/>
      </c>
    </row>
    <row r="205" customFormat="false" ht="15" hidden="false" customHeight="false" outlineLevel="0" collapsed="false">
      <c r="A205" s="64" t="str">
        <f aca="false">IF(B205="","",ROW()-4)</f>
        <v/>
      </c>
      <c r="B205" s="65"/>
      <c r="C205" s="65"/>
      <c r="D205" s="65"/>
      <c r="E205" s="66"/>
      <c r="F205" s="67" t="str">
        <f aca="false">IF(B205="","",IF(COUNTIF(取込チェック!$C$6:$C$505,B205)&gt;0,1,0))</f>
        <v/>
      </c>
      <c r="G205" s="68" t="str">
        <f aca="false">IF(B205="","",SUMIF(取込チェック!$C$6:$C$505,B205,取込チェック!$D$6:$D$505))</f>
        <v/>
      </c>
      <c r="H205" s="68" t="str">
        <f aca="false">IF(B205="","",SUMIF(取込チェック!$C$6:$C$505,B205,取込チェック!$E$6:$E$505))</f>
        <v/>
      </c>
      <c r="I205" s="68" t="str">
        <f aca="false">IF(B205="","",SUMIF(取込チェック!$C$6:$C$505,B205,取込チェック!$F$6:$F$505))</f>
        <v/>
      </c>
      <c r="J205" s="69" t="str">
        <f aca="false">IF(F205&lt;&gt;1,"",IF(H205=0,"-",G205/H205))</f>
        <v/>
      </c>
      <c r="K205" s="67" t="str">
        <f aca="false">IF(F205&lt;&gt;1,"",COUNTIFS($E$5:$E$304,E205,$F$5:$F$304,1,$B$5:$B$304,"&lt;"&amp;B205)+1)</f>
        <v/>
      </c>
      <c r="L205" s="67" t="str">
        <f aca="false">IF(K205="","",E205&amp;"|"&amp;K205)</f>
        <v/>
      </c>
      <c r="M205" s="67" t="str">
        <f aca="false">IF(F205&lt;&gt;1,"",IF(COUNTIFS($C$5:C205,C205,$F$5:F205,1)=1,1,0))</f>
        <v/>
      </c>
      <c r="N205" s="67" t="str">
        <f aca="false">IF(M205&lt;&gt;1,"",_xlfn.MINIFS($B$5:$B$304,$C$5:$C$304,C205,$F$5:$F$304,1))</f>
        <v/>
      </c>
      <c r="O205" s="67" t="str">
        <f aca="false">IF(M205&lt;&gt;1,"",COUNTIFS($M$5:$M$304,1,$N$5:$N$304,"&lt;"&amp;N205)+1)</f>
        <v/>
      </c>
      <c r="P205" s="68" t="str">
        <f aca="false">IF(OR(B205="",取込チェック!$K$3=0),"",SUMIF(取込チェック!$K$6:$K$505,B205,取込チェック!$L$6:$L$505))</f>
        <v/>
      </c>
      <c r="Q205" s="68" t="str">
        <f aca="false">IF(OR(B205="",取込チェック!$K$3=0),"",SUMIF(取込チェック!$K$6:$K$505,B205,取込チェック!$M$6:$M$505))</f>
        <v/>
      </c>
      <c r="R205" s="68" t="str">
        <f aca="false">IF(P205="","",G205-P205)</f>
        <v/>
      </c>
      <c r="S205" s="68" t="str">
        <f aca="false">IF(Q205="","",I205-Q205)</f>
        <v/>
      </c>
    </row>
    <row r="206" customFormat="false" ht="15" hidden="false" customHeight="false" outlineLevel="0" collapsed="false">
      <c r="A206" s="64" t="str">
        <f aca="false">IF(B206="","",ROW()-4)</f>
        <v/>
      </c>
      <c r="B206" s="65"/>
      <c r="C206" s="65"/>
      <c r="D206" s="65"/>
      <c r="E206" s="66"/>
      <c r="F206" s="67" t="str">
        <f aca="false">IF(B206="","",IF(COUNTIF(取込チェック!$C$6:$C$505,B206)&gt;0,1,0))</f>
        <v/>
      </c>
      <c r="G206" s="68" t="str">
        <f aca="false">IF(B206="","",SUMIF(取込チェック!$C$6:$C$505,B206,取込チェック!$D$6:$D$505))</f>
        <v/>
      </c>
      <c r="H206" s="68" t="str">
        <f aca="false">IF(B206="","",SUMIF(取込チェック!$C$6:$C$505,B206,取込チェック!$E$6:$E$505))</f>
        <v/>
      </c>
      <c r="I206" s="68" t="str">
        <f aca="false">IF(B206="","",SUMIF(取込チェック!$C$6:$C$505,B206,取込チェック!$F$6:$F$505))</f>
        <v/>
      </c>
      <c r="J206" s="69" t="str">
        <f aca="false">IF(F206&lt;&gt;1,"",IF(H206=0,"-",G206/H206))</f>
        <v/>
      </c>
      <c r="K206" s="67" t="str">
        <f aca="false">IF(F206&lt;&gt;1,"",COUNTIFS($E$5:$E$304,E206,$F$5:$F$304,1,$B$5:$B$304,"&lt;"&amp;B206)+1)</f>
        <v/>
      </c>
      <c r="L206" s="67" t="str">
        <f aca="false">IF(K206="","",E206&amp;"|"&amp;K206)</f>
        <v/>
      </c>
      <c r="M206" s="67" t="str">
        <f aca="false">IF(F206&lt;&gt;1,"",IF(COUNTIFS($C$5:C206,C206,$F$5:F206,1)=1,1,0))</f>
        <v/>
      </c>
      <c r="N206" s="67" t="str">
        <f aca="false">IF(M206&lt;&gt;1,"",_xlfn.MINIFS($B$5:$B$304,$C$5:$C$304,C206,$F$5:$F$304,1))</f>
        <v/>
      </c>
      <c r="O206" s="67" t="str">
        <f aca="false">IF(M206&lt;&gt;1,"",COUNTIFS($M$5:$M$304,1,$N$5:$N$304,"&lt;"&amp;N206)+1)</f>
        <v/>
      </c>
      <c r="P206" s="68" t="str">
        <f aca="false">IF(OR(B206="",取込チェック!$K$3=0),"",SUMIF(取込チェック!$K$6:$K$505,B206,取込チェック!$L$6:$L$505))</f>
        <v/>
      </c>
      <c r="Q206" s="68" t="str">
        <f aca="false">IF(OR(B206="",取込チェック!$K$3=0),"",SUMIF(取込チェック!$K$6:$K$505,B206,取込チェック!$M$6:$M$505))</f>
        <v/>
      </c>
      <c r="R206" s="68" t="str">
        <f aca="false">IF(P206="","",G206-P206)</f>
        <v/>
      </c>
      <c r="S206" s="68" t="str">
        <f aca="false">IF(Q206="","",I206-Q206)</f>
        <v/>
      </c>
    </row>
    <row r="207" customFormat="false" ht="15" hidden="false" customHeight="false" outlineLevel="0" collapsed="false">
      <c r="A207" s="64" t="str">
        <f aca="false">IF(B207="","",ROW()-4)</f>
        <v/>
      </c>
      <c r="B207" s="65"/>
      <c r="C207" s="65"/>
      <c r="D207" s="65"/>
      <c r="E207" s="66"/>
      <c r="F207" s="67" t="str">
        <f aca="false">IF(B207="","",IF(COUNTIF(取込チェック!$C$6:$C$505,B207)&gt;0,1,0))</f>
        <v/>
      </c>
      <c r="G207" s="68" t="str">
        <f aca="false">IF(B207="","",SUMIF(取込チェック!$C$6:$C$505,B207,取込チェック!$D$6:$D$505))</f>
        <v/>
      </c>
      <c r="H207" s="68" t="str">
        <f aca="false">IF(B207="","",SUMIF(取込チェック!$C$6:$C$505,B207,取込チェック!$E$6:$E$505))</f>
        <v/>
      </c>
      <c r="I207" s="68" t="str">
        <f aca="false">IF(B207="","",SUMIF(取込チェック!$C$6:$C$505,B207,取込チェック!$F$6:$F$505))</f>
        <v/>
      </c>
      <c r="J207" s="69" t="str">
        <f aca="false">IF(F207&lt;&gt;1,"",IF(H207=0,"-",G207/H207))</f>
        <v/>
      </c>
      <c r="K207" s="67" t="str">
        <f aca="false">IF(F207&lt;&gt;1,"",COUNTIFS($E$5:$E$304,E207,$F$5:$F$304,1,$B$5:$B$304,"&lt;"&amp;B207)+1)</f>
        <v/>
      </c>
      <c r="L207" s="67" t="str">
        <f aca="false">IF(K207="","",E207&amp;"|"&amp;K207)</f>
        <v/>
      </c>
      <c r="M207" s="67" t="str">
        <f aca="false">IF(F207&lt;&gt;1,"",IF(COUNTIFS($C$5:C207,C207,$F$5:F207,1)=1,1,0))</f>
        <v/>
      </c>
      <c r="N207" s="67" t="str">
        <f aca="false">IF(M207&lt;&gt;1,"",_xlfn.MINIFS($B$5:$B$304,$C$5:$C$304,C207,$F$5:$F$304,1))</f>
        <v/>
      </c>
      <c r="O207" s="67" t="str">
        <f aca="false">IF(M207&lt;&gt;1,"",COUNTIFS($M$5:$M$304,1,$N$5:$N$304,"&lt;"&amp;N207)+1)</f>
        <v/>
      </c>
      <c r="P207" s="68" t="str">
        <f aca="false">IF(OR(B207="",取込チェック!$K$3=0),"",SUMIF(取込チェック!$K$6:$K$505,B207,取込チェック!$L$6:$L$505))</f>
        <v/>
      </c>
      <c r="Q207" s="68" t="str">
        <f aca="false">IF(OR(B207="",取込チェック!$K$3=0),"",SUMIF(取込チェック!$K$6:$K$505,B207,取込チェック!$M$6:$M$505))</f>
        <v/>
      </c>
      <c r="R207" s="68" t="str">
        <f aca="false">IF(P207="","",G207-P207)</f>
        <v/>
      </c>
      <c r="S207" s="68" t="str">
        <f aca="false">IF(Q207="","",I207-Q207)</f>
        <v/>
      </c>
    </row>
    <row r="208" customFormat="false" ht="15" hidden="false" customHeight="false" outlineLevel="0" collapsed="false">
      <c r="A208" s="64" t="str">
        <f aca="false">IF(B208="","",ROW()-4)</f>
        <v/>
      </c>
      <c r="B208" s="65"/>
      <c r="C208" s="65"/>
      <c r="D208" s="65"/>
      <c r="E208" s="66"/>
      <c r="F208" s="67" t="str">
        <f aca="false">IF(B208="","",IF(COUNTIF(取込チェック!$C$6:$C$505,B208)&gt;0,1,0))</f>
        <v/>
      </c>
      <c r="G208" s="68" t="str">
        <f aca="false">IF(B208="","",SUMIF(取込チェック!$C$6:$C$505,B208,取込チェック!$D$6:$D$505))</f>
        <v/>
      </c>
      <c r="H208" s="68" t="str">
        <f aca="false">IF(B208="","",SUMIF(取込チェック!$C$6:$C$505,B208,取込チェック!$E$6:$E$505))</f>
        <v/>
      </c>
      <c r="I208" s="68" t="str">
        <f aca="false">IF(B208="","",SUMIF(取込チェック!$C$6:$C$505,B208,取込チェック!$F$6:$F$505))</f>
        <v/>
      </c>
      <c r="J208" s="69" t="str">
        <f aca="false">IF(F208&lt;&gt;1,"",IF(H208=0,"-",G208/H208))</f>
        <v/>
      </c>
      <c r="K208" s="67" t="str">
        <f aca="false">IF(F208&lt;&gt;1,"",COUNTIFS($E$5:$E$304,E208,$F$5:$F$304,1,$B$5:$B$304,"&lt;"&amp;B208)+1)</f>
        <v/>
      </c>
      <c r="L208" s="67" t="str">
        <f aca="false">IF(K208="","",E208&amp;"|"&amp;K208)</f>
        <v/>
      </c>
      <c r="M208" s="67" t="str">
        <f aca="false">IF(F208&lt;&gt;1,"",IF(COUNTIFS($C$5:C208,C208,$F$5:F208,1)=1,1,0))</f>
        <v/>
      </c>
      <c r="N208" s="67" t="str">
        <f aca="false">IF(M208&lt;&gt;1,"",_xlfn.MINIFS($B$5:$B$304,$C$5:$C$304,C208,$F$5:$F$304,1))</f>
        <v/>
      </c>
      <c r="O208" s="67" t="str">
        <f aca="false">IF(M208&lt;&gt;1,"",COUNTIFS($M$5:$M$304,1,$N$5:$N$304,"&lt;"&amp;N208)+1)</f>
        <v/>
      </c>
      <c r="P208" s="68" t="str">
        <f aca="false">IF(OR(B208="",取込チェック!$K$3=0),"",SUMIF(取込チェック!$K$6:$K$505,B208,取込チェック!$L$6:$L$505))</f>
        <v/>
      </c>
      <c r="Q208" s="68" t="str">
        <f aca="false">IF(OR(B208="",取込チェック!$K$3=0),"",SUMIF(取込チェック!$K$6:$K$505,B208,取込チェック!$M$6:$M$505))</f>
        <v/>
      </c>
      <c r="R208" s="68" t="str">
        <f aca="false">IF(P208="","",G208-P208)</f>
        <v/>
      </c>
      <c r="S208" s="68" t="str">
        <f aca="false">IF(Q208="","",I208-Q208)</f>
        <v/>
      </c>
    </row>
    <row r="209" customFormat="false" ht="15" hidden="false" customHeight="false" outlineLevel="0" collapsed="false">
      <c r="A209" s="64" t="str">
        <f aca="false">IF(B209="","",ROW()-4)</f>
        <v/>
      </c>
      <c r="B209" s="65"/>
      <c r="C209" s="65"/>
      <c r="D209" s="65"/>
      <c r="E209" s="66"/>
      <c r="F209" s="67" t="str">
        <f aca="false">IF(B209="","",IF(COUNTIF(取込チェック!$C$6:$C$505,B209)&gt;0,1,0))</f>
        <v/>
      </c>
      <c r="G209" s="68" t="str">
        <f aca="false">IF(B209="","",SUMIF(取込チェック!$C$6:$C$505,B209,取込チェック!$D$6:$D$505))</f>
        <v/>
      </c>
      <c r="H209" s="68" t="str">
        <f aca="false">IF(B209="","",SUMIF(取込チェック!$C$6:$C$505,B209,取込チェック!$E$6:$E$505))</f>
        <v/>
      </c>
      <c r="I209" s="68" t="str">
        <f aca="false">IF(B209="","",SUMIF(取込チェック!$C$6:$C$505,B209,取込チェック!$F$6:$F$505))</f>
        <v/>
      </c>
      <c r="J209" s="69" t="str">
        <f aca="false">IF(F209&lt;&gt;1,"",IF(H209=0,"-",G209/H209))</f>
        <v/>
      </c>
      <c r="K209" s="67" t="str">
        <f aca="false">IF(F209&lt;&gt;1,"",COUNTIFS($E$5:$E$304,E209,$F$5:$F$304,1,$B$5:$B$304,"&lt;"&amp;B209)+1)</f>
        <v/>
      </c>
      <c r="L209" s="67" t="str">
        <f aca="false">IF(K209="","",E209&amp;"|"&amp;K209)</f>
        <v/>
      </c>
      <c r="M209" s="67" t="str">
        <f aca="false">IF(F209&lt;&gt;1,"",IF(COUNTIFS($C$5:C209,C209,$F$5:F209,1)=1,1,0))</f>
        <v/>
      </c>
      <c r="N209" s="67" t="str">
        <f aca="false">IF(M209&lt;&gt;1,"",_xlfn.MINIFS($B$5:$B$304,$C$5:$C$304,C209,$F$5:$F$304,1))</f>
        <v/>
      </c>
      <c r="O209" s="67" t="str">
        <f aca="false">IF(M209&lt;&gt;1,"",COUNTIFS($M$5:$M$304,1,$N$5:$N$304,"&lt;"&amp;N209)+1)</f>
        <v/>
      </c>
      <c r="P209" s="68" t="str">
        <f aca="false">IF(OR(B209="",取込チェック!$K$3=0),"",SUMIF(取込チェック!$K$6:$K$505,B209,取込チェック!$L$6:$L$505))</f>
        <v/>
      </c>
      <c r="Q209" s="68" t="str">
        <f aca="false">IF(OR(B209="",取込チェック!$K$3=0),"",SUMIF(取込チェック!$K$6:$K$505,B209,取込チェック!$M$6:$M$505))</f>
        <v/>
      </c>
      <c r="R209" s="68" t="str">
        <f aca="false">IF(P209="","",G209-P209)</f>
        <v/>
      </c>
      <c r="S209" s="68" t="str">
        <f aca="false">IF(Q209="","",I209-Q209)</f>
        <v/>
      </c>
    </row>
    <row r="210" customFormat="false" ht="15" hidden="false" customHeight="false" outlineLevel="0" collapsed="false">
      <c r="A210" s="64" t="str">
        <f aca="false">IF(B210="","",ROW()-4)</f>
        <v/>
      </c>
      <c r="B210" s="65"/>
      <c r="C210" s="65"/>
      <c r="D210" s="65"/>
      <c r="E210" s="66"/>
      <c r="F210" s="67" t="str">
        <f aca="false">IF(B210="","",IF(COUNTIF(取込チェック!$C$6:$C$505,B210)&gt;0,1,0))</f>
        <v/>
      </c>
      <c r="G210" s="68" t="str">
        <f aca="false">IF(B210="","",SUMIF(取込チェック!$C$6:$C$505,B210,取込チェック!$D$6:$D$505))</f>
        <v/>
      </c>
      <c r="H210" s="68" t="str">
        <f aca="false">IF(B210="","",SUMIF(取込チェック!$C$6:$C$505,B210,取込チェック!$E$6:$E$505))</f>
        <v/>
      </c>
      <c r="I210" s="68" t="str">
        <f aca="false">IF(B210="","",SUMIF(取込チェック!$C$6:$C$505,B210,取込チェック!$F$6:$F$505))</f>
        <v/>
      </c>
      <c r="J210" s="69" t="str">
        <f aca="false">IF(F210&lt;&gt;1,"",IF(H210=0,"-",G210/H210))</f>
        <v/>
      </c>
      <c r="K210" s="67" t="str">
        <f aca="false">IF(F210&lt;&gt;1,"",COUNTIFS($E$5:$E$304,E210,$F$5:$F$304,1,$B$5:$B$304,"&lt;"&amp;B210)+1)</f>
        <v/>
      </c>
      <c r="L210" s="67" t="str">
        <f aca="false">IF(K210="","",E210&amp;"|"&amp;K210)</f>
        <v/>
      </c>
      <c r="M210" s="67" t="str">
        <f aca="false">IF(F210&lt;&gt;1,"",IF(COUNTIFS($C$5:C210,C210,$F$5:F210,1)=1,1,0))</f>
        <v/>
      </c>
      <c r="N210" s="67" t="str">
        <f aca="false">IF(M210&lt;&gt;1,"",_xlfn.MINIFS($B$5:$B$304,$C$5:$C$304,C210,$F$5:$F$304,1))</f>
        <v/>
      </c>
      <c r="O210" s="67" t="str">
        <f aca="false">IF(M210&lt;&gt;1,"",COUNTIFS($M$5:$M$304,1,$N$5:$N$304,"&lt;"&amp;N210)+1)</f>
        <v/>
      </c>
      <c r="P210" s="68" t="str">
        <f aca="false">IF(OR(B210="",取込チェック!$K$3=0),"",SUMIF(取込チェック!$K$6:$K$505,B210,取込チェック!$L$6:$L$505))</f>
        <v/>
      </c>
      <c r="Q210" s="68" t="str">
        <f aca="false">IF(OR(B210="",取込チェック!$K$3=0),"",SUMIF(取込チェック!$K$6:$K$505,B210,取込チェック!$M$6:$M$505))</f>
        <v/>
      </c>
      <c r="R210" s="68" t="str">
        <f aca="false">IF(P210="","",G210-P210)</f>
        <v/>
      </c>
      <c r="S210" s="68" t="str">
        <f aca="false">IF(Q210="","",I210-Q210)</f>
        <v/>
      </c>
    </row>
    <row r="211" customFormat="false" ht="15" hidden="false" customHeight="false" outlineLevel="0" collapsed="false">
      <c r="A211" s="64" t="str">
        <f aca="false">IF(B211="","",ROW()-4)</f>
        <v/>
      </c>
      <c r="B211" s="65"/>
      <c r="C211" s="65"/>
      <c r="D211" s="65"/>
      <c r="E211" s="66"/>
      <c r="F211" s="67" t="str">
        <f aca="false">IF(B211="","",IF(COUNTIF(取込チェック!$C$6:$C$505,B211)&gt;0,1,0))</f>
        <v/>
      </c>
      <c r="G211" s="68" t="str">
        <f aca="false">IF(B211="","",SUMIF(取込チェック!$C$6:$C$505,B211,取込チェック!$D$6:$D$505))</f>
        <v/>
      </c>
      <c r="H211" s="68" t="str">
        <f aca="false">IF(B211="","",SUMIF(取込チェック!$C$6:$C$505,B211,取込チェック!$E$6:$E$505))</f>
        <v/>
      </c>
      <c r="I211" s="68" t="str">
        <f aca="false">IF(B211="","",SUMIF(取込チェック!$C$6:$C$505,B211,取込チェック!$F$6:$F$505))</f>
        <v/>
      </c>
      <c r="J211" s="69" t="str">
        <f aca="false">IF(F211&lt;&gt;1,"",IF(H211=0,"-",G211/H211))</f>
        <v/>
      </c>
      <c r="K211" s="67" t="str">
        <f aca="false">IF(F211&lt;&gt;1,"",COUNTIFS($E$5:$E$304,E211,$F$5:$F$304,1,$B$5:$B$304,"&lt;"&amp;B211)+1)</f>
        <v/>
      </c>
      <c r="L211" s="67" t="str">
        <f aca="false">IF(K211="","",E211&amp;"|"&amp;K211)</f>
        <v/>
      </c>
      <c r="M211" s="67" t="str">
        <f aca="false">IF(F211&lt;&gt;1,"",IF(COUNTIFS($C$5:C211,C211,$F$5:F211,1)=1,1,0))</f>
        <v/>
      </c>
      <c r="N211" s="67" t="str">
        <f aca="false">IF(M211&lt;&gt;1,"",_xlfn.MINIFS($B$5:$B$304,$C$5:$C$304,C211,$F$5:$F$304,1))</f>
        <v/>
      </c>
      <c r="O211" s="67" t="str">
        <f aca="false">IF(M211&lt;&gt;1,"",COUNTIFS($M$5:$M$304,1,$N$5:$N$304,"&lt;"&amp;N211)+1)</f>
        <v/>
      </c>
      <c r="P211" s="68" t="str">
        <f aca="false">IF(OR(B211="",取込チェック!$K$3=0),"",SUMIF(取込チェック!$K$6:$K$505,B211,取込チェック!$L$6:$L$505))</f>
        <v/>
      </c>
      <c r="Q211" s="68" t="str">
        <f aca="false">IF(OR(B211="",取込チェック!$K$3=0),"",SUMIF(取込チェック!$K$6:$K$505,B211,取込チェック!$M$6:$M$505))</f>
        <v/>
      </c>
      <c r="R211" s="68" t="str">
        <f aca="false">IF(P211="","",G211-P211)</f>
        <v/>
      </c>
      <c r="S211" s="68" t="str">
        <f aca="false">IF(Q211="","",I211-Q211)</f>
        <v/>
      </c>
    </row>
    <row r="212" customFormat="false" ht="15" hidden="false" customHeight="false" outlineLevel="0" collapsed="false">
      <c r="A212" s="64" t="str">
        <f aca="false">IF(B212="","",ROW()-4)</f>
        <v/>
      </c>
      <c r="B212" s="65"/>
      <c r="C212" s="65"/>
      <c r="D212" s="65"/>
      <c r="E212" s="66"/>
      <c r="F212" s="67" t="str">
        <f aca="false">IF(B212="","",IF(COUNTIF(取込チェック!$C$6:$C$505,B212)&gt;0,1,0))</f>
        <v/>
      </c>
      <c r="G212" s="68" t="str">
        <f aca="false">IF(B212="","",SUMIF(取込チェック!$C$6:$C$505,B212,取込チェック!$D$6:$D$505))</f>
        <v/>
      </c>
      <c r="H212" s="68" t="str">
        <f aca="false">IF(B212="","",SUMIF(取込チェック!$C$6:$C$505,B212,取込チェック!$E$6:$E$505))</f>
        <v/>
      </c>
      <c r="I212" s="68" t="str">
        <f aca="false">IF(B212="","",SUMIF(取込チェック!$C$6:$C$505,B212,取込チェック!$F$6:$F$505))</f>
        <v/>
      </c>
      <c r="J212" s="69" t="str">
        <f aca="false">IF(F212&lt;&gt;1,"",IF(H212=0,"-",G212/H212))</f>
        <v/>
      </c>
      <c r="K212" s="67" t="str">
        <f aca="false">IF(F212&lt;&gt;1,"",COUNTIFS($E$5:$E$304,E212,$F$5:$F$304,1,$B$5:$B$304,"&lt;"&amp;B212)+1)</f>
        <v/>
      </c>
      <c r="L212" s="67" t="str">
        <f aca="false">IF(K212="","",E212&amp;"|"&amp;K212)</f>
        <v/>
      </c>
      <c r="M212" s="67" t="str">
        <f aca="false">IF(F212&lt;&gt;1,"",IF(COUNTIFS($C$5:C212,C212,$F$5:F212,1)=1,1,0))</f>
        <v/>
      </c>
      <c r="N212" s="67" t="str">
        <f aca="false">IF(M212&lt;&gt;1,"",_xlfn.MINIFS($B$5:$B$304,$C$5:$C$304,C212,$F$5:$F$304,1))</f>
        <v/>
      </c>
      <c r="O212" s="67" t="str">
        <f aca="false">IF(M212&lt;&gt;1,"",COUNTIFS($M$5:$M$304,1,$N$5:$N$304,"&lt;"&amp;N212)+1)</f>
        <v/>
      </c>
      <c r="P212" s="68" t="str">
        <f aca="false">IF(OR(B212="",取込チェック!$K$3=0),"",SUMIF(取込チェック!$K$6:$K$505,B212,取込チェック!$L$6:$L$505))</f>
        <v/>
      </c>
      <c r="Q212" s="68" t="str">
        <f aca="false">IF(OR(B212="",取込チェック!$K$3=0),"",SUMIF(取込チェック!$K$6:$K$505,B212,取込チェック!$M$6:$M$505))</f>
        <v/>
      </c>
      <c r="R212" s="68" t="str">
        <f aca="false">IF(P212="","",G212-P212)</f>
        <v/>
      </c>
      <c r="S212" s="68" t="str">
        <f aca="false">IF(Q212="","",I212-Q212)</f>
        <v/>
      </c>
    </row>
    <row r="213" customFormat="false" ht="15" hidden="false" customHeight="false" outlineLevel="0" collapsed="false">
      <c r="A213" s="64" t="str">
        <f aca="false">IF(B213="","",ROW()-4)</f>
        <v/>
      </c>
      <c r="B213" s="65"/>
      <c r="C213" s="65"/>
      <c r="D213" s="65"/>
      <c r="E213" s="66"/>
      <c r="F213" s="67" t="str">
        <f aca="false">IF(B213="","",IF(COUNTIF(取込チェック!$C$6:$C$505,B213)&gt;0,1,0))</f>
        <v/>
      </c>
      <c r="G213" s="68" t="str">
        <f aca="false">IF(B213="","",SUMIF(取込チェック!$C$6:$C$505,B213,取込チェック!$D$6:$D$505))</f>
        <v/>
      </c>
      <c r="H213" s="68" t="str">
        <f aca="false">IF(B213="","",SUMIF(取込チェック!$C$6:$C$505,B213,取込チェック!$E$6:$E$505))</f>
        <v/>
      </c>
      <c r="I213" s="68" t="str">
        <f aca="false">IF(B213="","",SUMIF(取込チェック!$C$6:$C$505,B213,取込チェック!$F$6:$F$505))</f>
        <v/>
      </c>
      <c r="J213" s="69" t="str">
        <f aca="false">IF(F213&lt;&gt;1,"",IF(H213=0,"-",G213/H213))</f>
        <v/>
      </c>
      <c r="K213" s="67" t="str">
        <f aca="false">IF(F213&lt;&gt;1,"",COUNTIFS($E$5:$E$304,E213,$F$5:$F$304,1,$B$5:$B$304,"&lt;"&amp;B213)+1)</f>
        <v/>
      </c>
      <c r="L213" s="67" t="str">
        <f aca="false">IF(K213="","",E213&amp;"|"&amp;K213)</f>
        <v/>
      </c>
      <c r="M213" s="67" t="str">
        <f aca="false">IF(F213&lt;&gt;1,"",IF(COUNTIFS($C$5:C213,C213,$F$5:F213,1)=1,1,0))</f>
        <v/>
      </c>
      <c r="N213" s="67" t="str">
        <f aca="false">IF(M213&lt;&gt;1,"",_xlfn.MINIFS($B$5:$B$304,$C$5:$C$304,C213,$F$5:$F$304,1))</f>
        <v/>
      </c>
      <c r="O213" s="67" t="str">
        <f aca="false">IF(M213&lt;&gt;1,"",COUNTIFS($M$5:$M$304,1,$N$5:$N$304,"&lt;"&amp;N213)+1)</f>
        <v/>
      </c>
      <c r="P213" s="68" t="str">
        <f aca="false">IF(OR(B213="",取込チェック!$K$3=0),"",SUMIF(取込チェック!$K$6:$K$505,B213,取込チェック!$L$6:$L$505))</f>
        <v/>
      </c>
      <c r="Q213" s="68" t="str">
        <f aca="false">IF(OR(B213="",取込チェック!$K$3=0),"",SUMIF(取込チェック!$K$6:$K$505,B213,取込チェック!$M$6:$M$505))</f>
        <v/>
      </c>
      <c r="R213" s="68" t="str">
        <f aca="false">IF(P213="","",G213-P213)</f>
        <v/>
      </c>
      <c r="S213" s="68" t="str">
        <f aca="false">IF(Q213="","",I213-Q213)</f>
        <v/>
      </c>
    </row>
    <row r="214" customFormat="false" ht="15" hidden="false" customHeight="false" outlineLevel="0" collapsed="false">
      <c r="A214" s="64" t="str">
        <f aca="false">IF(B214="","",ROW()-4)</f>
        <v/>
      </c>
      <c r="B214" s="65"/>
      <c r="C214" s="65"/>
      <c r="D214" s="65"/>
      <c r="E214" s="66"/>
      <c r="F214" s="67" t="str">
        <f aca="false">IF(B214="","",IF(COUNTIF(取込チェック!$C$6:$C$505,B214)&gt;0,1,0))</f>
        <v/>
      </c>
      <c r="G214" s="68" t="str">
        <f aca="false">IF(B214="","",SUMIF(取込チェック!$C$6:$C$505,B214,取込チェック!$D$6:$D$505))</f>
        <v/>
      </c>
      <c r="H214" s="68" t="str">
        <f aca="false">IF(B214="","",SUMIF(取込チェック!$C$6:$C$505,B214,取込チェック!$E$6:$E$505))</f>
        <v/>
      </c>
      <c r="I214" s="68" t="str">
        <f aca="false">IF(B214="","",SUMIF(取込チェック!$C$6:$C$505,B214,取込チェック!$F$6:$F$505))</f>
        <v/>
      </c>
      <c r="J214" s="69" t="str">
        <f aca="false">IF(F214&lt;&gt;1,"",IF(H214=0,"-",G214/H214))</f>
        <v/>
      </c>
      <c r="K214" s="67" t="str">
        <f aca="false">IF(F214&lt;&gt;1,"",COUNTIFS($E$5:$E$304,E214,$F$5:$F$304,1,$B$5:$B$304,"&lt;"&amp;B214)+1)</f>
        <v/>
      </c>
      <c r="L214" s="67" t="str">
        <f aca="false">IF(K214="","",E214&amp;"|"&amp;K214)</f>
        <v/>
      </c>
      <c r="M214" s="67" t="str">
        <f aca="false">IF(F214&lt;&gt;1,"",IF(COUNTIFS($C$5:C214,C214,$F$5:F214,1)=1,1,0))</f>
        <v/>
      </c>
      <c r="N214" s="67" t="str">
        <f aca="false">IF(M214&lt;&gt;1,"",_xlfn.MINIFS($B$5:$B$304,$C$5:$C$304,C214,$F$5:$F$304,1))</f>
        <v/>
      </c>
      <c r="O214" s="67" t="str">
        <f aca="false">IF(M214&lt;&gt;1,"",COUNTIFS($M$5:$M$304,1,$N$5:$N$304,"&lt;"&amp;N214)+1)</f>
        <v/>
      </c>
      <c r="P214" s="68" t="str">
        <f aca="false">IF(OR(B214="",取込チェック!$K$3=0),"",SUMIF(取込チェック!$K$6:$K$505,B214,取込チェック!$L$6:$L$505))</f>
        <v/>
      </c>
      <c r="Q214" s="68" t="str">
        <f aca="false">IF(OR(B214="",取込チェック!$K$3=0),"",SUMIF(取込チェック!$K$6:$K$505,B214,取込チェック!$M$6:$M$505))</f>
        <v/>
      </c>
      <c r="R214" s="68" t="str">
        <f aca="false">IF(P214="","",G214-P214)</f>
        <v/>
      </c>
      <c r="S214" s="68" t="str">
        <f aca="false">IF(Q214="","",I214-Q214)</f>
        <v/>
      </c>
    </row>
    <row r="215" customFormat="false" ht="15" hidden="false" customHeight="false" outlineLevel="0" collapsed="false">
      <c r="A215" s="64" t="str">
        <f aca="false">IF(B215="","",ROW()-4)</f>
        <v/>
      </c>
      <c r="B215" s="65"/>
      <c r="C215" s="65"/>
      <c r="D215" s="65"/>
      <c r="E215" s="66"/>
      <c r="F215" s="67" t="str">
        <f aca="false">IF(B215="","",IF(COUNTIF(取込チェック!$C$6:$C$505,B215)&gt;0,1,0))</f>
        <v/>
      </c>
      <c r="G215" s="68" t="str">
        <f aca="false">IF(B215="","",SUMIF(取込チェック!$C$6:$C$505,B215,取込チェック!$D$6:$D$505))</f>
        <v/>
      </c>
      <c r="H215" s="68" t="str">
        <f aca="false">IF(B215="","",SUMIF(取込チェック!$C$6:$C$505,B215,取込チェック!$E$6:$E$505))</f>
        <v/>
      </c>
      <c r="I215" s="68" t="str">
        <f aca="false">IF(B215="","",SUMIF(取込チェック!$C$6:$C$505,B215,取込チェック!$F$6:$F$505))</f>
        <v/>
      </c>
      <c r="J215" s="69" t="str">
        <f aca="false">IF(F215&lt;&gt;1,"",IF(H215=0,"-",G215/H215))</f>
        <v/>
      </c>
      <c r="K215" s="67" t="str">
        <f aca="false">IF(F215&lt;&gt;1,"",COUNTIFS($E$5:$E$304,E215,$F$5:$F$304,1,$B$5:$B$304,"&lt;"&amp;B215)+1)</f>
        <v/>
      </c>
      <c r="L215" s="67" t="str">
        <f aca="false">IF(K215="","",E215&amp;"|"&amp;K215)</f>
        <v/>
      </c>
      <c r="M215" s="67" t="str">
        <f aca="false">IF(F215&lt;&gt;1,"",IF(COUNTIFS($C$5:C215,C215,$F$5:F215,1)=1,1,0))</f>
        <v/>
      </c>
      <c r="N215" s="67" t="str">
        <f aca="false">IF(M215&lt;&gt;1,"",_xlfn.MINIFS($B$5:$B$304,$C$5:$C$304,C215,$F$5:$F$304,1))</f>
        <v/>
      </c>
      <c r="O215" s="67" t="str">
        <f aca="false">IF(M215&lt;&gt;1,"",COUNTIFS($M$5:$M$304,1,$N$5:$N$304,"&lt;"&amp;N215)+1)</f>
        <v/>
      </c>
      <c r="P215" s="68" t="str">
        <f aca="false">IF(OR(B215="",取込チェック!$K$3=0),"",SUMIF(取込チェック!$K$6:$K$505,B215,取込チェック!$L$6:$L$505))</f>
        <v/>
      </c>
      <c r="Q215" s="68" t="str">
        <f aca="false">IF(OR(B215="",取込チェック!$K$3=0),"",SUMIF(取込チェック!$K$6:$K$505,B215,取込チェック!$M$6:$M$505))</f>
        <v/>
      </c>
      <c r="R215" s="68" t="str">
        <f aca="false">IF(P215="","",G215-P215)</f>
        <v/>
      </c>
      <c r="S215" s="68" t="str">
        <f aca="false">IF(Q215="","",I215-Q215)</f>
        <v/>
      </c>
    </row>
    <row r="216" customFormat="false" ht="15" hidden="false" customHeight="false" outlineLevel="0" collapsed="false">
      <c r="A216" s="64" t="str">
        <f aca="false">IF(B216="","",ROW()-4)</f>
        <v/>
      </c>
      <c r="B216" s="65"/>
      <c r="C216" s="65"/>
      <c r="D216" s="65"/>
      <c r="E216" s="66"/>
      <c r="F216" s="67" t="str">
        <f aca="false">IF(B216="","",IF(COUNTIF(取込チェック!$C$6:$C$505,B216)&gt;0,1,0))</f>
        <v/>
      </c>
      <c r="G216" s="68" t="str">
        <f aca="false">IF(B216="","",SUMIF(取込チェック!$C$6:$C$505,B216,取込チェック!$D$6:$D$505))</f>
        <v/>
      </c>
      <c r="H216" s="68" t="str">
        <f aca="false">IF(B216="","",SUMIF(取込チェック!$C$6:$C$505,B216,取込チェック!$E$6:$E$505))</f>
        <v/>
      </c>
      <c r="I216" s="68" t="str">
        <f aca="false">IF(B216="","",SUMIF(取込チェック!$C$6:$C$505,B216,取込チェック!$F$6:$F$505))</f>
        <v/>
      </c>
      <c r="J216" s="69" t="str">
        <f aca="false">IF(F216&lt;&gt;1,"",IF(H216=0,"-",G216/H216))</f>
        <v/>
      </c>
      <c r="K216" s="67" t="str">
        <f aca="false">IF(F216&lt;&gt;1,"",COUNTIFS($E$5:$E$304,E216,$F$5:$F$304,1,$B$5:$B$304,"&lt;"&amp;B216)+1)</f>
        <v/>
      </c>
      <c r="L216" s="67" t="str">
        <f aca="false">IF(K216="","",E216&amp;"|"&amp;K216)</f>
        <v/>
      </c>
      <c r="M216" s="67" t="str">
        <f aca="false">IF(F216&lt;&gt;1,"",IF(COUNTIFS($C$5:C216,C216,$F$5:F216,1)=1,1,0))</f>
        <v/>
      </c>
      <c r="N216" s="67" t="str">
        <f aca="false">IF(M216&lt;&gt;1,"",_xlfn.MINIFS($B$5:$B$304,$C$5:$C$304,C216,$F$5:$F$304,1))</f>
        <v/>
      </c>
      <c r="O216" s="67" t="str">
        <f aca="false">IF(M216&lt;&gt;1,"",COUNTIFS($M$5:$M$304,1,$N$5:$N$304,"&lt;"&amp;N216)+1)</f>
        <v/>
      </c>
      <c r="P216" s="68" t="str">
        <f aca="false">IF(OR(B216="",取込チェック!$K$3=0),"",SUMIF(取込チェック!$K$6:$K$505,B216,取込チェック!$L$6:$L$505))</f>
        <v/>
      </c>
      <c r="Q216" s="68" t="str">
        <f aca="false">IF(OR(B216="",取込チェック!$K$3=0),"",SUMIF(取込チェック!$K$6:$K$505,B216,取込チェック!$M$6:$M$505))</f>
        <v/>
      </c>
      <c r="R216" s="68" t="str">
        <f aca="false">IF(P216="","",G216-P216)</f>
        <v/>
      </c>
      <c r="S216" s="68" t="str">
        <f aca="false">IF(Q216="","",I216-Q216)</f>
        <v/>
      </c>
    </row>
    <row r="217" customFormat="false" ht="15" hidden="false" customHeight="false" outlineLevel="0" collapsed="false">
      <c r="A217" s="64" t="str">
        <f aca="false">IF(B217="","",ROW()-4)</f>
        <v/>
      </c>
      <c r="B217" s="65"/>
      <c r="C217" s="65"/>
      <c r="D217" s="65"/>
      <c r="E217" s="66"/>
      <c r="F217" s="67" t="str">
        <f aca="false">IF(B217="","",IF(COUNTIF(取込チェック!$C$6:$C$505,B217)&gt;0,1,0))</f>
        <v/>
      </c>
      <c r="G217" s="68" t="str">
        <f aca="false">IF(B217="","",SUMIF(取込チェック!$C$6:$C$505,B217,取込チェック!$D$6:$D$505))</f>
        <v/>
      </c>
      <c r="H217" s="68" t="str">
        <f aca="false">IF(B217="","",SUMIF(取込チェック!$C$6:$C$505,B217,取込チェック!$E$6:$E$505))</f>
        <v/>
      </c>
      <c r="I217" s="68" t="str">
        <f aca="false">IF(B217="","",SUMIF(取込チェック!$C$6:$C$505,B217,取込チェック!$F$6:$F$505))</f>
        <v/>
      </c>
      <c r="J217" s="69" t="str">
        <f aca="false">IF(F217&lt;&gt;1,"",IF(H217=0,"-",G217/H217))</f>
        <v/>
      </c>
      <c r="K217" s="67" t="str">
        <f aca="false">IF(F217&lt;&gt;1,"",COUNTIFS($E$5:$E$304,E217,$F$5:$F$304,1,$B$5:$B$304,"&lt;"&amp;B217)+1)</f>
        <v/>
      </c>
      <c r="L217" s="67" t="str">
        <f aca="false">IF(K217="","",E217&amp;"|"&amp;K217)</f>
        <v/>
      </c>
      <c r="M217" s="67" t="str">
        <f aca="false">IF(F217&lt;&gt;1,"",IF(COUNTIFS($C$5:C217,C217,$F$5:F217,1)=1,1,0))</f>
        <v/>
      </c>
      <c r="N217" s="67" t="str">
        <f aca="false">IF(M217&lt;&gt;1,"",_xlfn.MINIFS($B$5:$B$304,$C$5:$C$304,C217,$F$5:$F$304,1))</f>
        <v/>
      </c>
      <c r="O217" s="67" t="str">
        <f aca="false">IF(M217&lt;&gt;1,"",COUNTIFS($M$5:$M$304,1,$N$5:$N$304,"&lt;"&amp;N217)+1)</f>
        <v/>
      </c>
      <c r="P217" s="68" t="str">
        <f aca="false">IF(OR(B217="",取込チェック!$K$3=0),"",SUMIF(取込チェック!$K$6:$K$505,B217,取込チェック!$L$6:$L$505))</f>
        <v/>
      </c>
      <c r="Q217" s="68" t="str">
        <f aca="false">IF(OR(B217="",取込チェック!$K$3=0),"",SUMIF(取込チェック!$K$6:$K$505,B217,取込チェック!$M$6:$M$505))</f>
        <v/>
      </c>
      <c r="R217" s="68" t="str">
        <f aca="false">IF(P217="","",G217-P217)</f>
        <v/>
      </c>
      <c r="S217" s="68" t="str">
        <f aca="false">IF(Q217="","",I217-Q217)</f>
        <v/>
      </c>
    </row>
    <row r="218" customFormat="false" ht="15" hidden="false" customHeight="false" outlineLevel="0" collapsed="false">
      <c r="A218" s="64" t="str">
        <f aca="false">IF(B218="","",ROW()-4)</f>
        <v/>
      </c>
      <c r="B218" s="65"/>
      <c r="C218" s="65"/>
      <c r="D218" s="65"/>
      <c r="E218" s="66"/>
      <c r="F218" s="67" t="str">
        <f aca="false">IF(B218="","",IF(COUNTIF(取込チェック!$C$6:$C$505,B218)&gt;0,1,0))</f>
        <v/>
      </c>
      <c r="G218" s="68" t="str">
        <f aca="false">IF(B218="","",SUMIF(取込チェック!$C$6:$C$505,B218,取込チェック!$D$6:$D$505))</f>
        <v/>
      </c>
      <c r="H218" s="68" t="str">
        <f aca="false">IF(B218="","",SUMIF(取込チェック!$C$6:$C$505,B218,取込チェック!$E$6:$E$505))</f>
        <v/>
      </c>
      <c r="I218" s="68" t="str">
        <f aca="false">IF(B218="","",SUMIF(取込チェック!$C$6:$C$505,B218,取込チェック!$F$6:$F$505))</f>
        <v/>
      </c>
      <c r="J218" s="69" t="str">
        <f aca="false">IF(F218&lt;&gt;1,"",IF(H218=0,"-",G218/H218))</f>
        <v/>
      </c>
      <c r="K218" s="67" t="str">
        <f aca="false">IF(F218&lt;&gt;1,"",COUNTIFS($E$5:$E$304,E218,$F$5:$F$304,1,$B$5:$B$304,"&lt;"&amp;B218)+1)</f>
        <v/>
      </c>
      <c r="L218" s="67" t="str">
        <f aca="false">IF(K218="","",E218&amp;"|"&amp;K218)</f>
        <v/>
      </c>
      <c r="M218" s="67" t="str">
        <f aca="false">IF(F218&lt;&gt;1,"",IF(COUNTIFS($C$5:C218,C218,$F$5:F218,1)=1,1,0))</f>
        <v/>
      </c>
      <c r="N218" s="67" t="str">
        <f aca="false">IF(M218&lt;&gt;1,"",_xlfn.MINIFS($B$5:$B$304,$C$5:$C$304,C218,$F$5:$F$304,1))</f>
        <v/>
      </c>
      <c r="O218" s="67" t="str">
        <f aca="false">IF(M218&lt;&gt;1,"",COUNTIFS($M$5:$M$304,1,$N$5:$N$304,"&lt;"&amp;N218)+1)</f>
        <v/>
      </c>
      <c r="P218" s="68" t="str">
        <f aca="false">IF(OR(B218="",取込チェック!$K$3=0),"",SUMIF(取込チェック!$K$6:$K$505,B218,取込チェック!$L$6:$L$505))</f>
        <v/>
      </c>
      <c r="Q218" s="68" t="str">
        <f aca="false">IF(OR(B218="",取込チェック!$K$3=0),"",SUMIF(取込チェック!$K$6:$K$505,B218,取込チェック!$M$6:$M$505))</f>
        <v/>
      </c>
      <c r="R218" s="68" t="str">
        <f aca="false">IF(P218="","",G218-P218)</f>
        <v/>
      </c>
      <c r="S218" s="68" t="str">
        <f aca="false">IF(Q218="","",I218-Q218)</f>
        <v/>
      </c>
    </row>
    <row r="219" customFormat="false" ht="15" hidden="false" customHeight="false" outlineLevel="0" collapsed="false">
      <c r="A219" s="64" t="str">
        <f aca="false">IF(B219="","",ROW()-4)</f>
        <v/>
      </c>
      <c r="B219" s="65"/>
      <c r="C219" s="65"/>
      <c r="D219" s="65"/>
      <c r="E219" s="66"/>
      <c r="F219" s="67" t="str">
        <f aca="false">IF(B219="","",IF(COUNTIF(取込チェック!$C$6:$C$505,B219)&gt;0,1,0))</f>
        <v/>
      </c>
      <c r="G219" s="68" t="str">
        <f aca="false">IF(B219="","",SUMIF(取込チェック!$C$6:$C$505,B219,取込チェック!$D$6:$D$505))</f>
        <v/>
      </c>
      <c r="H219" s="68" t="str">
        <f aca="false">IF(B219="","",SUMIF(取込チェック!$C$6:$C$505,B219,取込チェック!$E$6:$E$505))</f>
        <v/>
      </c>
      <c r="I219" s="68" t="str">
        <f aca="false">IF(B219="","",SUMIF(取込チェック!$C$6:$C$505,B219,取込チェック!$F$6:$F$505))</f>
        <v/>
      </c>
      <c r="J219" s="69" t="str">
        <f aca="false">IF(F219&lt;&gt;1,"",IF(H219=0,"-",G219/H219))</f>
        <v/>
      </c>
      <c r="K219" s="67" t="str">
        <f aca="false">IF(F219&lt;&gt;1,"",COUNTIFS($E$5:$E$304,E219,$F$5:$F$304,1,$B$5:$B$304,"&lt;"&amp;B219)+1)</f>
        <v/>
      </c>
      <c r="L219" s="67" t="str">
        <f aca="false">IF(K219="","",E219&amp;"|"&amp;K219)</f>
        <v/>
      </c>
      <c r="M219" s="67" t="str">
        <f aca="false">IF(F219&lt;&gt;1,"",IF(COUNTIFS($C$5:C219,C219,$F$5:F219,1)=1,1,0))</f>
        <v/>
      </c>
      <c r="N219" s="67" t="str">
        <f aca="false">IF(M219&lt;&gt;1,"",_xlfn.MINIFS($B$5:$B$304,$C$5:$C$304,C219,$F$5:$F$304,1))</f>
        <v/>
      </c>
      <c r="O219" s="67" t="str">
        <f aca="false">IF(M219&lt;&gt;1,"",COUNTIFS($M$5:$M$304,1,$N$5:$N$304,"&lt;"&amp;N219)+1)</f>
        <v/>
      </c>
      <c r="P219" s="68" t="str">
        <f aca="false">IF(OR(B219="",取込チェック!$K$3=0),"",SUMIF(取込チェック!$K$6:$K$505,B219,取込チェック!$L$6:$L$505))</f>
        <v/>
      </c>
      <c r="Q219" s="68" t="str">
        <f aca="false">IF(OR(B219="",取込チェック!$K$3=0),"",SUMIF(取込チェック!$K$6:$K$505,B219,取込チェック!$M$6:$M$505))</f>
        <v/>
      </c>
      <c r="R219" s="68" t="str">
        <f aca="false">IF(P219="","",G219-P219)</f>
        <v/>
      </c>
      <c r="S219" s="68" t="str">
        <f aca="false">IF(Q219="","",I219-Q219)</f>
        <v/>
      </c>
    </row>
    <row r="220" customFormat="false" ht="15" hidden="false" customHeight="false" outlineLevel="0" collapsed="false">
      <c r="A220" s="64" t="str">
        <f aca="false">IF(B220="","",ROW()-4)</f>
        <v/>
      </c>
      <c r="B220" s="65"/>
      <c r="C220" s="65"/>
      <c r="D220" s="65"/>
      <c r="E220" s="66"/>
      <c r="F220" s="67" t="str">
        <f aca="false">IF(B220="","",IF(COUNTIF(取込チェック!$C$6:$C$505,B220)&gt;0,1,0))</f>
        <v/>
      </c>
      <c r="G220" s="68" t="str">
        <f aca="false">IF(B220="","",SUMIF(取込チェック!$C$6:$C$505,B220,取込チェック!$D$6:$D$505))</f>
        <v/>
      </c>
      <c r="H220" s="68" t="str">
        <f aca="false">IF(B220="","",SUMIF(取込チェック!$C$6:$C$505,B220,取込チェック!$E$6:$E$505))</f>
        <v/>
      </c>
      <c r="I220" s="68" t="str">
        <f aca="false">IF(B220="","",SUMIF(取込チェック!$C$6:$C$505,B220,取込チェック!$F$6:$F$505))</f>
        <v/>
      </c>
      <c r="J220" s="69" t="str">
        <f aca="false">IF(F220&lt;&gt;1,"",IF(H220=0,"-",G220/H220))</f>
        <v/>
      </c>
      <c r="K220" s="67" t="str">
        <f aca="false">IF(F220&lt;&gt;1,"",COUNTIFS($E$5:$E$304,E220,$F$5:$F$304,1,$B$5:$B$304,"&lt;"&amp;B220)+1)</f>
        <v/>
      </c>
      <c r="L220" s="67" t="str">
        <f aca="false">IF(K220="","",E220&amp;"|"&amp;K220)</f>
        <v/>
      </c>
      <c r="M220" s="67" t="str">
        <f aca="false">IF(F220&lt;&gt;1,"",IF(COUNTIFS($C$5:C220,C220,$F$5:F220,1)=1,1,0))</f>
        <v/>
      </c>
      <c r="N220" s="67" t="str">
        <f aca="false">IF(M220&lt;&gt;1,"",_xlfn.MINIFS($B$5:$B$304,$C$5:$C$304,C220,$F$5:$F$304,1))</f>
        <v/>
      </c>
      <c r="O220" s="67" t="str">
        <f aca="false">IF(M220&lt;&gt;1,"",COUNTIFS($M$5:$M$304,1,$N$5:$N$304,"&lt;"&amp;N220)+1)</f>
        <v/>
      </c>
      <c r="P220" s="68" t="str">
        <f aca="false">IF(OR(B220="",取込チェック!$K$3=0),"",SUMIF(取込チェック!$K$6:$K$505,B220,取込チェック!$L$6:$L$505))</f>
        <v/>
      </c>
      <c r="Q220" s="68" t="str">
        <f aca="false">IF(OR(B220="",取込チェック!$K$3=0),"",SUMIF(取込チェック!$K$6:$K$505,B220,取込チェック!$M$6:$M$505))</f>
        <v/>
      </c>
      <c r="R220" s="68" t="str">
        <f aca="false">IF(P220="","",G220-P220)</f>
        <v/>
      </c>
      <c r="S220" s="68" t="str">
        <f aca="false">IF(Q220="","",I220-Q220)</f>
        <v/>
      </c>
    </row>
    <row r="221" customFormat="false" ht="15" hidden="false" customHeight="false" outlineLevel="0" collapsed="false">
      <c r="A221" s="64" t="str">
        <f aca="false">IF(B221="","",ROW()-4)</f>
        <v/>
      </c>
      <c r="B221" s="65"/>
      <c r="C221" s="65"/>
      <c r="D221" s="65"/>
      <c r="E221" s="66"/>
      <c r="F221" s="67" t="str">
        <f aca="false">IF(B221="","",IF(COUNTIF(取込チェック!$C$6:$C$505,B221)&gt;0,1,0))</f>
        <v/>
      </c>
      <c r="G221" s="68" t="str">
        <f aca="false">IF(B221="","",SUMIF(取込チェック!$C$6:$C$505,B221,取込チェック!$D$6:$D$505))</f>
        <v/>
      </c>
      <c r="H221" s="68" t="str">
        <f aca="false">IF(B221="","",SUMIF(取込チェック!$C$6:$C$505,B221,取込チェック!$E$6:$E$505))</f>
        <v/>
      </c>
      <c r="I221" s="68" t="str">
        <f aca="false">IF(B221="","",SUMIF(取込チェック!$C$6:$C$505,B221,取込チェック!$F$6:$F$505))</f>
        <v/>
      </c>
      <c r="J221" s="69" t="str">
        <f aca="false">IF(F221&lt;&gt;1,"",IF(H221=0,"-",G221/H221))</f>
        <v/>
      </c>
      <c r="K221" s="67" t="str">
        <f aca="false">IF(F221&lt;&gt;1,"",COUNTIFS($E$5:$E$304,E221,$F$5:$F$304,1,$B$5:$B$304,"&lt;"&amp;B221)+1)</f>
        <v/>
      </c>
      <c r="L221" s="67" t="str">
        <f aca="false">IF(K221="","",E221&amp;"|"&amp;K221)</f>
        <v/>
      </c>
      <c r="M221" s="67" t="str">
        <f aca="false">IF(F221&lt;&gt;1,"",IF(COUNTIFS($C$5:C221,C221,$F$5:F221,1)=1,1,0))</f>
        <v/>
      </c>
      <c r="N221" s="67" t="str">
        <f aca="false">IF(M221&lt;&gt;1,"",_xlfn.MINIFS($B$5:$B$304,$C$5:$C$304,C221,$F$5:$F$304,1))</f>
        <v/>
      </c>
      <c r="O221" s="67" t="str">
        <f aca="false">IF(M221&lt;&gt;1,"",COUNTIFS($M$5:$M$304,1,$N$5:$N$304,"&lt;"&amp;N221)+1)</f>
        <v/>
      </c>
      <c r="P221" s="68" t="str">
        <f aca="false">IF(OR(B221="",取込チェック!$K$3=0),"",SUMIF(取込チェック!$K$6:$K$505,B221,取込チェック!$L$6:$L$505))</f>
        <v/>
      </c>
      <c r="Q221" s="68" t="str">
        <f aca="false">IF(OR(B221="",取込チェック!$K$3=0),"",SUMIF(取込チェック!$K$6:$K$505,B221,取込チェック!$M$6:$M$505))</f>
        <v/>
      </c>
      <c r="R221" s="68" t="str">
        <f aca="false">IF(P221="","",G221-P221)</f>
        <v/>
      </c>
      <c r="S221" s="68" t="str">
        <f aca="false">IF(Q221="","",I221-Q221)</f>
        <v/>
      </c>
    </row>
    <row r="222" customFormat="false" ht="15" hidden="false" customHeight="false" outlineLevel="0" collapsed="false">
      <c r="A222" s="64" t="str">
        <f aca="false">IF(B222="","",ROW()-4)</f>
        <v/>
      </c>
      <c r="B222" s="65"/>
      <c r="C222" s="65"/>
      <c r="D222" s="65"/>
      <c r="E222" s="66"/>
      <c r="F222" s="67" t="str">
        <f aca="false">IF(B222="","",IF(COUNTIF(取込チェック!$C$6:$C$505,B222)&gt;0,1,0))</f>
        <v/>
      </c>
      <c r="G222" s="68" t="str">
        <f aca="false">IF(B222="","",SUMIF(取込チェック!$C$6:$C$505,B222,取込チェック!$D$6:$D$505))</f>
        <v/>
      </c>
      <c r="H222" s="68" t="str">
        <f aca="false">IF(B222="","",SUMIF(取込チェック!$C$6:$C$505,B222,取込チェック!$E$6:$E$505))</f>
        <v/>
      </c>
      <c r="I222" s="68" t="str">
        <f aca="false">IF(B222="","",SUMIF(取込チェック!$C$6:$C$505,B222,取込チェック!$F$6:$F$505))</f>
        <v/>
      </c>
      <c r="J222" s="69" t="str">
        <f aca="false">IF(F222&lt;&gt;1,"",IF(H222=0,"-",G222/H222))</f>
        <v/>
      </c>
      <c r="K222" s="67" t="str">
        <f aca="false">IF(F222&lt;&gt;1,"",COUNTIFS($E$5:$E$304,E222,$F$5:$F$304,1,$B$5:$B$304,"&lt;"&amp;B222)+1)</f>
        <v/>
      </c>
      <c r="L222" s="67" t="str">
        <f aca="false">IF(K222="","",E222&amp;"|"&amp;K222)</f>
        <v/>
      </c>
      <c r="M222" s="67" t="str">
        <f aca="false">IF(F222&lt;&gt;1,"",IF(COUNTIFS($C$5:C222,C222,$F$5:F222,1)=1,1,0))</f>
        <v/>
      </c>
      <c r="N222" s="67" t="str">
        <f aca="false">IF(M222&lt;&gt;1,"",_xlfn.MINIFS($B$5:$B$304,$C$5:$C$304,C222,$F$5:$F$304,1))</f>
        <v/>
      </c>
      <c r="O222" s="67" t="str">
        <f aca="false">IF(M222&lt;&gt;1,"",COUNTIFS($M$5:$M$304,1,$N$5:$N$304,"&lt;"&amp;N222)+1)</f>
        <v/>
      </c>
      <c r="P222" s="68" t="str">
        <f aca="false">IF(OR(B222="",取込チェック!$K$3=0),"",SUMIF(取込チェック!$K$6:$K$505,B222,取込チェック!$L$6:$L$505))</f>
        <v/>
      </c>
      <c r="Q222" s="68" t="str">
        <f aca="false">IF(OR(B222="",取込チェック!$K$3=0),"",SUMIF(取込チェック!$K$6:$K$505,B222,取込チェック!$M$6:$M$505))</f>
        <v/>
      </c>
      <c r="R222" s="68" t="str">
        <f aca="false">IF(P222="","",G222-P222)</f>
        <v/>
      </c>
      <c r="S222" s="68" t="str">
        <f aca="false">IF(Q222="","",I222-Q222)</f>
        <v/>
      </c>
    </row>
    <row r="223" customFormat="false" ht="15" hidden="false" customHeight="false" outlineLevel="0" collapsed="false">
      <c r="A223" s="64" t="str">
        <f aca="false">IF(B223="","",ROW()-4)</f>
        <v/>
      </c>
      <c r="B223" s="65"/>
      <c r="C223" s="65"/>
      <c r="D223" s="65"/>
      <c r="E223" s="66"/>
      <c r="F223" s="67" t="str">
        <f aca="false">IF(B223="","",IF(COUNTIF(取込チェック!$C$6:$C$505,B223)&gt;0,1,0))</f>
        <v/>
      </c>
      <c r="G223" s="68" t="str">
        <f aca="false">IF(B223="","",SUMIF(取込チェック!$C$6:$C$505,B223,取込チェック!$D$6:$D$505))</f>
        <v/>
      </c>
      <c r="H223" s="68" t="str">
        <f aca="false">IF(B223="","",SUMIF(取込チェック!$C$6:$C$505,B223,取込チェック!$E$6:$E$505))</f>
        <v/>
      </c>
      <c r="I223" s="68" t="str">
        <f aca="false">IF(B223="","",SUMIF(取込チェック!$C$6:$C$505,B223,取込チェック!$F$6:$F$505))</f>
        <v/>
      </c>
      <c r="J223" s="69" t="str">
        <f aca="false">IF(F223&lt;&gt;1,"",IF(H223=0,"-",G223/H223))</f>
        <v/>
      </c>
      <c r="K223" s="67" t="str">
        <f aca="false">IF(F223&lt;&gt;1,"",COUNTIFS($E$5:$E$304,E223,$F$5:$F$304,1,$B$5:$B$304,"&lt;"&amp;B223)+1)</f>
        <v/>
      </c>
      <c r="L223" s="67" t="str">
        <f aca="false">IF(K223="","",E223&amp;"|"&amp;K223)</f>
        <v/>
      </c>
      <c r="M223" s="67" t="str">
        <f aca="false">IF(F223&lt;&gt;1,"",IF(COUNTIFS($C$5:C223,C223,$F$5:F223,1)=1,1,0))</f>
        <v/>
      </c>
      <c r="N223" s="67" t="str">
        <f aca="false">IF(M223&lt;&gt;1,"",_xlfn.MINIFS($B$5:$B$304,$C$5:$C$304,C223,$F$5:$F$304,1))</f>
        <v/>
      </c>
      <c r="O223" s="67" t="str">
        <f aca="false">IF(M223&lt;&gt;1,"",COUNTIFS($M$5:$M$304,1,$N$5:$N$304,"&lt;"&amp;N223)+1)</f>
        <v/>
      </c>
      <c r="P223" s="68" t="str">
        <f aca="false">IF(OR(B223="",取込チェック!$K$3=0),"",SUMIF(取込チェック!$K$6:$K$505,B223,取込チェック!$L$6:$L$505))</f>
        <v/>
      </c>
      <c r="Q223" s="68" t="str">
        <f aca="false">IF(OR(B223="",取込チェック!$K$3=0),"",SUMIF(取込チェック!$K$6:$K$505,B223,取込チェック!$M$6:$M$505))</f>
        <v/>
      </c>
      <c r="R223" s="68" t="str">
        <f aca="false">IF(P223="","",G223-P223)</f>
        <v/>
      </c>
      <c r="S223" s="68" t="str">
        <f aca="false">IF(Q223="","",I223-Q223)</f>
        <v/>
      </c>
    </row>
    <row r="224" customFormat="false" ht="15" hidden="false" customHeight="false" outlineLevel="0" collapsed="false">
      <c r="A224" s="64" t="str">
        <f aca="false">IF(B224="","",ROW()-4)</f>
        <v/>
      </c>
      <c r="B224" s="65"/>
      <c r="C224" s="65"/>
      <c r="D224" s="65"/>
      <c r="E224" s="66"/>
      <c r="F224" s="67" t="str">
        <f aca="false">IF(B224="","",IF(COUNTIF(取込チェック!$C$6:$C$505,B224)&gt;0,1,0))</f>
        <v/>
      </c>
      <c r="G224" s="68" t="str">
        <f aca="false">IF(B224="","",SUMIF(取込チェック!$C$6:$C$505,B224,取込チェック!$D$6:$D$505))</f>
        <v/>
      </c>
      <c r="H224" s="68" t="str">
        <f aca="false">IF(B224="","",SUMIF(取込チェック!$C$6:$C$505,B224,取込チェック!$E$6:$E$505))</f>
        <v/>
      </c>
      <c r="I224" s="68" t="str">
        <f aca="false">IF(B224="","",SUMIF(取込チェック!$C$6:$C$505,B224,取込チェック!$F$6:$F$505))</f>
        <v/>
      </c>
      <c r="J224" s="69" t="str">
        <f aca="false">IF(F224&lt;&gt;1,"",IF(H224=0,"-",G224/H224))</f>
        <v/>
      </c>
      <c r="K224" s="67" t="str">
        <f aca="false">IF(F224&lt;&gt;1,"",COUNTIFS($E$5:$E$304,E224,$F$5:$F$304,1,$B$5:$B$304,"&lt;"&amp;B224)+1)</f>
        <v/>
      </c>
      <c r="L224" s="67" t="str">
        <f aca="false">IF(K224="","",E224&amp;"|"&amp;K224)</f>
        <v/>
      </c>
      <c r="M224" s="67" t="str">
        <f aca="false">IF(F224&lt;&gt;1,"",IF(COUNTIFS($C$5:C224,C224,$F$5:F224,1)=1,1,0))</f>
        <v/>
      </c>
      <c r="N224" s="67" t="str">
        <f aca="false">IF(M224&lt;&gt;1,"",_xlfn.MINIFS($B$5:$B$304,$C$5:$C$304,C224,$F$5:$F$304,1))</f>
        <v/>
      </c>
      <c r="O224" s="67" t="str">
        <f aca="false">IF(M224&lt;&gt;1,"",COUNTIFS($M$5:$M$304,1,$N$5:$N$304,"&lt;"&amp;N224)+1)</f>
        <v/>
      </c>
      <c r="P224" s="68" t="str">
        <f aca="false">IF(OR(B224="",取込チェック!$K$3=0),"",SUMIF(取込チェック!$K$6:$K$505,B224,取込チェック!$L$6:$L$505))</f>
        <v/>
      </c>
      <c r="Q224" s="68" t="str">
        <f aca="false">IF(OR(B224="",取込チェック!$K$3=0),"",SUMIF(取込チェック!$K$6:$K$505,B224,取込チェック!$M$6:$M$505))</f>
        <v/>
      </c>
      <c r="R224" s="68" t="str">
        <f aca="false">IF(P224="","",G224-P224)</f>
        <v/>
      </c>
      <c r="S224" s="68" t="str">
        <f aca="false">IF(Q224="","",I224-Q224)</f>
        <v/>
      </c>
    </row>
    <row r="225" customFormat="false" ht="15" hidden="false" customHeight="false" outlineLevel="0" collapsed="false">
      <c r="A225" s="64" t="str">
        <f aca="false">IF(B225="","",ROW()-4)</f>
        <v/>
      </c>
      <c r="B225" s="65"/>
      <c r="C225" s="65"/>
      <c r="D225" s="65"/>
      <c r="E225" s="66"/>
      <c r="F225" s="67" t="str">
        <f aca="false">IF(B225="","",IF(COUNTIF(取込チェック!$C$6:$C$505,B225)&gt;0,1,0))</f>
        <v/>
      </c>
      <c r="G225" s="68" t="str">
        <f aca="false">IF(B225="","",SUMIF(取込チェック!$C$6:$C$505,B225,取込チェック!$D$6:$D$505))</f>
        <v/>
      </c>
      <c r="H225" s="68" t="str">
        <f aca="false">IF(B225="","",SUMIF(取込チェック!$C$6:$C$505,B225,取込チェック!$E$6:$E$505))</f>
        <v/>
      </c>
      <c r="I225" s="68" t="str">
        <f aca="false">IF(B225="","",SUMIF(取込チェック!$C$6:$C$505,B225,取込チェック!$F$6:$F$505))</f>
        <v/>
      </c>
      <c r="J225" s="69" t="str">
        <f aca="false">IF(F225&lt;&gt;1,"",IF(H225=0,"-",G225/H225))</f>
        <v/>
      </c>
      <c r="K225" s="67" t="str">
        <f aca="false">IF(F225&lt;&gt;1,"",COUNTIFS($E$5:$E$304,E225,$F$5:$F$304,1,$B$5:$B$304,"&lt;"&amp;B225)+1)</f>
        <v/>
      </c>
      <c r="L225" s="67" t="str">
        <f aca="false">IF(K225="","",E225&amp;"|"&amp;K225)</f>
        <v/>
      </c>
      <c r="M225" s="67" t="str">
        <f aca="false">IF(F225&lt;&gt;1,"",IF(COUNTIFS($C$5:C225,C225,$F$5:F225,1)=1,1,0))</f>
        <v/>
      </c>
      <c r="N225" s="67" t="str">
        <f aca="false">IF(M225&lt;&gt;1,"",_xlfn.MINIFS($B$5:$B$304,$C$5:$C$304,C225,$F$5:$F$304,1))</f>
        <v/>
      </c>
      <c r="O225" s="67" t="str">
        <f aca="false">IF(M225&lt;&gt;1,"",COUNTIFS($M$5:$M$304,1,$N$5:$N$304,"&lt;"&amp;N225)+1)</f>
        <v/>
      </c>
      <c r="P225" s="68" t="str">
        <f aca="false">IF(OR(B225="",取込チェック!$K$3=0),"",SUMIF(取込チェック!$K$6:$K$505,B225,取込チェック!$L$6:$L$505))</f>
        <v/>
      </c>
      <c r="Q225" s="68" t="str">
        <f aca="false">IF(OR(B225="",取込チェック!$K$3=0),"",SUMIF(取込チェック!$K$6:$K$505,B225,取込チェック!$M$6:$M$505))</f>
        <v/>
      </c>
      <c r="R225" s="68" t="str">
        <f aca="false">IF(P225="","",G225-P225)</f>
        <v/>
      </c>
      <c r="S225" s="68" t="str">
        <f aca="false">IF(Q225="","",I225-Q225)</f>
        <v/>
      </c>
    </row>
    <row r="226" customFormat="false" ht="15" hidden="false" customHeight="false" outlineLevel="0" collapsed="false">
      <c r="A226" s="64" t="str">
        <f aca="false">IF(B226="","",ROW()-4)</f>
        <v/>
      </c>
      <c r="B226" s="65"/>
      <c r="C226" s="65"/>
      <c r="D226" s="65"/>
      <c r="E226" s="66"/>
      <c r="F226" s="67" t="str">
        <f aca="false">IF(B226="","",IF(COUNTIF(取込チェック!$C$6:$C$505,B226)&gt;0,1,0))</f>
        <v/>
      </c>
      <c r="G226" s="68" t="str">
        <f aca="false">IF(B226="","",SUMIF(取込チェック!$C$6:$C$505,B226,取込チェック!$D$6:$D$505))</f>
        <v/>
      </c>
      <c r="H226" s="68" t="str">
        <f aca="false">IF(B226="","",SUMIF(取込チェック!$C$6:$C$505,B226,取込チェック!$E$6:$E$505))</f>
        <v/>
      </c>
      <c r="I226" s="68" t="str">
        <f aca="false">IF(B226="","",SUMIF(取込チェック!$C$6:$C$505,B226,取込チェック!$F$6:$F$505))</f>
        <v/>
      </c>
      <c r="J226" s="69" t="str">
        <f aca="false">IF(F226&lt;&gt;1,"",IF(H226=0,"-",G226/H226))</f>
        <v/>
      </c>
      <c r="K226" s="67" t="str">
        <f aca="false">IF(F226&lt;&gt;1,"",COUNTIFS($E$5:$E$304,E226,$F$5:$F$304,1,$B$5:$B$304,"&lt;"&amp;B226)+1)</f>
        <v/>
      </c>
      <c r="L226" s="67" t="str">
        <f aca="false">IF(K226="","",E226&amp;"|"&amp;K226)</f>
        <v/>
      </c>
      <c r="M226" s="67" t="str">
        <f aca="false">IF(F226&lt;&gt;1,"",IF(COUNTIFS($C$5:C226,C226,$F$5:F226,1)=1,1,0))</f>
        <v/>
      </c>
      <c r="N226" s="67" t="str">
        <f aca="false">IF(M226&lt;&gt;1,"",_xlfn.MINIFS($B$5:$B$304,$C$5:$C$304,C226,$F$5:$F$304,1))</f>
        <v/>
      </c>
      <c r="O226" s="67" t="str">
        <f aca="false">IF(M226&lt;&gt;1,"",COUNTIFS($M$5:$M$304,1,$N$5:$N$304,"&lt;"&amp;N226)+1)</f>
        <v/>
      </c>
      <c r="P226" s="68" t="str">
        <f aca="false">IF(OR(B226="",取込チェック!$K$3=0),"",SUMIF(取込チェック!$K$6:$K$505,B226,取込チェック!$L$6:$L$505))</f>
        <v/>
      </c>
      <c r="Q226" s="68" t="str">
        <f aca="false">IF(OR(B226="",取込チェック!$K$3=0),"",SUMIF(取込チェック!$K$6:$K$505,B226,取込チェック!$M$6:$M$505))</f>
        <v/>
      </c>
      <c r="R226" s="68" t="str">
        <f aca="false">IF(P226="","",G226-P226)</f>
        <v/>
      </c>
      <c r="S226" s="68" t="str">
        <f aca="false">IF(Q226="","",I226-Q226)</f>
        <v/>
      </c>
    </row>
    <row r="227" customFormat="false" ht="15" hidden="false" customHeight="false" outlineLevel="0" collapsed="false">
      <c r="A227" s="64" t="str">
        <f aca="false">IF(B227="","",ROW()-4)</f>
        <v/>
      </c>
      <c r="B227" s="65"/>
      <c r="C227" s="65"/>
      <c r="D227" s="65"/>
      <c r="E227" s="66"/>
      <c r="F227" s="67" t="str">
        <f aca="false">IF(B227="","",IF(COUNTIF(取込チェック!$C$6:$C$505,B227)&gt;0,1,0))</f>
        <v/>
      </c>
      <c r="G227" s="68" t="str">
        <f aca="false">IF(B227="","",SUMIF(取込チェック!$C$6:$C$505,B227,取込チェック!$D$6:$D$505))</f>
        <v/>
      </c>
      <c r="H227" s="68" t="str">
        <f aca="false">IF(B227="","",SUMIF(取込チェック!$C$6:$C$505,B227,取込チェック!$E$6:$E$505))</f>
        <v/>
      </c>
      <c r="I227" s="68" t="str">
        <f aca="false">IF(B227="","",SUMIF(取込チェック!$C$6:$C$505,B227,取込チェック!$F$6:$F$505))</f>
        <v/>
      </c>
      <c r="J227" s="69" t="str">
        <f aca="false">IF(F227&lt;&gt;1,"",IF(H227=0,"-",G227/H227))</f>
        <v/>
      </c>
      <c r="K227" s="67" t="str">
        <f aca="false">IF(F227&lt;&gt;1,"",COUNTIFS($E$5:$E$304,E227,$F$5:$F$304,1,$B$5:$B$304,"&lt;"&amp;B227)+1)</f>
        <v/>
      </c>
      <c r="L227" s="67" t="str">
        <f aca="false">IF(K227="","",E227&amp;"|"&amp;K227)</f>
        <v/>
      </c>
      <c r="M227" s="67" t="str">
        <f aca="false">IF(F227&lt;&gt;1,"",IF(COUNTIFS($C$5:C227,C227,$F$5:F227,1)=1,1,0))</f>
        <v/>
      </c>
      <c r="N227" s="67" t="str">
        <f aca="false">IF(M227&lt;&gt;1,"",_xlfn.MINIFS($B$5:$B$304,$C$5:$C$304,C227,$F$5:$F$304,1))</f>
        <v/>
      </c>
      <c r="O227" s="67" t="str">
        <f aca="false">IF(M227&lt;&gt;1,"",COUNTIFS($M$5:$M$304,1,$N$5:$N$304,"&lt;"&amp;N227)+1)</f>
        <v/>
      </c>
      <c r="P227" s="68" t="str">
        <f aca="false">IF(OR(B227="",取込チェック!$K$3=0),"",SUMIF(取込チェック!$K$6:$K$505,B227,取込チェック!$L$6:$L$505))</f>
        <v/>
      </c>
      <c r="Q227" s="68" t="str">
        <f aca="false">IF(OR(B227="",取込チェック!$K$3=0),"",SUMIF(取込チェック!$K$6:$K$505,B227,取込チェック!$M$6:$M$505))</f>
        <v/>
      </c>
      <c r="R227" s="68" t="str">
        <f aca="false">IF(P227="","",G227-P227)</f>
        <v/>
      </c>
      <c r="S227" s="68" t="str">
        <f aca="false">IF(Q227="","",I227-Q227)</f>
        <v/>
      </c>
    </row>
    <row r="228" customFormat="false" ht="15" hidden="false" customHeight="false" outlineLevel="0" collapsed="false">
      <c r="A228" s="64" t="str">
        <f aca="false">IF(B228="","",ROW()-4)</f>
        <v/>
      </c>
      <c r="B228" s="65"/>
      <c r="C228" s="65"/>
      <c r="D228" s="65"/>
      <c r="E228" s="66"/>
      <c r="F228" s="67" t="str">
        <f aca="false">IF(B228="","",IF(COUNTIF(取込チェック!$C$6:$C$505,B228)&gt;0,1,0))</f>
        <v/>
      </c>
      <c r="G228" s="68" t="str">
        <f aca="false">IF(B228="","",SUMIF(取込チェック!$C$6:$C$505,B228,取込チェック!$D$6:$D$505))</f>
        <v/>
      </c>
      <c r="H228" s="68" t="str">
        <f aca="false">IF(B228="","",SUMIF(取込チェック!$C$6:$C$505,B228,取込チェック!$E$6:$E$505))</f>
        <v/>
      </c>
      <c r="I228" s="68" t="str">
        <f aca="false">IF(B228="","",SUMIF(取込チェック!$C$6:$C$505,B228,取込チェック!$F$6:$F$505))</f>
        <v/>
      </c>
      <c r="J228" s="69" t="str">
        <f aca="false">IF(F228&lt;&gt;1,"",IF(H228=0,"-",G228/H228))</f>
        <v/>
      </c>
      <c r="K228" s="67" t="str">
        <f aca="false">IF(F228&lt;&gt;1,"",COUNTIFS($E$5:$E$304,E228,$F$5:$F$304,1,$B$5:$B$304,"&lt;"&amp;B228)+1)</f>
        <v/>
      </c>
      <c r="L228" s="67" t="str">
        <f aca="false">IF(K228="","",E228&amp;"|"&amp;K228)</f>
        <v/>
      </c>
      <c r="M228" s="67" t="str">
        <f aca="false">IF(F228&lt;&gt;1,"",IF(COUNTIFS($C$5:C228,C228,$F$5:F228,1)=1,1,0))</f>
        <v/>
      </c>
      <c r="N228" s="67" t="str">
        <f aca="false">IF(M228&lt;&gt;1,"",_xlfn.MINIFS($B$5:$B$304,$C$5:$C$304,C228,$F$5:$F$304,1))</f>
        <v/>
      </c>
      <c r="O228" s="67" t="str">
        <f aca="false">IF(M228&lt;&gt;1,"",COUNTIFS($M$5:$M$304,1,$N$5:$N$304,"&lt;"&amp;N228)+1)</f>
        <v/>
      </c>
      <c r="P228" s="68" t="str">
        <f aca="false">IF(OR(B228="",取込チェック!$K$3=0),"",SUMIF(取込チェック!$K$6:$K$505,B228,取込チェック!$L$6:$L$505))</f>
        <v/>
      </c>
      <c r="Q228" s="68" t="str">
        <f aca="false">IF(OR(B228="",取込チェック!$K$3=0),"",SUMIF(取込チェック!$K$6:$K$505,B228,取込チェック!$M$6:$M$505))</f>
        <v/>
      </c>
      <c r="R228" s="68" t="str">
        <f aca="false">IF(P228="","",G228-P228)</f>
        <v/>
      </c>
      <c r="S228" s="68" t="str">
        <f aca="false">IF(Q228="","",I228-Q228)</f>
        <v/>
      </c>
    </row>
    <row r="229" customFormat="false" ht="15" hidden="false" customHeight="false" outlineLevel="0" collapsed="false">
      <c r="A229" s="64" t="str">
        <f aca="false">IF(B229="","",ROW()-4)</f>
        <v/>
      </c>
      <c r="B229" s="65"/>
      <c r="C229" s="65"/>
      <c r="D229" s="65"/>
      <c r="E229" s="66"/>
      <c r="F229" s="67" t="str">
        <f aca="false">IF(B229="","",IF(COUNTIF(取込チェック!$C$6:$C$505,B229)&gt;0,1,0))</f>
        <v/>
      </c>
      <c r="G229" s="68" t="str">
        <f aca="false">IF(B229="","",SUMIF(取込チェック!$C$6:$C$505,B229,取込チェック!$D$6:$D$505))</f>
        <v/>
      </c>
      <c r="H229" s="68" t="str">
        <f aca="false">IF(B229="","",SUMIF(取込チェック!$C$6:$C$505,B229,取込チェック!$E$6:$E$505))</f>
        <v/>
      </c>
      <c r="I229" s="68" t="str">
        <f aca="false">IF(B229="","",SUMIF(取込チェック!$C$6:$C$505,B229,取込チェック!$F$6:$F$505))</f>
        <v/>
      </c>
      <c r="J229" s="69" t="str">
        <f aca="false">IF(F229&lt;&gt;1,"",IF(H229=0,"-",G229/H229))</f>
        <v/>
      </c>
      <c r="K229" s="67" t="str">
        <f aca="false">IF(F229&lt;&gt;1,"",COUNTIFS($E$5:$E$304,E229,$F$5:$F$304,1,$B$5:$B$304,"&lt;"&amp;B229)+1)</f>
        <v/>
      </c>
      <c r="L229" s="67" t="str">
        <f aca="false">IF(K229="","",E229&amp;"|"&amp;K229)</f>
        <v/>
      </c>
      <c r="M229" s="67" t="str">
        <f aca="false">IF(F229&lt;&gt;1,"",IF(COUNTIFS($C$5:C229,C229,$F$5:F229,1)=1,1,0))</f>
        <v/>
      </c>
      <c r="N229" s="67" t="str">
        <f aca="false">IF(M229&lt;&gt;1,"",_xlfn.MINIFS($B$5:$B$304,$C$5:$C$304,C229,$F$5:$F$304,1))</f>
        <v/>
      </c>
      <c r="O229" s="67" t="str">
        <f aca="false">IF(M229&lt;&gt;1,"",COUNTIFS($M$5:$M$304,1,$N$5:$N$304,"&lt;"&amp;N229)+1)</f>
        <v/>
      </c>
      <c r="P229" s="68" t="str">
        <f aca="false">IF(OR(B229="",取込チェック!$K$3=0),"",SUMIF(取込チェック!$K$6:$K$505,B229,取込チェック!$L$6:$L$505))</f>
        <v/>
      </c>
      <c r="Q229" s="68" t="str">
        <f aca="false">IF(OR(B229="",取込チェック!$K$3=0),"",SUMIF(取込チェック!$K$6:$K$505,B229,取込チェック!$M$6:$M$505))</f>
        <v/>
      </c>
      <c r="R229" s="68" t="str">
        <f aca="false">IF(P229="","",G229-P229)</f>
        <v/>
      </c>
      <c r="S229" s="68" t="str">
        <f aca="false">IF(Q229="","",I229-Q229)</f>
        <v/>
      </c>
    </row>
    <row r="230" customFormat="false" ht="15" hidden="false" customHeight="false" outlineLevel="0" collapsed="false">
      <c r="A230" s="64" t="str">
        <f aca="false">IF(B230="","",ROW()-4)</f>
        <v/>
      </c>
      <c r="B230" s="65"/>
      <c r="C230" s="65"/>
      <c r="D230" s="65"/>
      <c r="E230" s="66"/>
      <c r="F230" s="67" t="str">
        <f aca="false">IF(B230="","",IF(COUNTIF(取込チェック!$C$6:$C$505,B230)&gt;0,1,0))</f>
        <v/>
      </c>
      <c r="G230" s="68" t="str">
        <f aca="false">IF(B230="","",SUMIF(取込チェック!$C$6:$C$505,B230,取込チェック!$D$6:$D$505))</f>
        <v/>
      </c>
      <c r="H230" s="68" t="str">
        <f aca="false">IF(B230="","",SUMIF(取込チェック!$C$6:$C$505,B230,取込チェック!$E$6:$E$505))</f>
        <v/>
      </c>
      <c r="I230" s="68" t="str">
        <f aca="false">IF(B230="","",SUMIF(取込チェック!$C$6:$C$505,B230,取込チェック!$F$6:$F$505))</f>
        <v/>
      </c>
      <c r="J230" s="69" t="str">
        <f aca="false">IF(F230&lt;&gt;1,"",IF(H230=0,"-",G230/H230))</f>
        <v/>
      </c>
      <c r="K230" s="67" t="str">
        <f aca="false">IF(F230&lt;&gt;1,"",COUNTIFS($E$5:$E$304,E230,$F$5:$F$304,1,$B$5:$B$304,"&lt;"&amp;B230)+1)</f>
        <v/>
      </c>
      <c r="L230" s="67" t="str">
        <f aca="false">IF(K230="","",E230&amp;"|"&amp;K230)</f>
        <v/>
      </c>
      <c r="M230" s="67" t="str">
        <f aca="false">IF(F230&lt;&gt;1,"",IF(COUNTIFS($C$5:C230,C230,$F$5:F230,1)=1,1,0))</f>
        <v/>
      </c>
      <c r="N230" s="67" t="str">
        <f aca="false">IF(M230&lt;&gt;1,"",_xlfn.MINIFS($B$5:$B$304,$C$5:$C$304,C230,$F$5:$F$304,1))</f>
        <v/>
      </c>
      <c r="O230" s="67" t="str">
        <f aca="false">IF(M230&lt;&gt;1,"",COUNTIFS($M$5:$M$304,1,$N$5:$N$304,"&lt;"&amp;N230)+1)</f>
        <v/>
      </c>
      <c r="P230" s="68" t="str">
        <f aca="false">IF(OR(B230="",取込チェック!$K$3=0),"",SUMIF(取込チェック!$K$6:$K$505,B230,取込チェック!$L$6:$L$505))</f>
        <v/>
      </c>
      <c r="Q230" s="68" t="str">
        <f aca="false">IF(OR(B230="",取込チェック!$K$3=0),"",SUMIF(取込チェック!$K$6:$K$505,B230,取込チェック!$M$6:$M$505))</f>
        <v/>
      </c>
      <c r="R230" s="68" t="str">
        <f aca="false">IF(P230="","",G230-P230)</f>
        <v/>
      </c>
      <c r="S230" s="68" t="str">
        <f aca="false">IF(Q230="","",I230-Q230)</f>
        <v/>
      </c>
    </row>
    <row r="231" customFormat="false" ht="15" hidden="false" customHeight="false" outlineLevel="0" collapsed="false">
      <c r="A231" s="64" t="str">
        <f aca="false">IF(B231="","",ROW()-4)</f>
        <v/>
      </c>
      <c r="B231" s="65"/>
      <c r="C231" s="65"/>
      <c r="D231" s="65"/>
      <c r="E231" s="66"/>
      <c r="F231" s="67" t="str">
        <f aca="false">IF(B231="","",IF(COUNTIF(取込チェック!$C$6:$C$505,B231)&gt;0,1,0))</f>
        <v/>
      </c>
      <c r="G231" s="68" t="str">
        <f aca="false">IF(B231="","",SUMIF(取込チェック!$C$6:$C$505,B231,取込チェック!$D$6:$D$505))</f>
        <v/>
      </c>
      <c r="H231" s="68" t="str">
        <f aca="false">IF(B231="","",SUMIF(取込チェック!$C$6:$C$505,B231,取込チェック!$E$6:$E$505))</f>
        <v/>
      </c>
      <c r="I231" s="68" t="str">
        <f aca="false">IF(B231="","",SUMIF(取込チェック!$C$6:$C$505,B231,取込チェック!$F$6:$F$505))</f>
        <v/>
      </c>
      <c r="J231" s="69" t="str">
        <f aca="false">IF(F231&lt;&gt;1,"",IF(H231=0,"-",G231/H231))</f>
        <v/>
      </c>
      <c r="K231" s="67" t="str">
        <f aca="false">IF(F231&lt;&gt;1,"",COUNTIFS($E$5:$E$304,E231,$F$5:$F$304,1,$B$5:$B$304,"&lt;"&amp;B231)+1)</f>
        <v/>
      </c>
      <c r="L231" s="67" t="str">
        <f aca="false">IF(K231="","",E231&amp;"|"&amp;K231)</f>
        <v/>
      </c>
      <c r="M231" s="67" t="str">
        <f aca="false">IF(F231&lt;&gt;1,"",IF(COUNTIFS($C$5:C231,C231,$F$5:F231,1)=1,1,0))</f>
        <v/>
      </c>
      <c r="N231" s="67" t="str">
        <f aca="false">IF(M231&lt;&gt;1,"",_xlfn.MINIFS($B$5:$B$304,$C$5:$C$304,C231,$F$5:$F$304,1))</f>
        <v/>
      </c>
      <c r="O231" s="67" t="str">
        <f aca="false">IF(M231&lt;&gt;1,"",COUNTIFS($M$5:$M$304,1,$N$5:$N$304,"&lt;"&amp;N231)+1)</f>
        <v/>
      </c>
      <c r="P231" s="68" t="str">
        <f aca="false">IF(OR(B231="",取込チェック!$K$3=0),"",SUMIF(取込チェック!$K$6:$K$505,B231,取込チェック!$L$6:$L$505))</f>
        <v/>
      </c>
      <c r="Q231" s="68" t="str">
        <f aca="false">IF(OR(B231="",取込チェック!$K$3=0),"",SUMIF(取込チェック!$K$6:$K$505,B231,取込チェック!$M$6:$M$505))</f>
        <v/>
      </c>
      <c r="R231" s="68" t="str">
        <f aca="false">IF(P231="","",G231-P231)</f>
        <v/>
      </c>
      <c r="S231" s="68" t="str">
        <f aca="false">IF(Q231="","",I231-Q231)</f>
        <v/>
      </c>
    </row>
    <row r="232" customFormat="false" ht="15" hidden="false" customHeight="false" outlineLevel="0" collapsed="false">
      <c r="A232" s="64" t="str">
        <f aca="false">IF(B232="","",ROW()-4)</f>
        <v/>
      </c>
      <c r="B232" s="65"/>
      <c r="C232" s="65"/>
      <c r="D232" s="65"/>
      <c r="E232" s="66"/>
      <c r="F232" s="67" t="str">
        <f aca="false">IF(B232="","",IF(COUNTIF(取込チェック!$C$6:$C$505,B232)&gt;0,1,0))</f>
        <v/>
      </c>
      <c r="G232" s="68" t="str">
        <f aca="false">IF(B232="","",SUMIF(取込チェック!$C$6:$C$505,B232,取込チェック!$D$6:$D$505))</f>
        <v/>
      </c>
      <c r="H232" s="68" t="str">
        <f aca="false">IF(B232="","",SUMIF(取込チェック!$C$6:$C$505,B232,取込チェック!$E$6:$E$505))</f>
        <v/>
      </c>
      <c r="I232" s="68" t="str">
        <f aca="false">IF(B232="","",SUMIF(取込チェック!$C$6:$C$505,B232,取込チェック!$F$6:$F$505))</f>
        <v/>
      </c>
      <c r="J232" s="69" t="str">
        <f aca="false">IF(F232&lt;&gt;1,"",IF(H232=0,"-",G232/H232))</f>
        <v/>
      </c>
      <c r="K232" s="67" t="str">
        <f aca="false">IF(F232&lt;&gt;1,"",COUNTIFS($E$5:$E$304,E232,$F$5:$F$304,1,$B$5:$B$304,"&lt;"&amp;B232)+1)</f>
        <v/>
      </c>
      <c r="L232" s="67" t="str">
        <f aca="false">IF(K232="","",E232&amp;"|"&amp;K232)</f>
        <v/>
      </c>
      <c r="M232" s="67" t="str">
        <f aca="false">IF(F232&lt;&gt;1,"",IF(COUNTIFS($C$5:C232,C232,$F$5:F232,1)=1,1,0))</f>
        <v/>
      </c>
      <c r="N232" s="67" t="str">
        <f aca="false">IF(M232&lt;&gt;1,"",_xlfn.MINIFS($B$5:$B$304,$C$5:$C$304,C232,$F$5:$F$304,1))</f>
        <v/>
      </c>
      <c r="O232" s="67" t="str">
        <f aca="false">IF(M232&lt;&gt;1,"",COUNTIFS($M$5:$M$304,1,$N$5:$N$304,"&lt;"&amp;N232)+1)</f>
        <v/>
      </c>
      <c r="P232" s="68" t="str">
        <f aca="false">IF(OR(B232="",取込チェック!$K$3=0),"",SUMIF(取込チェック!$K$6:$K$505,B232,取込チェック!$L$6:$L$505))</f>
        <v/>
      </c>
      <c r="Q232" s="68" t="str">
        <f aca="false">IF(OR(B232="",取込チェック!$K$3=0),"",SUMIF(取込チェック!$K$6:$K$505,B232,取込チェック!$M$6:$M$505))</f>
        <v/>
      </c>
      <c r="R232" s="68" t="str">
        <f aca="false">IF(P232="","",G232-P232)</f>
        <v/>
      </c>
      <c r="S232" s="68" t="str">
        <f aca="false">IF(Q232="","",I232-Q232)</f>
        <v/>
      </c>
    </row>
    <row r="233" customFormat="false" ht="15" hidden="false" customHeight="false" outlineLevel="0" collapsed="false">
      <c r="A233" s="64" t="str">
        <f aca="false">IF(B233="","",ROW()-4)</f>
        <v/>
      </c>
      <c r="B233" s="65"/>
      <c r="C233" s="65"/>
      <c r="D233" s="65"/>
      <c r="E233" s="66"/>
      <c r="F233" s="67" t="str">
        <f aca="false">IF(B233="","",IF(COUNTIF(取込チェック!$C$6:$C$505,B233)&gt;0,1,0))</f>
        <v/>
      </c>
      <c r="G233" s="68" t="str">
        <f aca="false">IF(B233="","",SUMIF(取込チェック!$C$6:$C$505,B233,取込チェック!$D$6:$D$505))</f>
        <v/>
      </c>
      <c r="H233" s="68" t="str">
        <f aca="false">IF(B233="","",SUMIF(取込チェック!$C$6:$C$505,B233,取込チェック!$E$6:$E$505))</f>
        <v/>
      </c>
      <c r="I233" s="68" t="str">
        <f aca="false">IF(B233="","",SUMIF(取込チェック!$C$6:$C$505,B233,取込チェック!$F$6:$F$505))</f>
        <v/>
      </c>
      <c r="J233" s="69" t="str">
        <f aca="false">IF(F233&lt;&gt;1,"",IF(H233=0,"-",G233/H233))</f>
        <v/>
      </c>
      <c r="K233" s="67" t="str">
        <f aca="false">IF(F233&lt;&gt;1,"",COUNTIFS($E$5:$E$304,E233,$F$5:$F$304,1,$B$5:$B$304,"&lt;"&amp;B233)+1)</f>
        <v/>
      </c>
      <c r="L233" s="67" t="str">
        <f aca="false">IF(K233="","",E233&amp;"|"&amp;K233)</f>
        <v/>
      </c>
      <c r="M233" s="67" t="str">
        <f aca="false">IF(F233&lt;&gt;1,"",IF(COUNTIFS($C$5:C233,C233,$F$5:F233,1)=1,1,0))</f>
        <v/>
      </c>
      <c r="N233" s="67" t="str">
        <f aca="false">IF(M233&lt;&gt;1,"",_xlfn.MINIFS($B$5:$B$304,$C$5:$C$304,C233,$F$5:$F$304,1))</f>
        <v/>
      </c>
      <c r="O233" s="67" t="str">
        <f aca="false">IF(M233&lt;&gt;1,"",COUNTIFS($M$5:$M$304,1,$N$5:$N$304,"&lt;"&amp;N233)+1)</f>
        <v/>
      </c>
      <c r="P233" s="68" t="str">
        <f aca="false">IF(OR(B233="",取込チェック!$K$3=0),"",SUMIF(取込チェック!$K$6:$K$505,B233,取込チェック!$L$6:$L$505))</f>
        <v/>
      </c>
      <c r="Q233" s="68" t="str">
        <f aca="false">IF(OR(B233="",取込チェック!$K$3=0),"",SUMIF(取込チェック!$K$6:$K$505,B233,取込チェック!$M$6:$M$505))</f>
        <v/>
      </c>
      <c r="R233" s="68" t="str">
        <f aca="false">IF(P233="","",G233-P233)</f>
        <v/>
      </c>
      <c r="S233" s="68" t="str">
        <f aca="false">IF(Q233="","",I233-Q233)</f>
        <v/>
      </c>
    </row>
    <row r="234" customFormat="false" ht="15" hidden="false" customHeight="false" outlineLevel="0" collapsed="false">
      <c r="A234" s="64" t="str">
        <f aca="false">IF(B234="","",ROW()-4)</f>
        <v/>
      </c>
      <c r="B234" s="65"/>
      <c r="C234" s="65"/>
      <c r="D234" s="65"/>
      <c r="E234" s="66"/>
      <c r="F234" s="67" t="str">
        <f aca="false">IF(B234="","",IF(COUNTIF(取込チェック!$C$6:$C$505,B234)&gt;0,1,0))</f>
        <v/>
      </c>
      <c r="G234" s="68" t="str">
        <f aca="false">IF(B234="","",SUMIF(取込チェック!$C$6:$C$505,B234,取込チェック!$D$6:$D$505))</f>
        <v/>
      </c>
      <c r="H234" s="68" t="str">
        <f aca="false">IF(B234="","",SUMIF(取込チェック!$C$6:$C$505,B234,取込チェック!$E$6:$E$505))</f>
        <v/>
      </c>
      <c r="I234" s="68" t="str">
        <f aca="false">IF(B234="","",SUMIF(取込チェック!$C$6:$C$505,B234,取込チェック!$F$6:$F$505))</f>
        <v/>
      </c>
      <c r="J234" s="69" t="str">
        <f aca="false">IF(F234&lt;&gt;1,"",IF(H234=0,"-",G234/H234))</f>
        <v/>
      </c>
      <c r="K234" s="67" t="str">
        <f aca="false">IF(F234&lt;&gt;1,"",COUNTIFS($E$5:$E$304,E234,$F$5:$F$304,1,$B$5:$B$304,"&lt;"&amp;B234)+1)</f>
        <v/>
      </c>
      <c r="L234" s="67" t="str">
        <f aca="false">IF(K234="","",E234&amp;"|"&amp;K234)</f>
        <v/>
      </c>
      <c r="M234" s="67" t="str">
        <f aca="false">IF(F234&lt;&gt;1,"",IF(COUNTIFS($C$5:C234,C234,$F$5:F234,1)=1,1,0))</f>
        <v/>
      </c>
      <c r="N234" s="67" t="str">
        <f aca="false">IF(M234&lt;&gt;1,"",_xlfn.MINIFS($B$5:$B$304,$C$5:$C$304,C234,$F$5:$F$304,1))</f>
        <v/>
      </c>
      <c r="O234" s="67" t="str">
        <f aca="false">IF(M234&lt;&gt;1,"",COUNTIFS($M$5:$M$304,1,$N$5:$N$304,"&lt;"&amp;N234)+1)</f>
        <v/>
      </c>
      <c r="P234" s="68" t="str">
        <f aca="false">IF(OR(B234="",取込チェック!$K$3=0),"",SUMIF(取込チェック!$K$6:$K$505,B234,取込チェック!$L$6:$L$505))</f>
        <v/>
      </c>
      <c r="Q234" s="68" t="str">
        <f aca="false">IF(OR(B234="",取込チェック!$K$3=0),"",SUMIF(取込チェック!$K$6:$K$505,B234,取込チェック!$M$6:$M$505))</f>
        <v/>
      </c>
      <c r="R234" s="68" t="str">
        <f aca="false">IF(P234="","",G234-P234)</f>
        <v/>
      </c>
      <c r="S234" s="68" t="str">
        <f aca="false">IF(Q234="","",I234-Q234)</f>
        <v/>
      </c>
    </row>
    <row r="235" customFormat="false" ht="15" hidden="false" customHeight="false" outlineLevel="0" collapsed="false">
      <c r="A235" s="64" t="str">
        <f aca="false">IF(B235="","",ROW()-4)</f>
        <v/>
      </c>
      <c r="B235" s="65"/>
      <c r="C235" s="65"/>
      <c r="D235" s="65"/>
      <c r="E235" s="66"/>
      <c r="F235" s="67" t="str">
        <f aca="false">IF(B235="","",IF(COUNTIF(取込チェック!$C$6:$C$505,B235)&gt;0,1,0))</f>
        <v/>
      </c>
      <c r="G235" s="68" t="str">
        <f aca="false">IF(B235="","",SUMIF(取込チェック!$C$6:$C$505,B235,取込チェック!$D$6:$D$505))</f>
        <v/>
      </c>
      <c r="H235" s="68" t="str">
        <f aca="false">IF(B235="","",SUMIF(取込チェック!$C$6:$C$505,B235,取込チェック!$E$6:$E$505))</f>
        <v/>
      </c>
      <c r="I235" s="68" t="str">
        <f aca="false">IF(B235="","",SUMIF(取込チェック!$C$6:$C$505,B235,取込チェック!$F$6:$F$505))</f>
        <v/>
      </c>
      <c r="J235" s="69" t="str">
        <f aca="false">IF(F235&lt;&gt;1,"",IF(H235=0,"-",G235/H235))</f>
        <v/>
      </c>
      <c r="K235" s="67" t="str">
        <f aca="false">IF(F235&lt;&gt;1,"",COUNTIFS($E$5:$E$304,E235,$F$5:$F$304,1,$B$5:$B$304,"&lt;"&amp;B235)+1)</f>
        <v/>
      </c>
      <c r="L235" s="67" t="str">
        <f aca="false">IF(K235="","",E235&amp;"|"&amp;K235)</f>
        <v/>
      </c>
      <c r="M235" s="67" t="str">
        <f aca="false">IF(F235&lt;&gt;1,"",IF(COUNTIFS($C$5:C235,C235,$F$5:F235,1)=1,1,0))</f>
        <v/>
      </c>
      <c r="N235" s="67" t="str">
        <f aca="false">IF(M235&lt;&gt;1,"",_xlfn.MINIFS($B$5:$B$304,$C$5:$C$304,C235,$F$5:$F$304,1))</f>
        <v/>
      </c>
      <c r="O235" s="67" t="str">
        <f aca="false">IF(M235&lt;&gt;1,"",COUNTIFS($M$5:$M$304,1,$N$5:$N$304,"&lt;"&amp;N235)+1)</f>
        <v/>
      </c>
      <c r="P235" s="68" t="str">
        <f aca="false">IF(OR(B235="",取込チェック!$K$3=0),"",SUMIF(取込チェック!$K$6:$K$505,B235,取込チェック!$L$6:$L$505))</f>
        <v/>
      </c>
      <c r="Q235" s="68" t="str">
        <f aca="false">IF(OR(B235="",取込チェック!$K$3=0),"",SUMIF(取込チェック!$K$6:$K$505,B235,取込チェック!$M$6:$M$505))</f>
        <v/>
      </c>
      <c r="R235" s="68" t="str">
        <f aca="false">IF(P235="","",G235-P235)</f>
        <v/>
      </c>
      <c r="S235" s="68" t="str">
        <f aca="false">IF(Q235="","",I235-Q235)</f>
        <v/>
      </c>
    </row>
    <row r="236" customFormat="false" ht="15" hidden="false" customHeight="false" outlineLevel="0" collapsed="false">
      <c r="A236" s="64" t="str">
        <f aca="false">IF(B236="","",ROW()-4)</f>
        <v/>
      </c>
      <c r="B236" s="65"/>
      <c r="C236" s="65"/>
      <c r="D236" s="65"/>
      <c r="E236" s="66"/>
      <c r="F236" s="67" t="str">
        <f aca="false">IF(B236="","",IF(COUNTIF(取込チェック!$C$6:$C$505,B236)&gt;0,1,0))</f>
        <v/>
      </c>
      <c r="G236" s="68" t="str">
        <f aca="false">IF(B236="","",SUMIF(取込チェック!$C$6:$C$505,B236,取込チェック!$D$6:$D$505))</f>
        <v/>
      </c>
      <c r="H236" s="68" t="str">
        <f aca="false">IF(B236="","",SUMIF(取込チェック!$C$6:$C$505,B236,取込チェック!$E$6:$E$505))</f>
        <v/>
      </c>
      <c r="I236" s="68" t="str">
        <f aca="false">IF(B236="","",SUMIF(取込チェック!$C$6:$C$505,B236,取込チェック!$F$6:$F$505))</f>
        <v/>
      </c>
      <c r="J236" s="69" t="str">
        <f aca="false">IF(F236&lt;&gt;1,"",IF(H236=0,"-",G236/H236))</f>
        <v/>
      </c>
      <c r="K236" s="67" t="str">
        <f aca="false">IF(F236&lt;&gt;1,"",COUNTIFS($E$5:$E$304,E236,$F$5:$F$304,1,$B$5:$B$304,"&lt;"&amp;B236)+1)</f>
        <v/>
      </c>
      <c r="L236" s="67" t="str">
        <f aca="false">IF(K236="","",E236&amp;"|"&amp;K236)</f>
        <v/>
      </c>
      <c r="M236" s="67" t="str">
        <f aca="false">IF(F236&lt;&gt;1,"",IF(COUNTIFS($C$5:C236,C236,$F$5:F236,1)=1,1,0))</f>
        <v/>
      </c>
      <c r="N236" s="67" t="str">
        <f aca="false">IF(M236&lt;&gt;1,"",_xlfn.MINIFS($B$5:$B$304,$C$5:$C$304,C236,$F$5:$F$304,1))</f>
        <v/>
      </c>
      <c r="O236" s="67" t="str">
        <f aca="false">IF(M236&lt;&gt;1,"",COUNTIFS($M$5:$M$304,1,$N$5:$N$304,"&lt;"&amp;N236)+1)</f>
        <v/>
      </c>
      <c r="P236" s="68" t="str">
        <f aca="false">IF(OR(B236="",取込チェック!$K$3=0),"",SUMIF(取込チェック!$K$6:$K$505,B236,取込チェック!$L$6:$L$505))</f>
        <v/>
      </c>
      <c r="Q236" s="68" t="str">
        <f aca="false">IF(OR(B236="",取込チェック!$K$3=0),"",SUMIF(取込チェック!$K$6:$K$505,B236,取込チェック!$M$6:$M$505))</f>
        <v/>
      </c>
      <c r="R236" s="68" t="str">
        <f aca="false">IF(P236="","",G236-P236)</f>
        <v/>
      </c>
      <c r="S236" s="68" t="str">
        <f aca="false">IF(Q236="","",I236-Q236)</f>
        <v/>
      </c>
    </row>
    <row r="237" customFormat="false" ht="15" hidden="false" customHeight="false" outlineLevel="0" collapsed="false">
      <c r="A237" s="64" t="str">
        <f aca="false">IF(B237="","",ROW()-4)</f>
        <v/>
      </c>
      <c r="B237" s="65"/>
      <c r="C237" s="65"/>
      <c r="D237" s="65"/>
      <c r="E237" s="66"/>
      <c r="F237" s="67" t="str">
        <f aca="false">IF(B237="","",IF(COUNTIF(取込チェック!$C$6:$C$505,B237)&gt;0,1,0))</f>
        <v/>
      </c>
      <c r="G237" s="68" t="str">
        <f aca="false">IF(B237="","",SUMIF(取込チェック!$C$6:$C$505,B237,取込チェック!$D$6:$D$505))</f>
        <v/>
      </c>
      <c r="H237" s="68" t="str">
        <f aca="false">IF(B237="","",SUMIF(取込チェック!$C$6:$C$505,B237,取込チェック!$E$6:$E$505))</f>
        <v/>
      </c>
      <c r="I237" s="68" t="str">
        <f aca="false">IF(B237="","",SUMIF(取込チェック!$C$6:$C$505,B237,取込チェック!$F$6:$F$505))</f>
        <v/>
      </c>
      <c r="J237" s="69" t="str">
        <f aca="false">IF(F237&lt;&gt;1,"",IF(H237=0,"-",G237/H237))</f>
        <v/>
      </c>
      <c r="K237" s="67" t="str">
        <f aca="false">IF(F237&lt;&gt;1,"",COUNTIFS($E$5:$E$304,E237,$F$5:$F$304,1,$B$5:$B$304,"&lt;"&amp;B237)+1)</f>
        <v/>
      </c>
      <c r="L237" s="67" t="str">
        <f aca="false">IF(K237="","",E237&amp;"|"&amp;K237)</f>
        <v/>
      </c>
      <c r="M237" s="67" t="str">
        <f aca="false">IF(F237&lt;&gt;1,"",IF(COUNTIFS($C$5:C237,C237,$F$5:F237,1)=1,1,0))</f>
        <v/>
      </c>
      <c r="N237" s="67" t="str">
        <f aca="false">IF(M237&lt;&gt;1,"",_xlfn.MINIFS($B$5:$B$304,$C$5:$C$304,C237,$F$5:$F$304,1))</f>
        <v/>
      </c>
      <c r="O237" s="67" t="str">
        <f aca="false">IF(M237&lt;&gt;1,"",COUNTIFS($M$5:$M$304,1,$N$5:$N$304,"&lt;"&amp;N237)+1)</f>
        <v/>
      </c>
      <c r="P237" s="68" t="str">
        <f aca="false">IF(OR(B237="",取込チェック!$K$3=0),"",SUMIF(取込チェック!$K$6:$K$505,B237,取込チェック!$L$6:$L$505))</f>
        <v/>
      </c>
      <c r="Q237" s="68" t="str">
        <f aca="false">IF(OR(B237="",取込チェック!$K$3=0),"",SUMIF(取込チェック!$K$6:$K$505,B237,取込チェック!$M$6:$M$505))</f>
        <v/>
      </c>
      <c r="R237" s="68" t="str">
        <f aca="false">IF(P237="","",G237-P237)</f>
        <v/>
      </c>
      <c r="S237" s="68" t="str">
        <f aca="false">IF(Q237="","",I237-Q237)</f>
        <v/>
      </c>
    </row>
    <row r="238" customFormat="false" ht="15" hidden="false" customHeight="false" outlineLevel="0" collapsed="false">
      <c r="A238" s="64" t="str">
        <f aca="false">IF(B238="","",ROW()-4)</f>
        <v/>
      </c>
      <c r="B238" s="65"/>
      <c r="C238" s="65"/>
      <c r="D238" s="65"/>
      <c r="E238" s="66"/>
      <c r="F238" s="67" t="str">
        <f aca="false">IF(B238="","",IF(COUNTIF(取込チェック!$C$6:$C$505,B238)&gt;0,1,0))</f>
        <v/>
      </c>
      <c r="G238" s="68" t="str">
        <f aca="false">IF(B238="","",SUMIF(取込チェック!$C$6:$C$505,B238,取込チェック!$D$6:$D$505))</f>
        <v/>
      </c>
      <c r="H238" s="68" t="str">
        <f aca="false">IF(B238="","",SUMIF(取込チェック!$C$6:$C$505,B238,取込チェック!$E$6:$E$505))</f>
        <v/>
      </c>
      <c r="I238" s="68" t="str">
        <f aca="false">IF(B238="","",SUMIF(取込チェック!$C$6:$C$505,B238,取込チェック!$F$6:$F$505))</f>
        <v/>
      </c>
      <c r="J238" s="69" t="str">
        <f aca="false">IF(F238&lt;&gt;1,"",IF(H238=0,"-",G238/H238))</f>
        <v/>
      </c>
      <c r="K238" s="67" t="str">
        <f aca="false">IF(F238&lt;&gt;1,"",COUNTIFS($E$5:$E$304,E238,$F$5:$F$304,1,$B$5:$B$304,"&lt;"&amp;B238)+1)</f>
        <v/>
      </c>
      <c r="L238" s="67" t="str">
        <f aca="false">IF(K238="","",E238&amp;"|"&amp;K238)</f>
        <v/>
      </c>
      <c r="M238" s="67" t="str">
        <f aca="false">IF(F238&lt;&gt;1,"",IF(COUNTIFS($C$5:C238,C238,$F$5:F238,1)=1,1,0))</f>
        <v/>
      </c>
      <c r="N238" s="67" t="str">
        <f aca="false">IF(M238&lt;&gt;1,"",_xlfn.MINIFS($B$5:$B$304,$C$5:$C$304,C238,$F$5:$F$304,1))</f>
        <v/>
      </c>
      <c r="O238" s="67" t="str">
        <f aca="false">IF(M238&lt;&gt;1,"",COUNTIFS($M$5:$M$304,1,$N$5:$N$304,"&lt;"&amp;N238)+1)</f>
        <v/>
      </c>
      <c r="P238" s="68" t="str">
        <f aca="false">IF(OR(B238="",取込チェック!$K$3=0),"",SUMIF(取込チェック!$K$6:$K$505,B238,取込チェック!$L$6:$L$505))</f>
        <v/>
      </c>
      <c r="Q238" s="68" t="str">
        <f aca="false">IF(OR(B238="",取込チェック!$K$3=0),"",SUMIF(取込チェック!$K$6:$K$505,B238,取込チェック!$M$6:$M$505))</f>
        <v/>
      </c>
      <c r="R238" s="68" t="str">
        <f aca="false">IF(P238="","",G238-P238)</f>
        <v/>
      </c>
      <c r="S238" s="68" t="str">
        <f aca="false">IF(Q238="","",I238-Q238)</f>
        <v/>
      </c>
    </row>
    <row r="239" customFormat="false" ht="15" hidden="false" customHeight="false" outlineLevel="0" collapsed="false">
      <c r="A239" s="64" t="str">
        <f aca="false">IF(B239="","",ROW()-4)</f>
        <v/>
      </c>
      <c r="B239" s="65"/>
      <c r="C239" s="65"/>
      <c r="D239" s="65"/>
      <c r="E239" s="66"/>
      <c r="F239" s="67" t="str">
        <f aca="false">IF(B239="","",IF(COUNTIF(取込チェック!$C$6:$C$505,B239)&gt;0,1,0))</f>
        <v/>
      </c>
      <c r="G239" s="68" t="str">
        <f aca="false">IF(B239="","",SUMIF(取込チェック!$C$6:$C$505,B239,取込チェック!$D$6:$D$505))</f>
        <v/>
      </c>
      <c r="H239" s="68" t="str">
        <f aca="false">IF(B239="","",SUMIF(取込チェック!$C$6:$C$505,B239,取込チェック!$E$6:$E$505))</f>
        <v/>
      </c>
      <c r="I239" s="68" t="str">
        <f aca="false">IF(B239="","",SUMIF(取込チェック!$C$6:$C$505,B239,取込チェック!$F$6:$F$505))</f>
        <v/>
      </c>
      <c r="J239" s="69" t="str">
        <f aca="false">IF(F239&lt;&gt;1,"",IF(H239=0,"-",G239/H239))</f>
        <v/>
      </c>
      <c r="K239" s="67" t="str">
        <f aca="false">IF(F239&lt;&gt;1,"",COUNTIFS($E$5:$E$304,E239,$F$5:$F$304,1,$B$5:$B$304,"&lt;"&amp;B239)+1)</f>
        <v/>
      </c>
      <c r="L239" s="67" t="str">
        <f aca="false">IF(K239="","",E239&amp;"|"&amp;K239)</f>
        <v/>
      </c>
      <c r="M239" s="67" t="str">
        <f aca="false">IF(F239&lt;&gt;1,"",IF(COUNTIFS($C$5:C239,C239,$F$5:F239,1)=1,1,0))</f>
        <v/>
      </c>
      <c r="N239" s="67" t="str">
        <f aca="false">IF(M239&lt;&gt;1,"",_xlfn.MINIFS($B$5:$B$304,$C$5:$C$304,C239,$F$5:$F$304,1))</f>
        <v/>
      </c>
      <c r="O239" s="67" t="str">
        <f aca="false">IF(M239&lt;&gt;1,"",COUNTIFS($M$5:$M$304,1,$N$5:$N$304,"&lt;"&amp;N239)+1)</f>
        <v/>
      </c>
      <c r="P239" s="68" t="str">
        <f aca="false">IF(OR(B239="",取込チェック!$K$3=0),"",SUMIF(取込チェック!$K$6:$K$505,B239,取込チェック!$L$6:$L$505))</f>
        <v/>
      </c>
      <c r="Q239" s="68" t="str">
        <f aca="false">IF(OR(B239="",取込チェック!$K$3=0),"",SUMIF(取込チェック!$K$6:$K$505,B239,取込チェック!$M$6:$M$505))</f>
        <v/>
      </c>
      <c r="R239" s="68" t="str">
        <f aca="false">IF(P239="","",G239-P239)</f>
        <v/>
      </c>
      <c r="S239" s="68" t="str">
        <f aca="false">IF(Q239="","",I239-Q239)</f>
        <v/>
      </c>
    </row>
    <row r="240" customFormat="false" ht="15" hidden="false" customHeight="false" outlineLevel="0" collapsed="false">
      <c r="A240" s="64" t="str">
        <f aca="false">IF(B240="","",ROW()-4)</f>
        <v/>
      </c>
      <c r="B240" s="65"/>
      <c r="C240" s="65"/>
      <c r="D240" s="65"/>
      <c r="E240" s="66"/>
      <c r="F240" s="67" t="str">
        <f aca="false">IF(B240="","",IF(COUNTIF(取込チェック!$C$6:$C$505,B240)&gt;0,1,0))</f>
        <v/>
      </c>
      <c r="G240" s="68" t="str">
        <f aca="false">IF(B240="","",SUMIF(取込チェック!$C$6:$C$505,B240,取込チェック!$D$6:$D$505))</f>
        <v/>
      </c>
      <c r="H240" s="68" t="str">
        <f aca="false">IF(B240="","",SUMIF(取込チェック!$C$6:$C$505,B240,取込チェック!$E$6:$E$505))</f>
        <v/>
      </c>
      <c r="I240" s="68" t="str">
        <f aca="false">IF(B240="","",SUMIF(取込チェック!$C$6:$C$505,B240,取込チェック!$F$6:$F$505))</f>
        <v/>
      </c>
      <c r="J240" s="69" t="str">
        <f aca="false">IF(F240&lt;&gt;1,"",IF(H240=0,"-",G240/H240))</f>
        <v/>
      </c>
      <c r="K240" s="67" t="str">
        <f aca="false">IF(F240&lt;&gt;1,"",COUNTIFS($E$5:$E$304,E240,$F$5:$F$304,1,$B$5:$B$304,"&lt;"&amp;B240)+1)</f>
        <v/>
      </c>
      <c r="L240" s="67" t="str">
        <f aca="false">IF(K240="","",E240&amp;"|"&amp;K240)</f>
        <v/>
      </c>
      <c r="M240" s="67" t="str">
        <f aca="false">IF(F240&lt;&gt;1,"",IF(COUNTIFS($C$5:C240,C240,$F$5:F240,1)=1,1,0))</f>
        <v/>
      </c>
      <c r="N240" s="67" t="str">
        <f aca="false">IF(M240&lt;&gt;1,"",_xlfn.MINIFS($B$5:$B$304,$C$5:$C$304,C240,$F$5:$F$304,1))</f>
        <v/>
      </c>
      <c r="O240" s="67" t="str">
        <f aca="false">IF(M240&lt;&gt;1,"",COUNTIFS($M$5:$M$304,1,$N$5:$N$304,"&lt;"&amp;N240)+1)</f>
        <v/>
      </c>
      <c r="P240" s="68" t="str">
        <f aca="false">IF(OR(B240="",取込チェック!$K$3=0),"",SUMIF(取込チェック!$K$6:$K$505,B240,取込チェック!$L$6:$L$505))</f>
        <v/>
      </c>
      <c r="Q240" s="68" t="str">
        <f aca="false">IF(OR(B240="",取込チェック!$K$3=0),"",SUMIF(取込チェック!$K$6:$K$505,B240,取込チェック!$M$6:$M$505))</f>
        <v/>
      </c>
      <c r="R240" s="68" t="str">
        <f aca="false">IF(P240="","",G240-P240)</f>
        <v/>
      </c>
      <c r="S240" s="68" t="str">
        <f aca="false">IF(Q240="","",I240-Q240)</f>
        <v/>
      </c>
    </row>
    <row r="241" customFormat="false" ht="15" hidden="false" customHeight="false" outlineLevel="0" collapsed="false">
      <c r="A241" s="64" t="str">
        <f aca="false">IF(B241="","",ROW()-4)</f>
        <v/>
      </c>
      <c r="B241" s="65"/>
      <c r="C241" s="65"/>
      <c r="D241" s="65"/>
      <c r="E241" s="66"/>
      <c r="F241" s="67" t="str">
        <f aca="false">IF(B241="","",IF(COUNTIF(取込チェック!$C$6:$C$505,B241)&gt;0,1,0))</f>
        <v/>
      </c>
      <c r="G241" s="68" t="str">
        <f aca="false">IF(B241="","",SUMIF(取込チェック!$C$6:$C$505,B241,取込チェック!$D$6:$D$505))</f>
        <v/>
      </c>
      <c r="H241" s="68" t="str">
        <f aca="false">IF(B241="","",SUMIF(取込チェック!$C$6:$C$505,B241,取込チェック!$E$6:$E$505))</f>
        <v/>
      </c>
      <c r="I241" s="68" t="str">
        <f aca="false">IF(B241="","",SUMIF(取込チェック!$C$6:$C$505,B241,取込チェック!$F$6:$F$505))</f>
        <v/>
      </c>
      <c r="J241" s="69" t="str">
        <f aca="false">IF(F241&lt;&gt;1,"",IF(H241=0,"-",G241/H241))</f>
        <v/>
      </c>
      <c r="K241" s="67" t="str">
        <f aca="false">IF(F241&lt;&gt;1,"",COUNTIFS($E$5:$E$304,E241,$F$5:$F$304,1,$B$5:$B$304,"&lt;"&amp;B241)+1)</f>
        <v/>
      </c>
      <c r="L241" s="67" t="str">
        <f aca="false">IF(K241="","",E241&amp;"|"&amp;K241)</f>
        <v/>
      </c>
      <c r="M241" s="67" t="str">
        <f aca="false">IF(F241&lt;&gt;1,"",IF(COUNTIFS($C$5:C241,C241,$F$5:F241,1)=1,1,0))</f>
        <v/>
      </c>
      <c r="N241" s="67" t="str">
        <f aca="false">IF(M241&lt;&gt;1,"",_xlfn.MINIFS($B$5:$B$304,$C$5:$C$304,C241,$F$5:$F$304,1))</f>
        <v/>
      </c>
      <c r="O241" s="67" t="str">
        <f aca="false">IF(M241&lt;&gt;1,"",COUNTIFS($M$5:$M$304,1,$N$5:$N$304,"&lt;"&amp;N241)+1)</f>
        <v/>
      </c>
      <c r="P241" s="68" t="str">
        <f aca="false">IF(OR(B241="",取込チェック!$K$3=0),"",SUMIF(取込チェック!$K$6:$K$505,B241,取込チェック!$L$6:$L$505))</f>
        <v/>
      </c>
      <c r="Q241" s="68" t="str">
        <f aca="false">IF(OR(B241="",取込チェック!$K$3=0),"",SUMIF(取込チェック!$K$6:$K$505,B241,取込チェック!$M$6:$M$505))</f>
        <v/>
      </c>
      <c r="R241" s="68" t="str">
        <f aca="false">IF(P241="","",G241-P241)</f>
        <v/>
      </c>
      <c r="S241" s="68" t="str">
        <f aca="false">IF(Q241="","",I241-Q241)</f>
        <v/>
      </c>
    </row>
    <row r="242" customFormat="false" ht="15" hidden="false" customHeight="false" outlineLevel="0" collapsed="false">
      <c r="A242" s="64" t="str">
        <f aca="false">IF(B242="","",ROW()-4)</f>
        <v/>
      </c>
      <c r="B242" s="65"/>
      <c r="C242" s="65"/>
      <c r="D242" s="65"/>
      <c r="E242" s="66"/>
      <c r="F242" s="67" t="str">
        <f aca="false">IF(B242="","",IF(COUNTIF(取込チェック!$C$6:$C$505,B242)&gt;0,1,0))</f>
        <v/>
      </c>
      <c r="G242" s="68" t="str">
        <f aca="false">IF(B242="","",SUMIF(取込チェック!$C$6:$C$505,B242,取込チェック!$D$6:$D$505))</f>
        <v/>
      </c>
      <c r="H242" s="68" t="str">
        <f aca="false">IF(B242="","",SUMIF(取込チェック!$C$6:$C$505,B242,取込チェック!$E$6:$E$505))</f>
        <v/>
      </c>
      <c r="I242" s="68" t="str">
        <f aca="false">IF(B242="","",SUMIF(取込チェック!$C$6:$C$505,B242,取込チェック!$F$6:$F$505))</f>
        <v/>
      </c>
      <c r="J242" s="69" t="str">
        <f aca="false">IF(F242&lt;&gt;1,"",IF(H242=0,"-",G242/H242))</f>
        <v/>
      </c>
      <c r="K242" s="67" t="str">
        <f aca="false">IF(F242&lt;&gt;1,"",COUNTIFS($E$5:$E$304,E242,$F$5:$F$304,1,$B$5:$B$304,"&lt;"&amp;B242)+1)</f>
        <v/>
      </c>
      <c r="L242" s="67" t="str">
        <f aca="false">IF(K242="","",E242&amp;"|"&amp;K242)</f>
        <v/>
      </c>
      <c r="M242" s="67" t="str">
        <f aca="false">IF(F242&lt;&gt;1,"",IF(COUNTIFS($C$5:C242,C242,$F$5:F242,1)=1,1,0))</f>
        <v/>
      </c>
      <c r="N242" s="67" t="str">
        <f aca="false">IF(M242&lt;&gt;1,"",_xlfn.MINIFS($B$5:$B$304,$C$5:$C$304,C242,$F$5:$F$304,1))</f>
        <v/>
      </c>
      <c r="O242" s="67" t="str">
        <f aca="false">IF(M242&lt;&gt;1,"",COUNTIFS($M$5:$M$304,1,$N$5:$N$304,"&lt;"&amp;N242)+1)</f>
        <v/>
      </c>
      <c r="P242" s="68" t="str">
        <f aca="false">IF(OR(B242="",取込チェック!$K$3=0),"",SUMIF(取込チェック!$K$6:$K$505,B242,取込チェック!$L$6:$L$505))</f>
        <v/>
      </c>
      <c r="Q242" s="68" t="str">
        <f aca="false">IF(OR(B242="",取込チェック!$K$3=0),"",SUMIF(取込チェック!$K$6:$K$505,B242,取込チェック!$M$6:$M$505))</f>
        <v/>
      </c>
      <c r="R242" s="68" t="str">
        <f aca="false">IF(P242="","",G242-P242)</f>
        <v/>
      </c>
      <c r="S242" s="68" t="str">
        <f aca="false">IF(Q242="","",I242-Q242)</f>
        <v/>
      </c>
    </row>
    <row r="243" customFormat="false" ht="15" hidden="false" customHeight="false" outlineLevel="0" collapsed="false">
      <c r="A243" s="64" t="str">
        <f aca="false">IF(B243="","",ROW()-4)</f>
        <v/>
      </c>
      <c r="B243" s="65"/>
      <c r="C243" s="65"/>
      <c r="D243" s="65"/>
      <c r="E243" s="66"/>
      <c r="F243" s="67" t="str">
        <f aca="false">IF(B243="","",IF(COUNTIF(取込チェック!$C$6:$C$505,B243)&gt;0,1,0))</f>
        <v/>
      </c>
      <c r="G243" s="68" t="str">
        <f aca="false">IF(B243="","",SUMIF(取込チェック!$C$6:$C$505,B243,取込チェック!$D$6:$D$505))</f>
        <v/>
      </c>
      <c r="H243" s="68" t="str">
        <f aca="false">IF(B243="","",SUMIF(取込チェック!$C$6:$C$505,B243,取込チェック!$E$6:$E$505))</f>
        <v/>
      </c>
      <c r="I243" s="68" t="str">
        <f aca="false">IF(B243="","",SUMIF(取込チェック!$C$6:$C$505,B243,取込チェック!$F$6:$F$505))</f>
        <v/>
      </c>
      <c r="J243" s="69" t="str">
        <f aca="false">IF(F243&lt;&gt;1,"",IF(H243=0,"-",G243/H243))</f>
        <v/>
      </c>
      <c r="K243" s="67" t="str">
        <f aca="false">IF(F243&lt;&gt;1,"",COUNTIFS($E$5:$E$304,E243,$F$5:$F$304,1,$B$5:$B$304,"&lt;"&amp;B243)+1)</f>
        <v/>
      </c>
      <c r="L243" s="67" t="str">
        <f aca="false">IF(K243="","",E243&amp;"|"&amp;K243)</f>
        <v/>
      </c>
      <c r="M243" s="67" t="str">
        <f aca="false">IF(F243&lt;&gt;1,"",IF(COUNTIFS($C$5:C243,C243,$F$5:F243,1)=1,1,0))</f>
        <v/>
      </c>
      <c r="N243" s="67" t="str">
        <f aca="false">IF(M243&lt;&gt;1,"",_xlfn.MINIFS($B$5:$B$304,$C$5:$C$304,C243,$F$5:$F$304,1))</f>
        <v/>
      </c>
      <c r="O243" s="67" t="str">
        <f aca="false">IF(M243&lt;&gt;1,"",COUNTIFS($M$5:$M$304,1,$N$5:$N$304,"&lt;"&amp;N243)+1)</f>
        <v/>
      </c>
      <c r="P243" s="68" t="str">
        <f aca="false">IF(OR(B243="",取込チェック!$K$3=0),"",SUMIF(取込チェック!$K$6:$K$505,B243,取込チェック!$L$6:$L$505))</f>
        <v/>
      </c>
      <c r="Q243" s="68" t="str">
        <f aca="false">IF(OR(B243="",取込チェック!$K$3=0),"",SUMIF(取込チェック!$K$6:$K$505,B243,取込チェック!$M$6:$M$505))</f>
        <v/>
      </c>
      <c r="R243" s="68" t="str">
        <f aca="false">IF(P243="","",G243-P243)</f>
        <v/>
      </c>
      <c r="S243" s="68" t="str">
        <f aca="false">IF(Q243="","",I243-Q243)</f>
        <v/>
      </c>
    </row>
    <row r="244" customFormat="false" ht="15" hidden="false" customHeight="false" outlineLevel="0" collapsed="false">
      <c r="A244" s="64" t="str">
        <f aca="false">IF(B244="","",ROW()-4)</f>
        <v/>
      </c>
      <c r="B244" s="65"/>
      <c r="C244" s="65"/>
      <c r="D244" s="65"/>
      <c r="E244" s="66"/>
      <c r="F244" s="67" t="str">
        <f aca="false">IF(B244="","",IF(COUNTIF(取込チェック!$C$6:$C$505,B244)&gt;0,1,0))</f>
        <v/>
      </c>
      <c r="G244" s="68" t="str">
        <f aca="false">IF(B244="","",SUMIF(取込チェック!$C$6:$C$505,B244,取込チェック!$D$6:$D$505))</f>
        <v/>
      </c>
      <c r="H244" s="68" t="str">
        <f aca="false">IF(B244="","",SUMIF(取込チェック!$C$6:$C$505,B244,取込チェック!$E$6:$E$505))</f>
        <v/>
      </c>
      <c r="I244" s="68" t="str">
        <f aca="false">IF(B244="","",SUMIF(取込チェック!$C$6:$C$505,B244,取込チェック!$F$6:$F$505))</f>
        <v/>
      </c>
      <c r="J244" s="69" t="str">
        <f aca="false">IF(F244&lt;&gt;1,"",IF(H244=0,"-",G244/H244))</f>
        <v/>
      </c>
      <c r="K244" s="67" t="str">
        <f aca="false">IF(F244&lt;&gt;1,"",COUNTIFS($E$5:$E$304,E244,$F$5:$F$304,1,$B$5:$B$304,"&lt;"&amp;B244)+1)</f>
        <v/>
      </c>
      <c r="L244" s="67" t="str">
        <f aca="false">IF(K244="","",E244&amp;"|"&amp;K244)</f>
        <v/>
      </c>
      <c r="M244" s="67" t="str">
        <f aca="false">IF(F244&lt;&gt;1,"",IF(COUNTIFS($C$5:C244,C244,$F$5:F244,1)=1,1,0))</f>
        <v/>
      </c>
      <c r="N244" s="67" t="str">
        <f aca="false">IF(M244&lt;&gt;1,"",_xlfn.MINIFS($B$5:$B$304,$C$5:$C$304,C244,$F$5:$F$304,1))</f>
        <v/>
      </c>
      <c r="O244" s="67" t="str">
        <f aca="false">IF(M244&lt;&gt;1,"",COUNTIFS($M$5:$M$304,1,$N$5:$N$304,"&lt;"&amp;N244)+1)</f>
        <v/>
      </c>
      <c r="P244" s="68" t="str">
        <f aca="false">IF(OR(B244="",取込チェック!$K$3=0),"",SUMIF(取込チェック!$K$6:$K$505,B244,取込チェック!$L$6:$L$505))</f>
        <v/>
      </c>
      <c r="Q244" s="68" t="str">
        <f aca="false">IF(OR(B244="",取込チェック!$K$3=0),"",SUMIF(取込チェック!$K$6:$K$505,B244,取込チェック!$M$6:$M$505))</f>
        <v/>
      </c>
      <c r="R244" s="68" t="str">
        <f aca="false">IF(P244="","",G244-P244)</f>
        <v/>
      </c>
      <c r="S244" s="68" t="str">
        <f aca="false">IF(Q244="","",I244-Q244)</f>
        <v/>
      </c>
    </row>
    <row r="245" customFormat="false" ht="15" hidden="false" customHeight="false" outlineLevel="0" collapsed="false">
      <c r="A245" s="64" t="str">
        <f aca="false">IF(B245="","",ROW()-4)</f>
        <v/>
      </c>
      <c r="B245" s="65"/>
      <c r="C245" s="65"/>
      <c r="D245" s="65"/>
      <c r="E245" s="66"/>
      <c r="F245" s="67" t="str">
        <f aca="false">IF(B245="","",IF(COUNTIF(取込チェック!$C$6:$C$505,B245)&gt;0,1,0))</f>
        <v/>
      </c>
      <c r="G245" s="68" t="str">
        <f aca="false">IF(B245="","",SUMIF(取込チェック!$C$6:$C$505,B245,取込チェック!$D$6:$D$505))</f>
        <v/>
      </c>
      <c r="H245" s="68" t="str">
        <f aca="false">IF(B245="","",SUMIF(取込チェック!$C$6:$C$505,B245,取込チェック!$E$6:$E$505))</f>
        <v/>
      </c>
      <c r="I245" s="68" t="str">
        <f aca="false">IF(B245="","",SUMIF(取込チェック!$C$6:$C$505,B245,取込チェック!$F$6:$F$505))</f>
        <v/>
      </c>
      <c r="J245" s="69" t="str">
        <f aca="false">IF(F245&lt;&gt;1,"",IF(H245=0,"-",G245/H245))</f>
        <v/>
      </c>
      <c r="K245" s="67" t="str">
        <f aca="false">IF(F245&lt;&gt;1,"",COUNTIFS($E$5:$E$304,E245,$F$5:$F$304,1,$B$5:$B$304,"&lt;"&amp;B245)+1)</f>
        <v/>
      </c>
      <c r="L245" s="67" t="str">
        <f aca="false">IF(K245="","",E245&amp;"|"&amp;K245)</f>
        <v/>
      </c>
      <c r="M245" s="67" t="str">
        <f aca="false">IF(F245&lt;&gt;1,"",IF(COUNTIFS($C$5:C245,C245,$F$5:F245,1)=1,1,0))</f>
        <v/>
      </c>
      <c r="N245" s="67" t="str">
        <f aca="false">IF(M245&lt;&gt;1,"",_xlfn.MINIFS($B$5:$B$304,$C$5:$C$304,C245,$F$5:$F$304,1))</f>
        <v/>
      </c>
      <c r="O245" s="67" t="str">
        <f aca="false">IF(M245&lt;&gt;1,"",COUNTIFS($M$5:$M$304,1,$N$5:$N$304,"&lt;"&amp;N245)+1)</f>
        <v/>
      </c>
      <c r="P245" s="68" t="str">
        <f aca="false">IF(OR(B245="",取込チェック!$K$3=0),"",SUMIF(取込チェック!$K$6:$K$505,B245,取込チェック!$L$6:$L$505))</f>
        <v/>
      </c>
      <c r="Q245" s="68" t="str">
        <f aca="false">IF(OR(B245="",取込チェック!$K$3=0),"",SUMIF(取込チェック!$K$6:$K$505,B245,取込チェック!$M$6:$M$505))</f>
        <v/>
      </c>
      <c r="R245" s="68" t="str">
        <f aca="false">IF(P245="","",G245-P245)</f>
        <v/>
      </c>
      <c r="S245" s="68" t="str">
        <f aca="false">IF(Q245="","",I245-Q245)</f>
        <v/>
      </c>
    </row>
    <row r="246" customFormat="false" ht="15" hidden="false" customHeight="false" outlineLevel="0" collapsed="false">
      <c r="A246" s="64" t="str">
        <f aca="false">IF(B246="","",ROW()-4)</f>
        <v/>
      </c>
      <c r="B246" s="65"/>
      <c r="C246" s="65"/>
      <c r="D246" s="65"/>
      <c r="E246" s="66"/>
      <c r="F246" s="67" t="str">
        <f aca="false">IF(B246="","",IF(COUNTIF(取込チェック!$C$6:$C$505,B246)&gt;0,1,0))</f>
        <v/>
      </c>
      <c r="G246" s="68" t="str">
        <f aca="false">IF(B246="","",SUMIF(取込チェック!$C$6:$C$505,B246,取込チェック!$D$6:$D$505))</f>
        <v/>
      </c>
      <c r="H246" s="68" t="str">
        <f aca="false">IF(B246="","",SUMIF(取込チェック!$C$6:$C$505,B246,取込チェック!$E$6:$E$505))</f>
        <v/>
      </c>
      <c r="I246" s="68" t="str">
        <f aca="false">IF(B246="","",SUMIF(取込チェック!$C$6:$C$505,B246,取込チェック!$F$6:$F$505))</f>
        <v/>
      </c>
      <c r="J246" s="69" t="str">
        <f aca="false">IF(F246&lt;&gt;1,"",IF(H246=0,"-",G246/H246))</f>
        <v/>
      </c>
      <c r="K246" s="67" t="str">
        <f aca="false">IF(F246&lt;&gt;1,"",COUNTIFS($E$5:$E$304,E246,$F$5:$F$304,1,$B$5:$B$304,"&lt;"&amp;B246)+1)</f>
        <v/>
      </c>
      <c r="L246" s="67" t="str">
        <f aca="false">IF(K246="","",E246&amp;"|"&amp;K246)</f>
        <v/>
      </c>
      <c r="M246" s="67" t="str">
        <f aca="false">IF(F246&lt;&gt;1,"",IF(COUNTIFS($C$5:C246,C246,$F$5:F246,1)=1,1,0))</f>
        <v/>
      </c>
      <c r="N246" s="67" t="str">
        <f aca="false">IF(M246&lt;&gt;1,"",_xlfn.MINIFS($B$5:$B$304,$C$5:$C$304,C246,$F$5:$F$304,1))</f>
        <v/>
      </c>
      <c r="O246" s="67" t="str">
        <f aca="false">IF(M246&lt;&gt;1,"",COUNTIFS($M$5:$M$304,1,$N$5:$N$304,"&lt;"&amp;N246)+1)</f>
        <v/>
      </c>
      <c r="P246" s="68" t="str">
        <f aca="false">IF(OR(B246="",取込チェック!$K$3=0),"",SUMIF(取込チェック!$K$6:$K$505,B246,取込チェック!$L$6:$L$505))</f>
        <v/>
      </c>
      <c r="Q246" s="68" t="str">
        <f aca="false">IF(OR(B246="",取込チェック!$K$3=0),"",SUMIF(取込チェック!$K$6:$K$505,B246,取込チェック!$M$6:$M$505))</f>
        <v/>
      </c>
      <c r="R246" s="68" t="str">
        <f aca="false">IF(P246="","",G246-P246)</f>
        <v/>
      </c>
      <c r="S246" s="68" t="str">
        <f aca="false">IF(Q246="","",I246-Q246)</f>
        <v/>
      </c>
    </row>
    <row r="247" customFormat="false" ht="15" hidden="false" customHeight="false" outlineLevel="0" collapsed="false">
      <c r="A247" s="64" t="str">
        <f aca="false">IF(B247="","",ROW()-4)</f>
        <v/>
      </c>
      <c r="B247" s="65"/>
      <c r="C247" s="65"/>
      <c r="D247" s="65"/>
      <c r="E247" s="66"/>
      <c r="F247" s="67" t="str">
        <f aca="false">IF(B247="","",IF(COUNTIF(取込チェック!$C$6:$C$505,B247)&gt;0,1,0))</f>
        <v/>
      </c>
      <c r="G247" s="68" t="str">
        <f aca="false">IF(B247="","",SUMIF(取込チェック!$C$6:$C$505,B247,取込チェック!$D$6:$D$505))</f>
        <v/>
      </c>
      <c r="H247" s="68" t="str">
        <f aca="false">IF(B247="","",SUMIF(取込チェック!$C$6:$C$505,B247,取込チェック!$E$6:$E$505))</f>
        <v/>
      </c>
      <c r="I247" s="68" t="str">
        <f aca="false">IF(B247="","",SUMIF(取込チェック!$C$6:$C$505,B247,取込チェック!$F$6:$F$505))</f>
        <v/>
      </c>
      <c r="J247" s="69" t="str">
        <f aca="false">IF(F247&lt;&gt;1,"",IF(H247=0,"-",G247/H247))</f>
        <v/>
      </c>
      <c r="K247" s="67" t="str">
        <f aca="false">IF(F247&lt;&gt;1,"",COUNTIFS($E$5:$E$304,E247,$F$5:$F$304,1,$B$5:$B$304,"&lt;"&amp;B247)+1)</f>
        <v/>
      </c>
      <c r="L247" s="67" t="str">
        <f aca="false">IF(K247="","",E247&amp;"|"&amp;K247)</f>
        <v/>
      </c>
      <c r="M247" s="67" t="str">
        <f aca="false">IF(F247&lt;&gt;1,"",IF(COUNTIFS($C$5:C247,C247,$F$5:F247,1)=1,1,0))</f>
        <v/>
      </c>
      <c r="N247" s="67" t="str">
        <f aca="false">IF(M247&lt;&gt;1,"",_xlfn.MINIFS($B$5:$B$304,$C$5:$C$304,C247,$F$5:$F$304,1))</f>
        <v/>
      </c>
      <c r="O247" s="67" t="str">
        <f aca="false">IF(M247&lt;&gt;1,"",COUNTIFS($M$5:$M$304,1,$N$5:$N$304,"&lt;"&amp;N247)+1)</f>
        <v/>
      </c>
      <c r="P247" s="68" t="str">
        <f aca="false">IF(OR(B247="",取込チェック!$K$3=0),"",SUMIF(取込チェック!$K$6:$K$505,B247,取込チェック!$L$6:$L$505))</f>
        <v/>
      </c>
      <c r="Q247" s="68" t="str">
        <f aca="false">IF(OR(B247="",取込チェック!$K$3=0),"",SUMIF(取込チェック!$K$6:$K$505,B247,取込チェック!$M$6:$M$505))</f>
        <v/>
      </c>
      <c r="R247" s="68" t="str">
        <f aca="false">IF(P247="","",G247-P247)</f>
        <v/>
      </c>
      <c r="S247" s="68" t="str">
        <f aca="false">IF(Q247="","",I247-Q247)</f>
        <v/>
      </c>
    </row>
    <row r="248" customFormat="false" ht="15" hidden="false" customHeight="false" outlineLevel="0" collapsed="false">
      <c r="A248" s="64" t="str">
        <f aca="false">IF(B248="","",ROW()-4)</f>
        <v/>
      </c>
      <c r="B248" s="65"/>
      <c r="C248" s="65"/>
      <c r="D248" s="65"/>
      <c r="E248" s="66"/>
      <c r="F248" s="67" t="str">
        <f aca="false">IF(B248="","",IF(COUNTIF(取込チェック!$C$6:$C$505,B248)&gt;0,1,0))</f>
        <v/>
      </c>
      <c r="G248" s="68" t="str">
        <f aca="false">IF(B248="","",SUMIF(取込チェック!$C$6:$C$505,B248,取込チェック!$D$6:$D$505))</f>
        <v/>
      </c>
      <c r="H248" s="68" t="str">
        <f aca="false">IF(B248="","",SUMIF(取込チェック!$C$6:$C$505,B248,取込チェック!$E$6:$E$505))</f>
        <v/>
      </c>
      <c r="I248" s="68" t="str">
        <f aca="false">IF(B248="","",SUMIF(取込チェック!$C$6:$C$505,B248,取込チェック!$F$6:$F$505))</f>
        <v/>
      </c>
      <c r="J248" s="69" t="str">
        <f aca="false">IF(F248&lt;&gt;1,"",IF(H248=0,"-",G248/H248))</f>
        <v/>
      </c>
      <c r="K248" s="67" t="str">
        <f aca="false">IF(F248&lt;&gt;1,"",COUNTIFS($E$5:$E$304,E248,$F$5:$F$304,1,$B$5:$B$304,"&lt;"&amp;B248)+1)</f>
        <v/>
      </c>
      <c r="L248" s="67" t="str">
        <f aca="false">IF(K248="","",E248&amp;"|"&amp;K248)</f>
        <v/>
      </c>
      <c r="M248" s="67" t="str">
        <f aca="false">IF(F248&lt;&gt;1,"",IF(COUNTIFS($C$5:C248,C248,$F$5:F248,1)=1,1,0))</f>
        <v/>
      </c>
      <c r="N248" s="67" t="str">
        <f aca="false">IF(M248&lt;&gt;1,"",_xlfn.MINIFS($B$5:$B$304,$C$5:$C$304,C248,$F$5:$F$304,1))</f>
        <v/>
      </c>
      <c r="O248" s="67" t="str">
        <f aca="false">IF(M248&lt;&gt;1,"",COUNTIFS($M$5:$M$304,1,$N$5:$N$304,"&lt;"&amp;N248)+1)</f>
        <v/>
      </c>
      <c r="P248" s="68" t="str">
        <f aca="false">IF(OR(B248="",取込チェック!$K$3=0),"",SUMIF(取込チェック!$K$6:$K$505,B248,取込チェック!$L$6:$L$505))</f>
        <v/>
      </c>
      <c r="Q248" s="68" t="str">
        <f aca="false">IF(OR(B248="",取込チェック!$K$3=0),"",SUMIF(取込チェック!$K$6:$K$505,B248,取込チェック!$M$6:$M$505))</f>
        <v/>
      </c>
      <c r="R248" s="68" t="str">
        <f aca="false">IF(P248="","",G248-P248)</f>
        <v/>
      </c>
      <c r="S248" s="68" t="str">
        <f aca="false">IF(Q248="","",I248-Q248)</f>
        <v/>
      </c>
    </row>
    <row r="249" customFormat="false" ht="15" hidden="false" customHeight="false" outlineLevel="0" collapsed="false">
      <c r="A249" s="64" t="str">
        <f aca="false">IF(B249="","",ROW()-4)</f>
        <v/>
      </c>
      <c r="B249" s="65"/>
      <c r="C249" s="65"/>
      <c r="D249" s="65"/>
      <c r="E249" s="66"/>
      <c r="F249" s="67" t="str">
        <f aca="false">IF(B249="","",IF(COUNTIF(取込チェック!$C$6:$C$505,B249)&gt;0,1,0))</f>
        <v/>
      </c>
      <c r="G249" s="68" t="str">
        <f aca="false">IF(B249="","",SUMIF(取込チェック!$C$6:$C$505,B249,取込チェック!$D$6:$D$505))</f>
        <v/>
      </c>
      <c r="H249" s="68" t="str">
        <f aca="false">IF(B249="","",SUMIF(取込チェック!$C$6:$C$505,B249,取込チェック!$E$6:$E$505))</f>
        <v/>
      </c>
      <c r="I249" s="68" t="str">
        <f aca="false">IF(B249="","",SUMIF(取込チェック!$C$6:$C$505,B249,取込チェック!$F$6:$F$505))</f>
        <v/>
      </c>
      <c r="J249" s="69" t="str">
        <f aca="false">IF(F249&lt;&gt;1,"",IF(H249=0,"-",G249/H249))</f>
        <v/>
      </c>
      <c r="K249" s="67" t="str">
        <f aca="false">IF(F249&lt;&gt;1,"",COUNTIFS($E$5:$E$304,E249,$F$5:$F$304,1,$B$5:$B$304,"&lt;"&amp;B249)+1)</f>
        <v/>
      </c>
      <c r="L249" s="67" t="str">
        <f aca="false">IF(K249="","",E249&amp;"|"&amp;K249)</f>
        <v/>
      </c>
      <c r="M249" s="67" t="str">
        <f aca="false">IF(F249&lt;&gt;1,"",IF(COUNTIFS($C$5:C249,C249,$F$5:F249,1)=1,1,0))</f>
        <v/>
      </c>
      <c r="N249" s="67" t="str">
        <f aca="false">IF(M249&lt;&gt;1,"",_xlfn.MINIFS($B$5:$B$304,$C$5:$C$304,C249,$F$5:$F$304,1))</f>
        <v/>
      </c>
      <c r="O249" s="67" t="str">
        <f aca="false">IF(M249&lt;&gt;1,"",COUNTIFS($M$5:$M$304,1,$N$5:$N$304,"&lt;"&amp;N249)+1)</f>
        <v/>
      </c>
      <c r="P249" s="68" t="str">
        <f aca="false">IF(OR(B249="",取込チェック!$K$3=0),"",SUMIF(取込チェック!$K$6:$K$505,B249,取込チェック!$L$6:$L$505))</f>
        <v/>
      </c>
      <c r="Q249" s="68" t="str">
        <f aca="false">IF(OR(B249="",取込チェック!$K$3=0),"",SUMIF(取込チェック!$K$6:$K$505,B249,取込チェック!$M$6:$M$505))</f>
        <v/>
      </c>
      <c r="R249" s="68" t="str">
        <f aca="false">IF(P249="","",G249-P249)</f>
        <v/>
      </c>
      <c r="S249" s="68" t="str">
        <f aca="false">IF(Q249="","",I249-Q249)</f>
        <v/>
      </c>
    </row>
    <row r="250" customFormat="false" ht="15" hidden="false" customHeight="false" outlineLevel="0" collapsed="false">
      <c r="A250" s="64" t="str">
        <f aca="false">IF(B250="","",ROW()-4)</f>
        <v/>
      </c>
      <c r="B250" s="65"/>
      <c r="C250" s="65"/>
      <c r="D250" s="65"/>
      <c r="E250" s="66"/>
      <c r="F250" s="67" t="str">
        <f aca="false">IF(B250="","",IF(COUNTIF(取込チェック!$C$6:$C$505,B250)&gt;0,1,0))</f>
        <v/>
      </c>
      <c r="G250" s="68" t="str">
        <f aca="false">IF(B250="","",SUMIF(取込チェック!$C$6:$C$505,B250,取込チェック!$D$6:$D$505))</f>
        <v/>
      </c>
      <c r="H250" s="68" t="str">
        <f aca="false">IF(B250="","",SUMIF(取込チェック!$C$6:$C$505,B250,取込チェック!$E$6:$E$505))</f>
        <v/>
      </c>
      <c r="I250" s="68" t="str">
        <f aca="false">IF(B250="","",SUMIF(取込チェック!$C$6:$C$505,B250,取込チェック!$F$6:$F$505))</f>
        <v/>
      </c>
      <c r="J250" s="69" t="str">
        <f aca="false">IF(F250&lt;&gt;1,"",IF(H250=0,"-",G250/H250))</f>
        <v/>
      </c>
      <c r="K250" s="67" t="str">
        <f aca="false">IF(F250&lt;&gt;1,"",COUNTIFS($E$5:$E$304,E250,$F$5:$F$304,1,$B$5:$B$304,"&lt;"&amp;B250)+1)</f>
        <v/>
      </c>
      <c r="L250" s="67" t="str">
        <f aca="false">IF(K250="","",E250&amp;"|"&amp;K250)</f>
        <v/>
      </c>
      <c r="M250" s="67" t="str">
        <f aca="false">IF(F250&lt;&gt;1,"",IF(COUNTIFS($C$5:C250,C250,$F$5:F250,1)=1,1,0))</f>
        <v/>
      </c>
      <c r="N250" s="67" t="str">
        <f aca="false">IF(M250&lt;&gt;1,"",_xlfn.MINIFS($B$5:$B$304,$C$5:$C$304,C250,$F$5:$F$304,1))</f>
        <v/>
      </c>
      <c r="O250" s="67" t="str">
        <f aca="false">IF(M250&lt;&gt;1,"",COUNTIFS($M$5:$M$304,1,$N$5:$N$304,"&lt;"&amp;N250)+1)</f>
        <v/>
      </c>
      <c r="P250" s="68" t="str">
        <f aca="false">IF(OR(B250="",取込チェック!$K$3=0),"",SUMIF(取込チェック!$K$6:$K$505,B250,取込チェック!$L$6:$L$505))</f>
        <v/>
      </c>
      <c r="Q250" s="68" t="str">
        <f aca="false">IF(OR(B250="",取込チェック!$K$3=0),"",SUMIF(取込チェック!$K$6:$K$505,B250,取込チェック!$M$6:$M$505))</f>
        <v/>
      </c>
      <c r="R250" s="68" t="str">
        <f aca="false">IF(P250="","",G250-P250)</f>
        <v/>
      </c>
      <c r="S250" s="68" t="str">
        <f aca="false">IF(Q250="","",I250-Q250)</f>
        <v/>
      </c>
    </row>
    <row r="251" customFormat="false" ht="15" hidden="false" customHeight="false" outlineLevel="0" collapsed="false">
      <c r="A251" s="64" t="str">
        <f aca="false">IF(B251="","",ROW()-4)</f>
        <v/>
      </c>
      <c r="B251" s="65"/>
      <c r="C251" s="65"/>
      <c r="D251" s="65"/>
      <c r="E251" s="66"/>
      <c r="F251" s="67" t="str">
        <f aca="false">IF(B251="","",IF(COUNTIF(取込チェック!$C$6:$C$505,B251)&gt;0,1,0))</f>
        <v/>
      </c>
      <c r="G251" s="68" t="str">
        <f aca="false">IF(B251="","",SUMIF(取込チェック!$C$6:$C$505,B251,取込チェック!$D$6:$D$505))</f>
        <v/>
      </c>
      <c r="H251" s="68" t="str">
        <f aca="false">IF(B251="","",SUMIF(取込チェック!$C$6:$C$505,B251,取込チェック!$E$6:$E$505))</f>
        <v/>
      </c>
      <c r="I251" s="68" t="str">
        <f aca="false">IF(B251="","",SUMIF(取込チェック!$C$6:$C$505,B251,取込チェック!$F$6:$F$505))</f>
        <v/>
      </c>
      <c r="J251" s="69" t="str">
        <f aca="false">IF(F251&lt;&gt;1,"",IF(H251=0,"-",G251/H251))</f>
        <v/>
      </c>
      <c r="K251" s="67" t="str">
        <f aca="false">IF(F251&lt;&gt;1,"",COUNTIFS($E$5:$E$304,E251,$F$5:$F$304,1,$B$5:$B$304,"&lt;"&amp;B251)+1)</f>
        <v/>
      </c>
      <c r="L251" s="67" t="str">
        <f aca="false">IF(K251="","",E251&amp;"|"&amp;K251)</f>
        <v/>
      </c>
      <c r="M251" s="67" t="str">
        <f aca="false">IF(F251&lt;&gt;1,"",IF(COUNTIFS($C$5:C251,C251,$F$5:F251,1)=1,1,0))</f>
        <v/>
      </c>
      <c r="N251" s="67" t="str">
        <f aca="false">IF(M251&lt;&gt;1,"",_xlfn.MINIFS($B$5:$B$304,$C$5:$C$304,C251,$F$5:$F$304,1))</f>
        <v/>
      </c>
      <c r="O251" s="67" t="str">
        <f aca="false">IF(M251&lt;&gt;1,"",COUNTIFS($M$5:$M$304,1,$N$5:$N$304,"&lt;"&amp;N251)+1)</f>
        <v/>
      </c>
      <c r="P251" s="68" t="str">
        <f aca="false">IF(OR(B251="",取込チェック!$K$3=0),"",SUMIF(取込チェック!$K$6:$K$505,B251,取込チェック!$L$6:$L$505))</f>
        <v/>
      </c>
      <c r="Q251" s="68" t="str">
        <f aca="false">IF(OR(B251="",取込チェック!$K$3=0),"",SUMIF(取込チェック!$K$6:$K$505,B251,取込チェック!$M$6:$M$505))</f>
        <v/>
      </c>
      <c r="R251" s="68" t="str">
        <f aca="false">IF(P251="","",G251-P251)</f>
        <v/>
      </c>
      <c r="S251" s="68" t="str">
        <f aca="false">IF(Q251="","",I251-Q251)</f>
        <v/>
      </c>
    </row>
    <row r="252" customFormat="false" ht="15" hidden="false" customHeight="false" outlineLevel="0" collapsed="false">
      <c r="A252" s="64" t="str">
        <f aca="false">IF(B252="","",ROW()-4)</f>
        <v/>
      </c>
      <c r="B252" s="65"/>
      <c r="C252" s="65"/>
      <c r="D252" s="65"/>
      <c r="E252" s="66"/>
      <c r="F252" s="67" t="str">
        <f aca="false">IF(B252="","",IF(COUNTIF(取込チェック!$C$6:$C$505,B252)&gt;0,1,0))</f>
        <v/>
      </c>
      <c r="G252" s="68" t="str">
        <f aca="false">IF(B252="","",SUMIF(取込チェック!$C$6:$C$505,B252,取込チェック!$D$6:$D$505))</f>
        <v/>
      </c>
      <c r="H252" s="68" t="str">
        <f aca="false">IF(B252="","",SUMIF(取込チェック!$C$6:$C$505,B252,取込チェック!$E$6:$E$505))</f>
        <v/>
      </c>
      <c r="I252" s="68" t="str">
        <f aca="false">IF(B252="","",SUMIF(取込チェック!$C$6:$C$505,B252,取込チェック!$F$6:$F$505))</f>
        <v/>
      </c>
      <c r="J252" s="69" t="str">
        <f aca="false">IF(F252&lt;&gt;1,"",IF(H252=0,"-",G252/H252))</f>
        <v/>
      </c>
      <c r="K252" s="67" t="str">
        <f aca="false">IF(F252&lt;&gt;1,"",COUNTIFS($E$5:$E$304,E252,$F$5:$F$304,1,$B$5:$B$304,"&lt;"&amp;B252)+1)</f>
        <v/>
      </c>
      <c r="L252" s="67" t="str">
        <f aca="false">IF(K252="","",E252&amp;"|"&amp;K252)</f>
        <v/>
      </c>
      <c r="M252" s="67" t="str">
        <f aca="false">IF(F252&lt;&gt;1,"",IF(COUNTIFS($C$5:C252,C252,$F$5:F252,1)=1,1,0))</f>
        <v/>
      </c>
      <c r="N252" s="67" t="str">
        <f aca="false">IF(M252&lt;&gt;1,"",_xlfn.MINIFS($B$5:$B$304,$C$5:$C$304,C252,$F$5:$F$304,1))</f>
        <v/>
      </c>
      <c r="O252" s="67" t="str">
        <f aca="false">IF(M252&lt;&gt;1,"",COUNTIFS($M$5:$M$304,1,$N$5:$N$304,"&lt;"&amp;N252)+1)</f>
        <v/>
      </c>
      <c r="P252" s="68" t="str">
        <f aca="false">IF(OR(B252="",取込チェック!$K$3=0),"",SUMIF(取込チェック!$K$6:$K$505,B252,取込チェック!$L$6:$L$505))</f>
        <v/>
      </c>
      <c r="Q252" s="68" t="str">
        <f aca="false">IF(OR(B252="",取込チェック!$K$3=0),"",SUMIF(取込チェック!$K$6:$K$505,B252,取込チェック!$M$6:$M$505))</f>
        <v/>
      </c>
      <c r="R252" s="68" t="str">
        <f aca="false">IF(P252="","",G252-P252)</f>
        <v/>
      </c>
      <c r="S252" s="68" t="str">
        <f aca="false">IF(Q252="","",I252-Q252)</f>
        <v/>
      </c>
    </row>
    <row r="253" customFormat="false" ht="15" hidden="false" customHeight="false" outlineLevel="0" collapsed="false">
      <c r="A253" s="64" t="str">
        <f aca="false">IF(B253="","",ROW()-4)</f>
        <v/>
      </c>
      <c r="B253" s="65"/>
      <c r="C253" s="65"/>
      <c r="D253" s="65"/>
      <c r="E253" s="66"/>
      <c r="F253" s="67" t="str">
        <f aca="false">IF(B253="","",IF(COUNTIF(取込チェック!$C$6:$C$505,B253)&gt;0,1,0))</f>
        <v/>
      </c>
      <c r="G253" s="68" t="str">
        <f aca="false">IF(B253="","",SUMIF(取込チェック!$C$6:$C$505,B253,取込チェック!$D$6:$D$505))</f>
        <v/>
      </c>
      <c r="H253" s="68" t="str">
        <f aca="false">IF(B253="","",SUMIF(取込チェック!$C$6:$C$505,B253,取込チェック!$E$6:$E$505))</f>
        <v/>
      </c>
      <c r="I253" s="68" t="str">
        <f aca="false">IF(B253="","",SUMIF(取込チェック!$C$6:$C$505,B253,取込チェック!$F$6:$F$505))</f>
        <v/>
      </c>
      <c r="J253" s="69" t="str">
        <f aca="false">IF(F253&lt;&gt;1,"",IF(H253=0,"-",G253/H253))</f>
        <v/>
      </c>
      <c r="K253" s="67" t="str">
        <f aca="false">IF(F253&lt;&gt;1,"",COUNTIFS($E$5:$E$304,E253,$F$5:$F$304,1,$B$5:$B$304,"&lt;"&amp;B253)+1)</f>
        <v/>
      </c>
      <c r="L253" s="67" t="str">
        <f aca="false">IF(K253="","",E253&amp;"|"&amp;K253)</f>
        <v/>
      </c>
      <c r="M253" s="67" t="str">
        <f aca="false">IF(F253&lt;&gt;1,"",IF(COUNTIFS($C$5:C253,C253,$F$5:F253,1)=1,1,0))</f>
        <v/>
      </c>
      <c r="N253" s="67" t="str">
        <f aca="false">IF(M253&lt;&gt;1,"",_xlfn.MINIFS($B$5:$B$304,$C$5:$C$304,C253,$F$5:$F$304,1))</f>
        <v/>
      </c>
      <c r="O253" s="67" t="str">
        <f aca="false">IF(M253&lt;&gt;1,"",COUNTIFS($M$5:$M$304,1,$N$5:$N$304,"&lt;"&amp;N253)+1)</f>
        <v/>
      </c>
      <c r="P253" s="68" t="str">
        <f aca="false">IF(OR(B253="",取込チェック!$K$3=0),"",SUMIF(取込チェック!$K$6:$K$505,B253,取込チェック!$L$6:$L$505))</f>
        <v/>
      </c>
      <c r="Q253" s="68" t="str">
        <f aca="false">IF(OR(B253="",取込チェック!$K$3=0),"",SUMIF(取込チェック!$K$6:$K$505,B253,取込チェック!$M$6:$M$505))</f>
        <v/>
      </c>
      <c r="R253" s="68" t="str">
        <f aca="false">IF(P253="","",G253-P253)</f>
        <v/>
      </c>
      <c r="S253" s="68" t="str">
        <f aca="false">IF(Q253="","",I253-Q253)</f>
        <v/>
      </c>
    </row>
    <row r="254" customFormat="false" ht="15" hidden="false" customHeight="false" outlineLevel="0" collapsed="false">
      <c r="A254" s="64" t="str">
        <f aca="false">IF(B254="","",ROW()-4)</f>
        <v/>
      </c>
      <c r="B254" s="65"/>
      <c r="C254" s="65"/>
      <c r="D254" s="65"/>
      <c r="E254" s="66"/>
      <c r="F254" s="67" t="str">
        <f aca="false">IF(B254="","",IF(COUNTIF(取込チェック!$C$6:$C$505,B254)&gt;0,1,0))</f>
        <v/>
      </c>
      <c r="G254" s="68" t="str">
        <f aca="false">IF(B254="","",SUMIF(取込チェック!$C$6:$C$505,B254,取込チェック!$D$6:$D$505))</f>
        <v/>
      </c>
      <c r="H254" s="68" t="str">
        <f aca="false">IF(B254="","",SUMIF(取込チェック!$C$6:$C$505,B254,取込チェック!$E$6:$E$505))</f>
        <v/>
      </c>
      <c r="I254" s="68" t="str">
        <f aca="false">IF(B254="","",SUMIF(取込チェック!$C$6:$C$505,B254,取込チェック!$F$6:$F$505))</f>
        <v/>
      </c>
      <c r="J254" s="69" t="str">
        <f aca="false">IF(F254&lt;&gt;1,"",IF(H254=0,"-",G254/H254))</f>
        <v/>
      </c>
      <c r="K254" s="67" t="str">
        <f aca="false">IF(F254&lt;&gt;1,"",COUNTIFS($E$5:$E$304,E254,$F$5:$F$304,1,$B$5:$B$304,"&lt;"&amp;B254)+1)</f>
        <v/>
      </c>
      <c r="L254" s="67" t="str">
        <f aca="false">IF(K254="","",E254&amp;"|"&amp;K254)</f>
        <v/>
      </c>
      <c r="M254" s="67" t="str">
        <f aca="false">IF(F254&lt;&gt;1,"",IF(COUNTIFS($C$5:C254,C254,$F$5:F254,1)=1,1,0))</f>
        <v/>
      </c>
      <c r="N254" s="67" t="str">
        <f aca="false">IF(M254&lt;&gt;1,"",_xlfn.MINIFS($B$5:$B$304,$C$5:$C$304,C254,$F$5:$F$304,1))</f>
        <v/>
      </c>
      <c r="O254" s="67" t="str">
        <f aca="false">IF(M254&lt;&gt;1,"",COUNTIFS($M$5:$M$304,1,$N$5:$N$304,"&lt;"&amp;N254)+1)</f>
        <v/>
      </c>
      <c r="P254" s="68" t="str">
        <f aca="false">IF(OR(B254="",取込チェック!$K$3=0),"",SUMIF(取込チェック!$K$6:$K$505,B254,取込チェック!$L$6:$L$505))</f>
        <v/>
      </c>
      <c r="Q254" s="68" t="str">
        <f aca="false">IF(OR(B254="",取込チェック!$K$3=0),"",SUMIF(取込チェック!$K$6:$K$505,B254,取込チェック!$M$6:$M$505))</f>
        <v/>
      </c>
      <c r="R254" s="68" t="str">
        <f aca="false">IF(P254="","",G254-P254)</f>
        <v/>
      </c>
      <c r="S254" s="68" t="str">
        <f aca="false">IF(Q254="","",I254-Q254)</f>
        <v/>
      </c>
    </row>
    <row r="255" customFormat="false" ht="15" hidden="false" customHeight="false" outlineLevel="0" collapsed="false">
      <c r="A255" s="64" t="str">
        <f aca="false">IF(B255="","",ROW()-4)</f>
        <v/>
      </c>
      <c r="B255" s="65"/>
      <c r="C255" s="65"/>
      <c r="D255" s="65"/>
      <c r="E255" s="66"/>
      <c r="F255" s="67" t="str">
        <f aca="false">IF(B255="","",IF(COUNTIF(取込チェック!$C$6:$C$505,B255)&gt;0,1,0))</f>
        <v/>
      </c>
      <c r="G255" s="68" t="str">
        <f aca="false">IF(B255="","",SUMIF(取込チェック!$C$6:$C$505,B255,取込チェック!$D$6:$D$505))</f>
        <v/>
      </c>
      <c r="H255" s="68" t="str">
        <f aca="false">IF(B255="","",SUMIF(取込チェック!$C$6:$C$505,B255,取込チェック!$E$6:$E$505))</f>
        <v/>
      </c>
      <c r="I255" s="68" t="str">
        <f aca="false">IF(B255="","",SUMIF(取込チェック!$C$6:$C$505,B255,取込チェック!$F$6:$F$505))</f>
        <v/>
      </c>
      <c r="J255" s="69" t="str">
        <f aca="false">IF(F255&lt;&gt;1,"",IF(H255=0,"-",G255/H255))</f>
        <v/>
      </c>
      <c r="K255" s="67" t="str">
        <f aca="false">IF(F255&lt;&gt;1,"",COUNTIFS($E$5:$E$304,E255,$F$5:$F$304,1,$B$5:$B$304,"&lt;"&amp;B255)+1)</f>
        <v/>
      </c>
      <c r="L255" s="67" t="str">
        <f aca="false">IF(K255="","",E255&amp;"|"&amp;K255)</f>
        <v/>
      </c>
      <c r="M255" s="67" t="str">
        <f aca="false">IF(F255&lt;&gt;1,"",IF(COUNTIFS($C$5:C255,C255,$F$5:F255,1)=1,1,0))</f>
        <v/>
      </c>
      <c r="N255" s="67" t="str">
        <f aca="false">IF(M255&lt;&gt;1,"",_xlfn.MINIFS($B$5:$B$304,$C$5:$C$304,C255,$F$5:$F$304,1))</f>
        <v/>
      </c>
      <c r="O255" s="67" t="str">
        <f aca="false">IF(M255&lt;&gt;1,"",COUNTIFS($M$5:$M$304,1,$N$5:$N$304,"&lt;"&amp;N255)+1)</f>
        <v/>
      </c>
      <c r="P255" s="68" t="str">
        <f aca="false">IF(OR(B255="",取込チェック!$K$3=0),"",SUMIF(取込チェック!$K$6:$K$505,B255,取込チェック!$L$6:$L$505))</f>
        <v/>
      </c>
      <c r="Q255" s="68" t="str">
        <f aca="false">IF(OR(B255="",取込チェック!$K$3=0),"",SUMIF(取込チェック!$K$6:$K$505,B255,取込チェック!$M$6:$M$505))</f>
        <v/>
      </c>
      <c r="R255" s="68" t="str">
        <f aca="false">IF(P255="","",G255-P255)</f>
        <v/>
      </c>
      <c r="S255" s="68" t="str">
        <f aca="false">IF(Q255="","",I255-Q255)</f>
        <v/>
      </c>
    </row>
    <row r="256" customFormat="false" ht="15" hidden="false" customHeight="false" outlineLevel="0" collapsed="false">
      <c r="A256" s="64" t="str">
        <f aca="false">IF(B256="","",ROW()-4)</f>
        <v/>
      </c>
      <c r="B256" s="65"/>
      <c r="C256" s="65"/>
      <c r="D256" s="65"/>
      <c r="E256" s="66"/>
      <c r="F256" s="67" t="str">
        <f aca="false">IF(B256="","",IF(COUNTIF(取込チェック!$C$6:$C$505,B256)&gt;0,1,0))</f>
        <v/>
      </c>
      <c r="G256" s="68" t="str">
        <f aca="false">IF(B256="","",SUMIF(取込チェック!$C$6:$C$505,B256,取込チェック!$D$6:$D$505))</f>
        <v/>
      </c>
      <c r="H256" s="68" t="str">
        <f aca="false">IF(B256="","",SUMIF(取込チェック!$C$6:$C$505,B256,取込チェック!$E$6:$E$505))</f>
        <v/>
      </c>
      <c r="I256" s="68" t="str">
        <f aca="false">IF(B256="","",SUMIF(取込チェック!$C$6:$C$505,B256,取込チェック!$F$6:$F$505))</f>
        <v/>
      </c>
      <c r="J256" s="69" t="str">
        <f aca="false">IF(F256&lt;&gt;1,"",IF(H256=0,"-",G256/H256))</f>
        <v/>
      </c>
      <c r="K256" s="67" t="str">
        <f aca="false">IF(F256&lt;&gt;1,"",COUNTIFS($E$5:$E$304,E256,$F$5:$F$304,1,$B$5:$B$304,"&lt;"&amp;B256)+1)</f>
        <v/>
      </c>
      <c r="L256" s="67" t="str">
        <f aca="false">IF(K256="","",E256&amp;"|"&amp;K256)</f>
        <v/>
      </c>
      <c r="M256" s="67" t="str">
        <f aca="false">IF(F256&lt;&gt;1,"",IF(COUNTIFS($C$5:C256,C256,$F$5:F256,1)=1,1,0))</f>
        <v/>
      </c>
      <c r="N256" s="67" t="str">
        <f aca="false">IF(M256&lt;&gt;1,"",_xlfn.MINIFS($B$5:$B$304,$C$5:$C$304,C256,$F$5:$F$304,1))</f>
        <v/>
      </c>
      <c r="O256" s="67" t="str">
        <f aca="false">IF(M256&lt;&gt;1,"",COUNTIFS($M$5:$M$304,1,$N$5:$N$304,"&lt;"&amp;N256)+1)</f>
        <v/>
      </c>
      <c r="P256" s="68" t="str">
        <f aca="false">IF(OR(B256="",取込チェック!$K$3=0),"",SUMIF(取込チェック!$K$6:$K$505,B256,取込チェック!$L$6:$L$505))</f>
        <v/>
      </c>
      <c r="Q256" s="68" t="str">
        <f aca="false">IF(OR(B256="",取込チェック!$K$3=0),"",SUMIF(取込チェック!$K$6:$K$505,B256,取込チェック!$M$6:$M$505))</f>
        <v/>
      </c>
      <c r="R256" s="68" t="str">
        <f aca="false">IF(P256="","",G256-P256)</f>
        <v/>
      </c>
      <c r="S256" s="68" t="str">
        <f aca="false">IF(Q256="","",I256-Q256)</f>
        <v/>
      </c>
    </row>
    <row r="257" customFormat="false" ht="15" hidden="false" customHeight="false" outlineLevel="0" collapsed="false">
      <c r="A257" s="64" t="str">
        <f aca="false">IF(B257="","",ROW()-4)</f>
        <v/>
      </c>
      <c r="B257" s="65"/>
      <c r="C257" s="65"/>
      <c r="D257" s="65"/>
      <c r="E257" s="66"/>
      <c r="F257" s="67" t="str">
        <f aca="false">IF(B257="","",IF(COUNTIF(取込チェック!$C$6:$C$505,B257)&gt;0,1,0))</f>
        <v/>
      </c>
      <c r="G257" s="68" t="str">
        <f aca="false">IF(B257="","",SUMIF(取込チェック!$C$6:$C$505,B257,取込チェック!$D$6:$D$505))</f>
        <v/>
      </c>
      <c r="H257" s="68" t="str">
        <f aca="false">IF(B257="","",SUMIF(取込チェック!$C$6:$C$505,B257,取込チェック!$E$6:$E$505))</f>
        <v/>
      </c>
      <c r="I257" s="68" t="str">
        <f aca="false">IF(B257="","",SUMIF(取込チェック!$C$6:$C$505,B257,取込チェック!$F$6:$F$505))</f>
        <v/>
      </c>
      <c r="J257" s="69" t="str">
        <f aca="false">IF(F257&lt;&gt;1,"",IF(H257=0,"-",G257/H257))</f>
        <v/>
      </c>
      <c r="K257" s="67" t="str">
        <f aca="false">IF(F257&lt;&gt;1,"",COUNTIFS($E$5:$E$304,E257,$F$5:$F$304,1,$B$5:$B$304,"&lt;"&amp;B257)+1)</f>
        <v/>
      </c>
      <c r="L257" s="67" t="str">
        <f aca="false">IF(K257="","",E257&amp;"|"&amp;K257)</f>
        <v/>
      </c>
      <c r="M257" s="67" t="str">
        <f aca="false">IF(F257&lt;&gt;1,"",IF(COUNTIFS($C$5:C257,C257,$F$5:F257,1)=1,1,0))</f>
        <v/>
      </c>
      <c r="N257" s="67" t="str">
        <f aca="false">IF(M257&lt;&gt;1,"",_xlfn.MINIFS($B$5:$B$304,$C$5:$C$304,C257,$F$5:$F$304,1))</f>
        <v/>
      </c>
      <c r="O257" s="67" t="str">
        <f aca="false">IF(M257&lt;&gt;1,"",COUNTIFS($M$5:$M$304,1,$N$5:$N$304,"&lt;"&amp;N257)+1)</f>
        <v/>
      </c>
      <c r="P257" s="68" t="str">
        <f aca="false">IF(OR(B257="",取込チェック!$K$3=0),"",SUMIF(取込チェック!$K$6:$K$505,B257,取込チェック!$L$6:$L$505))</f>
        <v/>
      </c>
      <c r="Q257" s="68" t="str">
        <f aca="false">IF(OR(B257="",取込チェック!$K$3=0),"",SUMIF(取込チェック!$K$6:$K$505,B257,取込チェック!$M$6:$M$505))</f>
        <v/>
      </c>
      <c r="R257" s="68" t="str">
        <f aca="false">IF(P257="","",G257-P257)</f>
        <v/>
      </c>
      <c r="S257" s="68" t="str">
        <f aca="false">IF(Q257="","",I257-Q257)</f>
        <v/>
      </c>
    </row>
    <row r="258" customFormat="false" ht="15" hidden="false" customHeight="false" outlineLevel="0" collapsed="false">
      <c r="A258" s="64" t="str">
        <f aca="false">IF(B258="","",ROW()-4)</f>
        <v/>
      </c>
      <c r="B258" s="65"/>
      <c r="C258" s="65"/>
      <c r="D258" s="65"/>
      <c r="E258" s="66"/>
      <c r="F258" s="67" t="str">
        <f aca="false">IF(B258="","",IF(COUNTIF(取込チェック!$C$6:$C$505,B258)&gt;0,1,0))</f>
        <v/>
      </c>
      <c r="G258" s="68" t="str">
        <f aca="false">IF(B258="","",SUMIF(取込チェック!$C$6:$C$505,B258,取込チェック!$D$6:$D$505))</f>
        <v/>
      </c>
      <c r="H258" s="68" t="str">
        <f aca="false">IF(B258="","",SUMIF(取込チェック!$C$6:$C$505,B258,取込チェック!$E$6:$E$505))</f>
        <v/>
      </c>
      <c r="I258" s="68" t="str">
        <f aca="false">IF(B258="","",SUMIF(取込チェック!$C$6:$C$505,B258,取込チェック!$F$6:$F$505))</f>
        <v/>
      </c>
      <c r="J258" s="69" t="str">
        <f aca="false">IF(F258&lt;&gt;1,"",IF(H258=0,"-",G258/H258))</f>
        <v/>
      </c>
      <c r="K258" s="67" t="str">
        <f aca="false">IF(F258&lt;&gt;1,"",COUNTIFS($E$5:$E$304,E258,$F$5:$F$304,1,$B$5:$B$304,"&lt;"&amp;B258)+1)</f>
        <v/>
      </c>
      <c r="L258" s="67" t="str">
        <f aca="false">IF(K258="","",E258&amp;"|"&amp;K258)</f>
        <v/>
      </c>
      <c r="M258" s="67" t="str">
        <f aca="false">IF(F258&lt;&gt;1,"",IF(COUNTIFS($C$5:C258,C258,$F$5:F258,1)=1,1,0))</f>
        <v/>
      </c>
      <c r="N258" s="67" t="str">
        <f aca="false">IF(M258&lt;&gt;1,"",_xlfn.MINIFS($B$5:$B$304,$C$5:$C$304,C258,$F$5:$F$304,1))</f>
        <v/>
      </c>
      <c r="O258" s="67" t="str">
        <f aca="false">IF(M258&lt;&gt;1,"",COUNTIFS($M$5:$M$304,1,$N$5:$N$304,"&lt;"&amp;N258)+1)</f>
        <v/>
      </c>
      <c r="P258" s="68" t="str">
        <f aca="false">IF(OR(B258="",取込チェック!$K$3=0),"",SUMIF(取込チェック!$K$6:$K$505,B258,取込チェック!$L$6:$L$505))</f>
        <v/>
      </c>
      <c r="Q258" s="68" t="str">
        <f aca="false">IF(OR(B258="",取込チェック!$K$3=0),"",SUMIF(取込チェック!$K$6:$K$505,B258,取込チェック!$M$6:$M$505))</f>
        <v/>
      </c>
      <c r="R258" s="68" t="str">
        <f aca="false">IF(P258="","",G258-P258)</f>
        <v/>
      </c>
      <c r="S258" s="68" t="str">
        <f aca="false">IF(Q258="","",I258-Q258)</f>
        <v/>
      </c>
    </row>
    <row r="259" customFormat="false" ht="15" hidden="false" customHeight="false" outlineLevel="0" collapsed="false">
      <c r="A259" s="64" t="str">
        <f aca="false">IF(B259="","",ROW()-4)</f>
        <v/>
      </c>
      <c r="B259" s="65"/>
      <c r="C259" s="65"/>
      <c r="D259" s="65"/>
      <c r="E259" s="66"/>
      <c r="F259" s="67" t="str">
        <f aca="false">IF(B259="","",IF(COUNTIF(取込チェック!$C$6:$C$505,B259)&gt;0,1,0))</f>
        <v/>
      </c>
      <c r="G259" s="68" t="str">
        <f aca="false">IF(B259="","",SUMIF(取込チェック!$C$6:$C$505,B259,取込チェック!$D$6:$D$505))</f>
        <v/>
      </c>
      <c r="H259" s="68" t="str">
        <f aca="false">IF(B259="","",SUMIF(取込チェック!$C$6:$C$505,B259,取込チェック!$E$6:$E$505))</f>
        <v/>
      </c>
      <c r="I259" s="68" t="str">
        <f aca="false">IF(B259="","",SUMIF(取込チェック!$C$6:$C$505,B259,取込チェック!$F$6:$F$505))</f>
        <v/>
      </c>
      <c r="J259" s="69" t="str">
        <f aca="false">IF(F259&lt;&gt;1,"",IF(H259=0,"-",G259/H259))</f>
        <v/>
      </c>
      <c r="K259" s="67" t="str">
        <f aca="false">IF(F259&lt;&gt;1,"",COUNTIFS($E$5:$E$304,E259,$F$5:$F$304,1,$B$5:$B$304,"&lt;"&amp;B259)+1)</f>
        <v/>
      </c>
      <c r="L259" s="67" t="str">
        <f aca="false">IF(K259="","",E259&amp;"|"&amp;K259)</f>
        <v/>
      </c>
      <c r="M259" s="67" t="str">
        <f aca="false">IF(F259&lt;&gt;1,"",IF(COUNTIFS($C$5:C259,C259,$F$5:F259,1)=1,1,0))</f>
        <v/>
      </c>
      <c r="N259" s="67" t="str">
        <f aca="false">IF(M259&lt;&gt;1,"",_xlfn.MINIFS($B$5:$B$304,$C$5:$C$304,C259,$F$5:$F$304,1))</f>
        <v/>
      </c>
      <c r="O259" s="67" t="str">
        <f aca="false">IF(M259&lt;&gt;1,"",COUNTIFS($M$5:$M$304,1,$N$5:$N$304,"&lt;"&amp;N259)+1)</f>
        <v/>
      </c>
      <c r="P259" s="68" t="str">
        <f aca="false">IF(OR(B259="",取込チェック!$K$3=0),"",SUMIF(取込チェック!$K$6:$K$505,B259,取込チェック!$L$6:$L$505))</f>
        <v/>
      </c>
      <c r="Q259" s="68" t="str">
        <f aca="false">IF(OR(B259="",取込チェック!$K$3=0),"",SUMIF(取込チェック!$K$6:$K$505,B259,取込チェック!$M$6:$M$505))</f>
        <v/>
      </c>
      <c r="R259" s="68" t="str">
        <f aca="false">IF(P259="","",G259-P259)</f>
        <v/>
      </c>
      <c r="S259" s="68" t="str">
        <f aca="false">IF(Q259="","",I259-Q259)</f>
        <v/>
      </c>
    </row>
    <row r="260" customFormat="false" ht="15" hidden="false" customHeight="false" outlineLevel="0" collapsed="false">
      <c r="A260" s="64" t="str">
        <f aca="false">IF(B260="","",ROW()-4)</f>
        <v/>
      </c>
      <c r="B260" s="65"/>
      <c r="C260" s="65"/>
      <c r="D260" s="65"/>
      <c r="E260" s="66"/>
      <c r="F260" s="67" t="str">
        <f aca="false">IF(B260="","",IF(COUNTIF(取込チェック!$C$6:$C$505,B260)&gt;0,1,0))</f>
        <v/>
      </c>
      <c r="G260" s="68" t="str">
        <f aca="false">IF(B260="","",SUMIF(取込チェック!$C$6:$C$505,B260,取込チェック!$D$6:$D$505))</f>
        <v/>
      </c>
      <c r="H260" s="68" t="str">
        <f aca="false">IF(B260="","",SUMIF(取込チェック!$C$6:$C$505,B260,取込チェック!$E$6:$E$505))</f>
        <v/>
      </c>
      <c r="I260" s="68" t="str">
        <f aca="false">IF(B260="","",SUMIF(取込チェック!$C$6:$C$505,B260,取込チェック!$F$6:$F$505))</f>
        <v/>
      </c>
      <c r="J260" s="69" t="str">
        <f aca="false">IF(F260&lt;&gt;1,"",IF(H260=0,"-",G260/H260))</f>
        <v/>
      </c>
      <c r="K260" s="67" t="str">
        <f aca="false">IF(F260&lt;&gt;1,"",COUNTIFS($E$5:$E$304,E260,$F$5:$F$304,1,$B$5:$B$304,"&lt;"&amp;B260)+1)</f>
        <v/>
      </c>
      <c r="L260" s="67" t="str">
        <f aca="false">IF(K260="","",E260&amp;"|"&amp;K260)</f>
        <v/>
      </c>
      <c r="M260" s="67" t="str">
        <f aca="false">IF(F260&lt;&gt;1,"",IF(COUNTIFS($C$5:C260,C260,$F$5:F260,1)=1,1,0))</f>
        <v/>
      </c>
      <c r="N260" s="67" t="str">
        <f aca="false">IF(M260&lt;&gt;1,"",_xlfn.MINIFS($B$5:$B$304,$C$5:$C$304,C260,$F$5:$F$304,1))</f>
        <v/>
      </c>
      <c r="O260" s="67" t="str">
        <f aca="false">IF(M260&lt;&gt;1,"",COUNTIFS($M$5:$M$304,1,$N$5:$N$304,"&lt;"&amp;N260)+1)</f>
        <v/>
      </c>
      <c r="P260" s="68" t="str">
        <f aca="false">IF(OR(B260="",取込チェック!$K$3=0),"",SUMIF(取込チェック!$K$6:$K$505,B260,取込チェック!$L$6:$L$505))</f>
        <v/>
      </c>
      <c r="Q260" s="68" t="str">
        <f aca="false">IF(OR(B260="",取込チェック!$K$3=0),"",SUMIF(取込チェック!$K$6:$K$505,B260,取込チェック!$M$6:$M$505))</f>
        <v/>
      </c>
      <c r="R260" s="68" t="str">
        <f aca="false">IF(P260="","",G260-P260)</f>
        <v/>
      </c>
      <c r="S260" s="68" t="str">
        <f aca="false">IF(Q260="","",I260-Q260)</f>
        <v/>
      </c>
    </row>
    <row r="261" customFormat="false" ht="15" hidden="false" customHeight="false" outlineLevel="0" collapsed="false">
      <c r="A261" s="64" t="str">
        <f aca="false">IF(B261="","",ROW()-4)</f>
        <v/>
      </c>
      <c r="B261" s="65"/>
      <c r="C261" s="65"/>
      <c r="D261" s="65"/>
      <c r="E261" s="66"/>
      <c r="F261" s="67" t="str">
        <f aca="false">IF(B261="","",IF(COUNTIF(取込チェック!$C$6:$C$505,B261)&gt;0,1,0))</f>
        <v/>
      </c>
      <c r="G261" s="68" t="str">
        <f aca="false">IF(B261="","",SUMIF(取込チェック!$C$6:$C$505,B261,取込チェック!$D$6:$D$505))</f>
        <v/>
      </c>
      <c r="H261" s="68" t="str">
        <f aca="false">IF(B261="","",SUMIF(取込チェック!$C$6:$C$505,B261,取込チェック!$E$6:$E$505))</f>
        <v/>
      </c>
      <c r="I261" s="68" t="str">
        <f aca="false">IF(B261="","",SUMIF(取込チェック!$C$6:$C$505,B261,取込チェック!$F$6:$F$505))</f>
        <v/>
      </c>
      <c r="J261" s="69" t="str">
        <f aca="false">IF(F261&lt;&gt;1,"",IF(H261=0,"-",G261/H261))</f>
        <v/>
      </c>
      <c r="K261" s="67" t="str">
        <f aca="false">IF(F261&lt;&gt;1,"",COUNTIFS($E$5:$E$304,E261,$F$5:$F$304,1,$B$5:$B$304,"&lt;"&amp;B261)+1)</f>
        <v/>
      </c>
      <c r="L261" s="67" t="str">
        <f aca="false">IF(K261="","",E261&amp;"|"&amp;K261)</f>
        <v/>
      </c>
      <c r="M261" s="67" t="str">
        <f aca="false">IF(F261&lt;&gt;1,"",IF(COUNTIFS($C$5:C261,C261,$F$5:F261,1)=1,1,0))</f>
        <v/>
      </c>
      <c r="N261" s="67" t="str">
        <f aca="false">IF(M261&lt;&gt;1,"",_xlfn.MINIFS($B$5:$B$304,$C$5:$C$304,C261,$F$5:$F$304,1))</f>
        <v/>
      </c>
      <c r="O261" s="67" t="str">
        <f aca="false">IF(M261&lt;&gt;1,"",COUNTIFS($M$5:$M$304,1,$N$5:$N$304,"&lt;"&amp;N261)+1)</f>
        <v/>
      </c>
      <c r="P261" s="68" t="str">
        <f aca="false">IF(OR(B261="",取込チェック!$K$3=0),"",SUMIF(取込チェック!$K$6:$K$505,B261,取込チェック!$L$6:$L$505))</f>
        <v/>
      </c>
      <c r="Q261" s="68" t="str">
        <f aca="false">IF(OR(B261="",取込チェック!$K$3=0),"",SUMIF(取込チェック!$K$6:$K$505,B261,取込チェック!$M$6:$M$505))</f>
        <v/>
      </c>
      <c r="R261" s="68" t="str">
        <f aca="false">IF(P261="","",G261-P261)</f>
        <v/>
      </c>
      <c r="S261" s="68" t="str">
        <f aca="false">IF(Q261="","",I261-Q261)</f>
        <v/>
      </c>
    </row>
    <row r="262" customFormat="false" ht="15" hidden="false" customHeight="false" outlineLevel="0" collapsed="false">
      <c r="A262" s="64" t="str">
        <f aca="false">IF(B262="","",ROW()-4)</f>
        <v/>
      </c>
      <c r="B262" s="65"/>
      <c r="C262" s="65"/>
      <c r="D262" s="65"/>
      <c r="E262" s="66"/>
      <c r="F262" s="67" t="str">
        <f aca="false">IF(B262="","",IF(COUNTIF(取込チェック!$C$6:$C$505,B262)&gt;0,1,0))</f>
        <v/>
      </c>
      <c r="G262" s="68" t="str">
        <f aca="false">IF(B262="","",SUMIF(取込チェック!$C$6:$C$505,B262,取込チェック!$D$6:$D$505))</f>
        <v/>
      </c>
      <c r="H262" s="68" t="str">
        <f aca="false">IF(B262="","",SUMIF(取込チェック!$C$6:$C$505,B262,取込チェック!$E$6:$E$505))</f>
        <v/>
      </c>
      <c r="I262" s="68" t="str">
        <f aca="false">IF(B262="","",SUMIF(取込チェック!$C$6:$C$505,B262,取込チェック!$F$6:$F$505))</f>
        <v/>
      </c>
      <c r="J262" s="69" t="str">
        <f aca="false">IF(F262&lt;&gt;1,"",IF(H262=0,"-",G262/H262))</f>
        <v/>
      </c>
      <c r="K262" s="67" t="str">
        <f aca="false">IF(F262&lt;&gt;1,"",COUNTIFS($E$5:$E$304,E262,$F$5:$F$304,1,$B$5:$B$304,"&lt;"&amp;B262)+1)</f>
        <v/>
      </c>
      <c r="L262" s="67" t="str">
        <f aca="false">IF(K262="","",E262&amp;"|"&amp;K262)</f>
        <v/>
      </c>
      <c r="M262" s="67" t="str">
        <f aca="false">IF(F262&lt;&gt;1,"",IF(COUNTIFS($C$5:C262,C262,$F$5:F262,1)=1,1,0))</f>
        <v/>
      </c>
      <c r="N262" s="67" t="str">
        <f aca="false">IF(M262&lt;&gt;1,"",_xlfn.MINIFS($B$5:$B$304,$C$5:$C$304,C262,$F$5:$F$304,1))</f>
        <v/>
      </c>
      <c r="O262" s="67" t="str">
        <f aca="false">IF(M262&lt;&gt;1,"",COUNTIFS($M$5:$M$304,1,$N$5:$N$304,"&lt;"&amp;N262)+1)</f>
        <v/>
      </c>
      <c r="P262" s="68" t="str">
        <f aca="false">IF(OR(B262="",取込チェック!$K$3=0),"",SUMIF(取込チェック!$K$6:$K$505,B262,取込チェック!$L$6:$L$505))</f>
        <v/>
      </c>
      <c r="Q262" s="68" t="str">
        <f aca="false">IF(OR(B262="",取込チェック!$K$3=0),"",SUMIF(取込チェック!$K$6:$K$505,B262,取込チェック!$M$6:$M$505))</f>
        <v/>
      </c>
      <c r="R262" s="68" t="str">
        <f aca="false">IF(P262="","",G262-P262)</f>
        <v/>
      </c>
      <c r="S262" s="68" t="str">
        <f aca="false">IF(Q262="","",I262-Q262)</f>
        <v/>
      </c>
    </row>
    <row r="263" customFormat="false" ht="15" hidden="false" customHeight="false" outlineLevel="0" collapsed="false">
      <c r="A263" s="64" t="str">
        <f aca="false">IF(B263="","",ROW()-4)</f>
        <v/>
      </c>
      <c r="B263" s="65"/>
      <c r="C263" s="65"/>
      <c r="D263" s="65"/>
      <c r="E263" s="66"/>
      <c r="F263" s="67" t="str">
        <f aca="false">IF(B263="","",IF(COUNTIF(取込チェック!$C$6:$C$505,B263)&gt;0,1,0))</f>
        <v/>
      </c>
      <c r="G263" s="68" t="str">
        <f aca="false">IF(B263="","",SUMIF(取込チェック!$C$6:$C$505,B263,取込チェック!$D$6:$D$505))</f>
        <v/>
      </c>
      <c r="H263" s="68" t="str">
        <f aca="false">IF(B263="","",SUMIF(取込チェック!$C$6:$C$505,B263,取込チェック!$E$6:$E$505))</f>
        <v/>
      </c>
      <c r="I263" s="68" t="str">
        <f aca="false">IF(B263="","",SUMIF(取込チェック!$C$6:$C$505,B263,取込チェック!$F$6:$F$505))</f>
        <v/>
      </c>
      <c r="J263" s="69" t="str">
        <f aca="false">IF(F263&lt;&gt;1,"",IF(H263=0,"-",G263/H263))</f>
        <v/>
      </c>
      <c r="K263" s="67" t="str">
        <f aca="false">IF(F263&lt;&gt;1,"",COUNTIFS($E$5:$E$304,E263,$F$5:$F$304,1,$B$5:$B$304,"&lt;"&amp;B263)+1)</f>
        <v/>
      </c>
      <c r="L263" s="67" t="str">
        <f aca="false">IF(K263="","",E263&amp;"|"&amp;K263)</f>
        <v/>
      </c>
      <c r="M263" s="67" t="str">
        <f aca="false">IF(F263&lt;&gt;1,"",IF(COUNTIFS($C$5:C263,C263,$F$5:F263,1)=1,1,0))</f>
        <v/>
      </c>
      <c r="N263" s="67" t="str">
        <f aca="false">IF(M263&lt;&gt;1,"",_xlfn.MINIFS($B$5:$B$304,$C$5:$C$304,C263,$F$5:$F$304,1))</f>
        <v/>
      </c>
      <c r="O263" s="67" t="str">
        <f aca="false">IF(M263&lt;&gt;1,"",COUNTIFS($M$5:$M$304,1,$N$5:$N$304,"&lt;"&amp;N263)+1)</f>
        <v/>
      </c>
      <c r="P263" s="68" t="str">
        <f aca="false">IF(OR(B263="",取込チェック!$K$3=0),"",SUMIF(取込チェック!$K$6:$K$505,B263,取込チェック!$L$6:$L$505))</f>
        <v/>
      </c>
      <c r="Q263" s="68" t="str">
        <f aca="false">IF(OR(B263="",取込チェック!$K$3=0),"",SUMIF(取込チェック!$K$6:$K$505,B263,取込チェック!$M$6:$M$505))</f>
        <v/>
      </c>
      <c r="R263" s="68" t="str">
        <f aca="false">IF(P263="","",G263-P263)</f>
        <v/>
      </c>
      <c r="S263" s="68" t="str">
        <f aca="false">IF(Q263="","",I263-Q263)</f>
        <v/>
      </c>
    </row>
    <row r="264" customFormat="false" ht="15" hidden="false" customHeight="false" outlineLevel="0" collapsed="false">
      <c r="A264" s="64" t="str">
        <f aca="false">IF(B264="","",ROW()-4)</f>
        <v/>
      </c>
      <c r="B264" s="65"/>
      <c r="C264" s="65"/>
      <c r="D264" s="65"/>
      <c r="E264" s="66"/>
      <c r="F264" s="67" t="str">
        <f aca="false">IF(B264="","",IF(COUNTIF(取込チェック!$C$6:$C$505,B264)&gt;0,1,0))</f>
        <v/>
      </c>
      <c r="G264" s="68" t="str">
        <f aca="false">IF(B264="","",SUMIF(取込チェック!$C$6:$C$505,B264,取込チェック!$D$6:$D$505))</f>
        <v/>
      </c>
      <c r="H264" s="68" t="str">
        <f aca="false">IF(B264="","",SUMIF(取込チェック!$C$6:$C$505,B264,取込チェック!$E$6:$E$505))</f>
        <v/>
      </c>
      <c r="I264" s="68" t="str">
        <f aca="false">IF(B264="","",SUMIF(取込チェック!$C$6:$C$505,B264,取込チェック!$F$6:$F$505))</f>
        <v/>
      </c>
      <c r="J264" s="69" t="str">
        <f aca="false">IF(F264&lt;&gt;1,"",IF(H264=0,"-",G264/H264))</f>
        <v/>
      </c>
      <c r="K264" s="67" t="str">
        <f aca="false">IF(F264&lt;&gt;1,"",COUNTIFS($E$5:$E$304,E264,$F$5:$F$304,1,$B$5:$B$304,"&lt;"&amp;B264)+1)</f>
        <v/>
      </c>
      <c r="L264" s="67" t="str">
        <f aca="false">IF(K264="","",E264&amp;"|"&amp;K264)</f>
        <v/>
      </c>
      <c r="M264" s="67" t="str">
        <f aca="false">IF(F264&lt;&gt;1,"",IF(COUNTIFS($C$5:C264,C264,$F$5:F264,1)=1,1,0))</f>
        <v/>
      </c>
      <c r="N264" s="67" t="str">
        <f aca="false">IF(M264&lt;&gt;1,"",_xlfn.MINIFS($B$5:$B$304,$C$5:$C$304,C264,$F$5:$F$304,1))</f>
        <v/>
      </c>
      <c r="O264" s="67" t="str">
        <f aca="false">IF(M264&lt;&gt;1,"",COUNTIFS($M$5:$M$304,1,$N$5:$N$304,"&lt;"&amp;N264)+1)</f>
        <v/>
      </c>
      <c r="P264" s="68" t="str">
        <f aca="false">IF(OR(B264="",取込チェック!$K$3=0),"",SUMIF(取込チェック!$K$6:$K$505,B264,取込チェック!$L$6:$L$505))</f>
        <v/>
      </c>
      <c r="Q264" s="68" t="str">
        <f aca="false">IF(OR(B264="",取込チェック!$K$3=0),"",SUMIF(取込チェック!$K$6:$K$505,B264,取込チェック!$M$6:$M$505))</f>
        <v/>
      </c>
      <c r="R264" s="68" t="str">
        <f aca="false">IF(P264="","",G264-P264)</f>
        <v/>
      </c>
      <c r="S264" s="68" t="str">
        <f aca="false">IF(Q264="","",I264-Q264)</f>
        <v/>
      </c>
    </row>
    <row r="265" customFormat="false" ht="15" hidden="false" customHeight="false" outlineLevel="0" collapsed="false">
      <c r="A265" s="64" t="str">
        <f aca="false">IF(B265="","",ROW()-4)</f>
        <v/>
      </c>
      <c r="B265" s="65"/>
      <c r="C265" s="65"/>
      <c r="D265" s="65"/>
      <c r="E265" s="66"/>
      <c r="F265" s="67" t="str">
        <f aca="false">IF(B265="","",IF(COUNTIF(取込チェック!$C$6:$C$505,B265)&gt;0,1,0))</f>
        <v/>
      </c>
      <c r="G265" s="68" t="str">
        <f aca="false">IF(B265="","",SUMIF(取込チェック!$C$6:$C$505,B265,取込チェック!$D$6:$D$505))</f>
        <v/>
      </c>
      <c r="H265" s="68" t="str">
        <f aca="false">IF(B265="","",SUMIF(取込チェック!$C$6:$C$505,B265,取込チェック!$E$6:$E$505))</f>
        <v/>
      </c>
      <c r="I265" s="68" t="str">
        <f aca="false">IF(B265="","",SUMIF(取込チェック!$C$6:$C$505,B265,取込チェック!$F$6:$F$505))</f>
        <v/>
      </c>
      <c r="J265" s="69" t="str">
        <f aca="false">IF(F265&lt;&gt;1,"",IF(H265=0,"-",G265/H265))</f>
        <v/>
      </c>
      <c r="K265" s="67" t="str">
        <f aca="false">IF(F265&lt;&gt;1,"",COUNTIFS($E$5:$E$304,E265,$F$5:$F$304,1,$B$5:$B$304,"&lt;"&amp;B265)+1)</f>
        <v/>
      </c>
      <c r="L265" s="67" t="str">
        <f aca="false">IF(K265="","",E265&amp;"|"&amp;K265)</f>
        <v/>
      </c>
      <c r="M265" s="67" t="str">
        <f aca="false">IF(F265&lt;&gt;1,"",IF(COUNTIFS($C$5:C265,C265,$F$5:F265,1)=1,1,0))</f>
        <v/>
      </c>
      <c r="N265" s="67" t="str">
        <f aca="false">IF(M265&lt;&gt;1,"",_xlfn.MINIFS($B$5:$B$304,$C$5:$C$304,C265,$F$5:$F$304,1))</f>
        <v/>
      </c>
      <c r="O265" s="67" t="str">
        <f aca="false">IF(M265&lt;&gt;1,"",COUNTIFS($M$5:$M$304,1,$N$5:$N$304,"&lt;"&amp;N265)+1)</f>
        <v/>
      </c>
      <c r="P265" s="68" t="str">
        <f aca="false">IF(OR(B265="",取込チェック!$K$3=0),"",SUMIF(取込チェック!$K$6:$K$505,B265,取込チェック!$L$6:$L$505))</f>
        <v/>
      </c>
      <c r="Q265" s="68" t="str">
        <f aca="false">IF(OR(B265="",取込チェック!$K$3=0),"",SUMIF(取込チェック!$K$6:$K$505,B265,取込チェック!$M$6:$M$505))</f>
        <v/>
      </c>
      <c r="R265" s="68" t="str">
        <f aca="false">IF(P265="","",G265-P265)</f>
        <v/>
      </c>
      <c r="S265" s="68" t="str">
        <f aca="false">IF(Q265="","",I265-Q265)</f>
        <v/>
      </c>
    </row>
    <row r="266" customFormat="false" ht="15" hidden="false" customHeight="false" outlineLevel="0" collapsed="false">
      <c r="A266" s="64" t="str">
        <f aca="false">IF(B266="","",ROW()-4)</f>
        <v/>
      </c>
      <c r="B266" s="65"/>
      <c r="C266" s="65"/>
      <c r="D266" s="65"/>
      <c r="E266" s="66"/>
      <c r="F266" s="67" t="str">
        <f aca="false">IF(B266="","",IF(COUNTIF(取込チェック!$C$6:$C$505,B266)&gt;0,1,0))</f>
        <v/>
      </c>
      <c r="G266" s="68" t="str">
        <f aca="false">IF(B266="","",SUMIF(取込チェック!$C$6:$C$505,B266,取込チェック!$D$6:$D$505))</f>
        <v/>
      </c>
      <c r="H266" s="68" t="str">
        <f aca="false">IF(B266="","",SUMIF(取込チェック!$C$6:$C$505,B266,取込チェック!$E$6:$E$505))</f>
        <v/>
      </c>
      <c r="I266" s="68" t="str">
        <f aca="false">IF(B266="","",SUMIF(取込チェック!$C$6:$C$505,B266,取込チェック!$F$6:$F$505))</f>
        <v/>
      </c>
      <c r="J266" s="69" t="str">
        <f aca="false">IF(F266&lt;&gt;1,"",IF(H266=0,"-",G266/H266))</f>
        <v/>
      </c>
      <c r="K266" s="67" t="str">
        <f aca="false">IF(F266&lt;&gt;1,"",COUNTIFS($E$5:$E$304,E266,$F$5:$F$304,1,$B$5:$B$304,"&lt;"&amp;B266)+1)</f>
        <v/>
      </c>
      <c r="L266" s="67" t="str">
        <f aca="false">IF(K266="","",E266&amp;"|"&amp;K266)</f>
        <v/>
      </c>
      <c r="M266" s="67" t="str">
        <f aca="false">IF(F266&lt;&gt;1,"",IF(COUNTIFS($C$5:C266,C266,$F$5:F266,1)=1,1,0))</f>
        <v/>
      </c>
      <c r="N266" s="67" t="str">
        <f aca="false">IF(M266&lt;&gt;1,"",_xlfn.MINIFS($B$5:$B$304,$C$5:$C$304,C266,$F$5:$F$304,1))</f>
        <v/>
      </c>
      <c r="O266" s="67" t="str">
        <f aca="false">IF(M266&lt;&gt;1,"",COUNTIFS($M$5:$M$304,1,$N$5:$N$304,"&lt;"&amp;N266)+1)</f>
        <v/>
      </c>
      <c r="P266" s="68" t="str">
        <f aca="false">IF(OR(B266="",取込チェック!$K$3=0),"",SUMIF(取込チェック!$K$6:$K$505,B266,取込チェック!$L$6:$L$505))</f>
        <v/>
      </c>
      <c r="Q266" s="68" t="str">
        <f aca="false">IF(OR(B266="",取込チェック!$K$3=0),"",SUMIF(取込チェック!$K$6:$K$505,B266,取込チェック!$M$6:$M$505))</f>
        <v/>
      </c>
      <c r="R266" s="68" t="str">
        <f aca="false">IF(P266="","",G266-P266)</f>
        <v/>
      </c>
      <c r="S266" s="68" t="str">
        <f aca="false">IF(Q266="","",I266-Q266)</f>
        <v/>
      </c>
    </row>
    <row r="267" customFormat="false" ht="15" hidden="false" customHeight="false" outlineLevel="0" collapsed="false">
      <c r="A267" s="64" t="str">
        <f aca="false">IF(B267="","",ROW()-4)</f>
        <v/>
      </c>
      <c r="B267" s="65"/>
      <c r="C267" s="65"/>
      <c r="D267" s="65"/>
      <c r="E267" s="66"/>
      <c r="F267" s="67" t="str">
        <f aca="false">IF(B267="","",IF(COUNTIF(取込チェック!$C$6:$C$505,B267)&gt;0,1,0))</f>
        <v/>
      </c>
      <c r="G267" s="68" t="str">
        <f aca="false">IF(B267="","",SUMIF(取込チェック!$C$6:$C$505,B267,取込チェック!$D$6:$D$505))</f>
        <v/>
      </c>
      <c r="H267" s="68" t="str">
        <f aca="false">IF(B267="","",SUMIF(取込チェック!$C$6:$C$505,B267,取込チェック!$E$6:$E$505))</f>
        <v/>
      </c>
      <c r="I267" s="68" t="str">
        <f aca="false">IF(B267="","",SUMIF(取込チェック!$C$6:$C$505,B267,取込チェック!$F$6:$F$505))</f>
        <v/>
      </c>
      <c r="J267" s="69" t="str">
        <f aca="false">IF(F267&lt;&gt;1,"",IF(H267=0,"-",G267/H267))</f>
        <v/>
      </c>
      <c r="K267" s="67" t="str">
        <f aca="false">IF(F267&lt;&gt;1,"",COUNTIFS($E$5:$E$304,E267,$F$5:$F$304,1,$B$5:$B$304,"&lt;"&amp;B267)+1)</f>
        <v/>
      </c>
      <c r="L267" s="67" t="str">
        <f aca="false">IF(K267="","",E267&amp;"|"&amp;K267)</f>
        <v/>
      </c>
      <c r="M267" s="67" t="str">
        <f aca="false">IF(F267&lt;&gt;1,"",IF(COUNTIFS($C$5:C267,C267,$F$5:F267,1)=1,1,0))</f>
        <v/>
      </c>
      <c r="N267" s="67" t="str">
        <f aca="false">IF(M267&lt;&gt;1,"",_xlfn.MINIFS($B$5:$B$304,$C$5:$C$304,C267,$F$5:$F$304,1))</f>
        <v/>
      </c>
      <c r="O267" s="67" t="str">
        <f aca="false">IF(M267&lt;&gt;1,"",COUNTIFS($M$5:$M$304,1,$N$5:$N$304,"&lt;"&amp;N267)+1)</f>
        <v/>
      </c>
      <c r="P267" s="68" t="str">
        <f aca="false">IF(OR(B267="",取込チェック!$K$3=0),"",SUMIF(取込チェック!$K$6:$K$505,B267,取込チェック!$L$6:$L$505))</f>
        <v/>
      </c>
      <c r="Q267" s="68" t="str">
        <f aca="false">IF(OR(B267="",取込チェック!$K$3=0),"",SUMIF(取込チェック!$K$6:$K$505,B267,取込チェック!$M$6:$M$505))</f>
        <v/>
      </c>
      <c r="R267" s="68" t="str">
        <f aca="false">IF(P267="","",G267-P267)</f>
        <v/>
      </c>
      <c r="S267" s="68" t="str">
        <f aca="false">IF(Q267="","",I267-Q267)</f>
        <v/>
      </c>
    </row>
    <row r="268" customFormat="false" ht="15" hidden="false" customHeight="false" outlineLevel="0" collapsed="false">
      <c r="A268" s="64" t="str">
        <f aca="false">IF(B268="","",ROW()-4)</f>
        <v/>
      </c>
      <c r="B268" s="65"/>
      <c r="C268" s="65"/>
      <c r="D268" s="65"/>
      <c r="E268" s="66"/>
      <c r="F268" s="67" t="str">
        <f aca="false">IF(B268="","",IF(COUNTIF(取込チェック!$C$6:$C$505,B268)&gt;0,1,0))</f>
        <v/>
      </c>
      <c r="G268" s="68" t="str">
        <f aca="false">IF(B268="","",SUMIF(取込チェック!$C$6:$C$505,B268,取込チェック!$D$6:$D$505))</f>
        <v/>
      </c>
      <c r="H268" s="68" t="str">
        <f aca="false">IF(B268="","",SUMIF(取込チェック!$C$6:$C$505,B268,取込チェック!$E$6:$E$505))</f>
        <v/>
      </c>
      <c r="I268" s="68" t="str">
        <f aca="false">IF(B268="","",SUMIF(取込チェック!$C$6:$C$505,B268,取込チェック!$F$6:$F$505))</f>
        <v/>
      </c>
      <c r="J268" s="69" t="str">
        <f aca="false">IF(F268&lt;&gt;1,"",IF(H268=0,"-",G268/H268))</f>
        <v/>
      </c>
      <c r="K268" s="67" t="str">
        <f aca="false">IF(F268&lt;&gt;1,"",COUNTIFS($E$5:$E$304,E268,$F$5:$F$304,1,$B$5:$B$304,"&lt;"&amp;B268)+1)</f>
        <v/>
      </c>
      <c r="L268" s="67" t="str">
        <f aca="false">IF(K268="","",E268&amp;"|"&amp;K268)</f>
        <v/>
      </c>
      <c r="M268" s="67" t="str">
        <f aca="false">IF(F268&lt;&gt;1,"",IF(COUNTIFS($C$5:C268,C268,$F$5:F268,1)=1,1,0))</f>
        <v/>
      </c>
      <c r="N268" s="67" t="str">
        <f aca="false">IF(M268&lt;&gt;1,"",_xlfn.MINIFS($B$5:$B$304,$C$5:$C$304,C268,$F$5:$F$304,1))</f>
        <v/>
      </c>
      <c r="O268" s="67" t="str">
        <f aca="false">IF(M268&lt;&gt;1,"",COUNTIFS($M$5:$M$304,1,$N$5:$N$304,"&lt;"&amp;N268)+1)</f>
        <v/>
      </c>
      <c r="P268" s="68" t="str">
        <f aca="false">IF(OR(B268="",取込チェック!$K$3=0),"",SUMIF(取込チェック!$K$6:$K$505,B268,取込チェック!$L$6:$L$505))</f>
        <v/>
      </c>
      <c r="Q268" s="68" t="str">
        <f aca="false">IF(OR(B268="",取込チェック!$K$3=0),"",SUMIF(取込チェック!$K$6:$K$505,B268,取込チェック!$M$6:$M$505))</f>
        <v/>
      </c>
      <c r="R268" s="68" t="str">
        <f aca="false">IF(P268="","",G268-P268)</f>
        <v/>
      </c>
      <c r="S268" s="68" t="str">
        <f aca="false">IF(Q268="","",I268-Q268)</f>
        <v/>
      </c>
    </row>
    <row r="269" customFormat="false" ht="15" hidden="false" customHeight="false" outlineLevel="0" collapsed="false">
      <c r="A269" s="64" t="str">
        <f aca="false">IF(B269="","",ROW()-4)</f>
        <v/>
      </c>
      <c r="B269" s="65"/>
      <c r="C269" s="65"/>
      <c r="D269" s="65"/>
      <c r="E269" s="66"/>
      <c r="F269" s="67" t="str">
        <f aca="false">IF(B269="","",IF(COUNTIF(取込チェック!$C$6:$C$505,B269)&gt;0,1,0))</f>
        <v/>
      </c>
      <c r="G269" s="68" t="str">
        <f aca="false">IF(B269="","",SUMIF(取込チェック!$C$6:$C$505,B269,取込チェック!$D$6:$D$505))</f>
        <v/>
      </c>
      <c r="H269" s="68" t="str">
        <f aca="false">IF(B269="","",SUMIF(取込チェック!$C$6:$C$505,B269,取込チェック!$E$6:$E$505))</f>
        <v/>
      </c>
      <c r="I269" s="68" t="str">
        <f aca="false">IF(B269="","",SUMIF(取込チェック!$C$6:$C$505,B269,取込チェック!$F$6:$F$505))</f>
        <v/>
      </c>
      <c r="J269" s="69" t="str">
        <f aca="false">IF(F269&lt;&gt;1,"",IF(H269=0,"-",G269/H269))</f>
        <v/>
      </c>
      <c r="K269" s="67" t="str">
        <f aca="false">IF(F269&lt;&gt;1,"",COUNTIFS($E$5:$E$304,E269,$F$5:$F$304,1,$B$5:$B$304,"&lt;"&amp;B269)+1)</f>
        <v/>
      </c>
      <c r="L269" s="67" t="str">
        <f aca="false">IF(K269="","",E269&amp;"|"&amp;K269)</f>
        <v/>
      </c>
      <c r="M269" s="67" t="str">
        <f aca="false">IF(F269&lt;&gt;1,"",IF(COUNTIFS($C$5:C269,C269,$F$5:F269,1)=1,1,0))</f>
        <v/>
      </c>
      <c r="N269" s="67" t="str">
        <f aca="false">IF(M269&lt;&gt;1,"",_xlfn.MINIFS($B$5:$B$304,$C$5:$C$304,C269,$F$5:$F$304,1))</f>
        <v/>
      </c>
      <c r="O269" s="67" t="str">
        <f aca="false">IF(M269&lt;&gt;1,"",COUNTIFS($M$5:$M$304,1,$N$5:$N$304,"&lt;"&amp;N269)+1)</f>
        <v/>
      </c>
      <c r="P269" s="68" t="str">
        <f aca="false">IF(OR(B269="",取込チェック!$K$3=0),"",SUMIF(取込チェック!$K$6:$K$505,B269,取込チェック!$L$6:$L$505))</f>
        <v/>
      </c>
      <c r="Q269" s="68" t="str">
        <f aca="false">IF(OR(B269="",取込チェック!$K$3=0),"",SUMIF(取込チェック!$K$6:$K$505,B269,取込チェック!$M$6:$M$505))</f>
        <v/>
      </c>
      <c r="R269" s="68" t="str">
        <f aca="false">IF(P269="","",G269-P269)</f>
        <v/>
      </c>
      <c r="S269" s="68" t="str">
        <f aca="false">IF(Q269="","",I269-Q269)</f>
        <v/>
      </c>
    </row>
    <row r="270" customFormat="false" ht="15" hidden="false" customHeight="false" outlineLevel="0" collapsed="false">
      <c r="A270" s="64" t="str">
        <f aca="false">IF(B270="","",ROW()-4)</f>
        <v/>
      </c>
      <c r="B270" s="65"/>
      <c r="C270" s="65"/>
      <c r="D270" s="65"/>
      <c r="E270" s="66"/>
      <c r="F270" s="67" t="str">
        <f aca="false">IF(B270="","",IF(COUNTIF(取込チェック!$C$6:$C$505,B270)&gt;0,1,0))</f>
        <v/>
      </c>
      <c r="G270" s="68" t="str">
        <f aca="false">IF(B270="","",SUMIF(取込チェック!$C$6:$C$505,B270,取込チェック!$D$6:$D$505))</f>
        <v/>
      </c>
      <c r="H270" s="68" t="str">
        <f aca="false">IF(B270="","",SUMIF(取込チェック!$C$6:$C$505,B270,取込チェック!$E$6:$E$505))</f>
        <v/>
      </c>
      <c r="I270" s="68" t="str">
        <f aca="false">IF(B270="","",SUMIF(取込チェック!$C$6:$C$505,B270,取込チェック!$F$6:$F$505))</f>
        <v/>
      </c>
      <c r="J270" s="69" t="str">
        <f aca="false">IF(F270&lt;&gt;1,"",IF(H270=0,"-",G270/H270))</f>
        <v/>
      </c>
      <c r="K270" s="67" t="str">
        <f aca="false">IF(F270&lt;&gt;1,"",COUNTIFS($E$5:$E$304,E270,$F$5:$F$304,1,$B$5:$B$304,"&lt;"&amp;B270)+1)</f>
        <v/>
      </c>
      <c r="L270" s="67" t="str">
        <f aca="false">IF(K270="","",E270&amp;"|"&amp;K270)</f>
        <v/>
      </c>
      <c r="M270" s="67" t="str">
        <f aca="false">IF(F270&lt;&gt;1,"",IF(COUNTIFS($C$5:C270,C270,$F$5:F270,1)=1,1,0))</f>
        <v/>
      </c>
      <c r="N270" s="67" t="str">
        <f aca="false">IF(M270&lt;&gt;1,"",_xlfn.MINIFS($B$5:$B$304,$C$5:$C$304,C270,$F$5:$F$304,1))</f>
        <v/>
      </c>
      <c r="O270" s="67" t="str">
        <f aca="false">IF(M270&lt;&gt;1,"",COUNTIFS($M$5:$M$304,1,$N$5:$N$304,"&lt;"&amp;N270)+1)</f>
        <v/>
      </c>
      <c r="P270" s="68" t="str">
        <f aca="false">IF(OR(B270="",取込チェック!$K$3=0),"",SUMIF(取込チェック!$K$6:$K$505,B270,取込チェック!$L$6:$L$505))</f>
        <v/>
      </c>
      <c r="Q270" s="68" t="str">
        <f aca="false">IF(OR(B270="",取込チェック!$K$3=0),"",SUMIF(取込チェック!$K$6:$K$505,B270,取込チェック!$M$6:$M$505))</f>
        <v/>
      </c>
      <c r="R270" s="68" t="str">
        <f aca="false">IF(P270="","",G270-P270)</f>
        <v/>
      </c>
      <c r="S270" s="68" t="str">
        <f aca="false">IF(Q270="","",I270-Q270)</f>
        <v/>
      </c>
    </row>
    <row r="271" customFormat="false" ht="15" hidden="false" customHeight="false" outlineLevel="0" collapsed="false">
      <c r="A271" s="64" t="str">
        <f aca="false">IF(B271="","",ROW()-4)</f>
        <v/>
      </c>
      <c r="B271" s="65"/>
      <c r="C271" s="65"/>
      <c r="D271" s="65"/>
      <c r="E271" s="66"/>
      <c r="F271" s="67" t="str">
        <f aca="false">IF(B271="","",IF(COUNTIF(取込チェック!$C$6:$C$505,B271)&gt;0,1,0))</f>
        <v/>
      </c>
      <c r="G271" s="68" t="str">
        <f aca="false">IF(B271="","",SUMIF(取込チェック!$C$6:$C$505,B271,取込チェック!$D$6:$D$505))</f>
        <v/>
      </c>
      <c r="H271" s="68" t="str">
        <f aca="false">IF(B271="","",SUMIF(取込チェック!$C$6:$C$505,B271,取込チェック!$E$6:$E$505))</f>
        <v/>
      </c>
      <c r="I271" s="68" t="str">
        <f aca="false">IF(B271="","",SUMIF(取込チェック!$C$6:$C$505,B271,取込チェック!$F$6:$F$505))</f>
        <v/>
      </c>
      <c r="J271" s="69" t="str">
        <f aca="false">IF(F271&lt;&gt;1,"",IF(H271=0,"-",G271/H271))</f>
        <v/>
      </c>
      <c r="K271" s="67" t="str">
        <f aca="false">IF(F271&lt;&gt;1,"",COUNTIFS($E$5:$E$304,E271,$F$5:$F$304,1,$B$5:$B$304,"&lt;"&amp;B271)+1)</f>
        <v/>
      </c>
      <c r="L271" s="67" t="str">
        <f aca="false">IF(K271="","",E271&amp;"|"&amp;K271)</f>
        <v/>
      </c>
      <c r="M271" s="67" t="str">
        <f aca="false">IF(F271&lt;&gt;1,"",IF(COUNTIFS($C$5:C271,C271,$F$5:F271,1)=1,1,0))</f>
        <v/>
      </c>
      <c r="N271" s="67" t="str">
        <f aca="false">IF(M271&lt;&gt;1,"",_xlfn.MINIFS($B$5:$B$304,$C$5:$C$304,C271,$F$5:$F$304,1))</f>
        <v/>
      </c>
      <c r="O271" s="67" t="str">
        <f aca="false">IF(M271&lt;&gt;1,"",COUNTIFS($M$5:$M$304,1,$N$5:$N$304,"&lt;"&amp;N271)+1)</f>
        <v/>
      </c>
      <c r="P271" s="68" t="str">
        <f aca="false">IF(OR(B271="",取込チェック!$K$3=0),"",SUMIF(取込チェック!$K$6:$K$505,B271,取込チェック!$L$6:$L$505))</f>
        <v/>
      </c>
      <c r="Q271" s="68" t="str">
        <f aca="false">IF(OR(B271="",取込チェック!$K$3=0),"",SUMIF(取込チェック!$K$6:$K$505,B271,取込チェック!$M$6:$M$505))</f>
        <v/>
      </c>
      <c r="R271" s="68" t="str">
        <f aca="false">IF(P271="","",G271-P271)</f>
        <v/>
      </c>
      <c r="S271" s="68" t="str">
        <f aca="false">IF(Q271="","",I271-Q271)</f>
        <v/>
      </c>
    </row>
    <row r="272" customFormat="false" ht="15" hidden="false" customHeight="false" outlineLevel="0" collapsed="false">
      <c r="A272" s="64" t="str">
        <f aca="false">IF(B272="","",ROW()-4)</f>
        <v/>
      </c>
      <c r="B272" s="65"/>
      <c r="C272" s="65"/>
      <c r="D272" s="65"/>
      <c r="E272" s="66"/>
      <c r="F272" s="67" t="str">
        <f aca="false">IF(B272="","",IF(COUNTIF(取込チェック!$C$6:$C$505,B272)&gt;0,1,0))</f>
        <v/>
      </c>
      <c r="G272" s="68" t="str">
        <f aca="false">IF(B272="","",SUMIF(取込チェック!$C$6:$C$505,B272,取込チェック!$D$6:$D$505))</f>
        <v/>
      </c>
      <c r="H272" s="68" t="str">
        <f aca="false">IF(B272="","",SUMIF(取込チェック!$C$6:$C$505,B272,取込チェック!$E$6:$E$505))</f>
        <v/>
      </c>
      <c r="I272" s="68" t="str">
        <f aca="false">IF(B272="","",SUMIF(取込チェック!$C$6:$C$505,B272,取込チェック!$F$6:$F$505))</f>
        <v/>
      </c>
      <c r="J272" s="69" t="str">
        <f aca="false">IF(F272&lt;&gt;1,"",IF(H272=0,"-",G272/H272))</f>
        <v/>
      </c>
      <c r="K272" s="67" t="str">
        <f aca="false">IF(F272&lt;&gt;1,"",COUNTIFS($E$5:$E$304,E272,$F$5:$F$304,1,$B$5:$B$304,"&lt;"&amp;B272)+1)</f>
        <v/>
      </c>
      <c r="L272" s="67" t="str">
        <f aca="false">IF(K272="","",E272&amp;"|"&amp;K272)</f>
        <v/>
      </c>
      <c r="M272" s="67" t="str">
        <f aca="false">IF(F272&lt;&gt;1,"",IF(COUNTIFS($C$5:C272,C272,$F$5:F272,1)=1,1,0))</f>
        <v/>
      </c>
      <c r="N272" s="67" t="str">
        <f aca="false">IF(M272&lt;&gt;1,"",_xlfn.MINIFS($B$5:$B$304,$C$5:$C$304,C272,$F$5:$F$304,1))</f>
        <v/>
      </c>
      <c r="O272" s="67" t="str">
        <f aca="false">IF(M272&lt;&gt;1,"",COUNTIFS($M$5:$M$304,1,$N$5:$N$304,"&lt;"&amp;N272)+1)</f>
        <v/>
      </c>
      <c r="P272" s="68" t="str">
        <f aca="false">IF(OR(B272="",取込チェック!$K$3=0),"",SUMIF(取込チェック!$K$6:$K$505,B272,取込チェック!$L$6:$L$505))</f>
        <v/>
      </c>
      <c r="Q272" s="68" t="str">
        <f aca="false">IF(OR(B272="",取込チェック!$K$3=0),"",SUMIF(取込チェック!$K$6:$K$505,B272,取込チェック!$M$6:$M$505))</f>
        <v/>
      </c>
      <c r="R272" s="68" t="str">
        <f aca="false">IF(P272="","",G272-P272)</f>
        <v/>
      </c>
      <c r="S272" s="68" t="str">
        <f aca="false">IF(Q272="","",I272-Q272)</f>
        <v/>
      </c>
    </row>
    <row r="273" customFormat="false" ht="15" hidden="false" customHeight="false" outlineLevel="0" collapsed="false">
      <c r="A273" s="64" t="str">
        <f aca="false">IF(B273="","",ROW()-4)</f>
        <v/>
      </c>
      <c r="B273" s="65"/>
      <c r="C273" s="65"/>
      <c r="D273" s="65"/>
      <c r="E273" s="66"/>
      <c r="F273" s="67" t="str">
        <f aca="false">IF(B273="","",IF(COUNTIF(取込チェック!$C$6:$C$505,B273)&gt;0,1,0))</f>
        <v/>
      </c>
      <c r="G273" s="68" t="str">
        <f aca="false">IF(B273="","",SUMIF(取込チェック!$C$6:$C$505,B273,取込チェック!$D$6:$D$505))</f>
        <v/>
      </c>
      <c r="H273" s="68" t="str">
        <f aca="false">IF(B273="","",SUMIF(取込チェック!$C$6:$C$505,B273,取込チェック!$E$6:$E$505))</f>
        <v/>
      </c>
      <c r="I273" s="68" t="str">
        <f aca="false">IF(B273="","",SUMIF(取込チェック!$C$6:$C$505,B273,取込チェック!$F$6:$F$505))</f>
        <v/>
      </c>
      <c r="J273" s="69" t="str">
        <f aca="false">IF(F273&lt;&gt;1,"",IF(H273=0,"-",G273/H273))</f>
        <v/>
      </c>
      <c r="K273" s="67" t="str">
        <f aca="false">IF(F273&lt;&gt;1,"",COUNTIFS($E$5:$E$304,E273,$F$5:$F$304,1,$B$5:$B$304,"&lt;"&amp;B273)+1)</f>
        <v/>
      </c>
      <c r="L273" s="67" t="str">
        <f aca="false">IF(K273="","",E273&amp;"|"&amp;K273)</f>
        <v/>
      </c>
      <c r="M273" s="67" t="str">
        <f aca="false">IF(F273&lt;&gt;1,"",IF(COUNTIFS($C$5:C273,C273,$F$5:F273,1)=1,1,0))</f>
        <v/>
      </c>
      <c r="N273" s="67" t="str">
        <f aca="false">IF(M273&lt;&gt;1,"",_xlfn.MINIFS($B$5:$B$304,$C$5:$C$304,C273,$F$5:$F$304,1))</f>
        <v/>
      </c>
      <c r="O273" s="67" t="str">
        <f aca="false">IF(M273&lt;&gt;1,"",COUNTIFS($M$5:$M$304,1,$N$5:$N$304,"&lt;"&amp;N273)+1)</f>
        <v/>
      </c>
      <c r="P273" s="68" t="str">
        <f aca="false">IF(OR(B273="",取込チェック!$K$3=0),"",SUMIF(取込チェック!$K$6:$K$505,B273,取込チェック!$L$6:$L$505))</f>
        <v/>
      </c>
      <c r="Q273" s="68" t="str">
        <f aca="false">IF(OR(B273="",取込チェック!$K$3=0),"",SUMIF(取込チェック!$K$6:$K$505,B273,取込チェック!$M$6:$M$505))</f>
        <v/>
      </c>
      <c r="R273" s="68" t="str">
        <f aca="false">IF(P273="","",G273-P273)</f>
        <v/>
      </c>
      <c r="S273" s="68" t="str">
        <f aca="false">IF(Q273="","",I273-Q273)</f>
        <v/>
      </c>
    </row>
    <row r="274" customFormat="false" ht="15" hidden="false" customHeight="false" outlineLevel="0" collapsed="false">
      <c r="A274" s="64" t="str">
        <f aca="false">IF(B274="","",ROW()-4)</f>
        <v/>
      </c>
      <c r="B274" s="65"/>
      <c r="C274" s="65"/>
      <c r="D274" s="65"/>
      <c r="E274" s="66"/>
      <c r="F274" s="67" t="str">
        <f aca="false">IF(B274="","",IF(COUNTIF(取込チェック!$C$6:$C$505,B274)&gt;0,1,0))</f>
        <v/>
      </c>
      <c r="G274" s="68" t="str">
        <f aca="false">IF(B274="","",SUMIF(取込チェック!$C$6:$C$505,B274,取込チェック!$D$6:$D$505))</f>
        <v/>
      </c>
      <c r="H274" s="68" t="str">
        <f aca="false">IF(B274="","",SUMIF(取込チェック!$C$6:$C$505,B274,取込チェック!$E$6:$E$505))</f>
        <v/>
      </c>
      <c r="I274" s="68" t="str">
        <f aca="false">IF(B274="","",SUMIF(取込チェック!$C$6:$C$505,B274,取込チェック!$F$6:$F$505))</f>
        <v/>
      </c>
      <c r="J274" s="69" t="str">
        <f aca="false">IF(F274&lt;&gt;1,"",IF(H274=0,"-",G274/H274))</f>
        <v/>
      </c>
      <c r="K274" s="67" t="str">
        <f aca="false">IF(F274&lt;&gt;1,"",COUNTIFS($E$5:$E$304,E274,$F$5:$F$304,1,$B$5:$B$304,"&lt;"&amp;B274)+1)</f>
        <v/>
      </c>
      <c r="L274" s="67" t="str">
        <f aca="false">IF(K274="","",E274&amp;"|"&amp;K274)</f>
        <v/>
      </c>
      <c r="M274" s="67" t="str">
        <f aca="false">IF(F274&lt;&gt;1,"",IF(COUNTIFS($C$5:C274,C274,$F$5:F274,1)=1,1,0))</f>
        <v/>
      </c>
      <c r="N274" s="67" t="str">
        <f aca="false">IF(M274&lt;&gt;1,"",_xlfn.MINIFS($B$5:$B$304,$C$5:$C$304,C274,$F$5:$F$304,1))</f>
        <v/>
      </c>
      <c r="O274" s="67" t="str">
        <f aca="false">IF(M274&lt;&gt;1,"",COUNTIFS($M$5:$M$304,1,$N$5:$N$304,"&lt;"&amp;N274)+1)</f>
        <v/>
      </c>
      <c r="P274" s="68" t="str">
        <f aca="false">IF(OR(B274="",取込チェック!$K$3=0),"",SUMIF(取込チェック!$K$6:$K$505,B274,取込チェック!$L$6:$L$505))</f>
        <v/>
      </c>
      <c r="Q274" s="68" t="str">
        <f aca="false">IF(OR(B274="",取込チェック!$K$3=0),"",SUMIF(取込チェック!$K$6:$K$505,B274,取込チェック!$M$6:$M$505))</f>
        <v/>
      </c>
      <c r="R274" s="68" t="str">
        <f aca="false">IF(P274="","",G274-P274)</f>
        <v/>
      </c>
      <c r="S274" s="68" t="str">
        <f aca="false">IF(Q274="","",I274-Q274)</f>
        <v/>
      </c>
    </row>
    <row r="275" customFormat="false" ht="15" hidden="false" customHeight="false" outlineLevel="0" collapsed="false">
      <c r="A275" s="64" t="str">
        <f aca="false">IF(B275="","",ROW()-4)</f>
        <v/>
      </c>
      <c r="B275" s="65"/>
      <c r="C275" s="65"/>
      <c r="D275" s="65"/>
      <c r="E275" s="66"/>
      <c r="F275" s="67" t="str">
        <f aca="false">IF(B275="","",IF(COUNTIF(取込チェック!$C$6:$C$505,B275)&gt;0,1,0))</f>
        <v/>
      </c>
      <c r="G275" s="68" t="str">
        <f aca="false">IF(B275="","",SUMIF(取込チェック!$C$6:$C$505,B275,取込チェック!$D$6:$D$505))</f>
        <v/>
      </c>
      <c r="H275" s="68" t="str">
        <f aca="false">IF(B275="","",SUMIF(取込チェック!$C$6:$C$505,B275,取込チェック!$E$6:$E$505))</f>
        <v/>
      </c>
      <c r="I275" s="68" t="str">
        <f aca="false">IF(B275="","",SUMIF(取込チェック!$C$6:$C$505,B275,取込チェック!$F$6:$F$505))</f>
        <v/>
      </c>
      <c r="J275" s="69" t="str">
        <f aca="false">IF(F275&lt;&gt;1,"",IF(H275=0,"-",G275/H275))</f>
        <v/>
      </c>
      <c r="K275" s="67" t="str">
        <f aca="false">IF(F275&lt;&gt;1,"",COUNTIFS($E$5:$E$304,E275,$F$5:$F$304,1,$B$5:$B$304,"&lt;"&amp;B275)+1)</f>
        <v/>
      </c>
      <c r="L275" s="67" t="str">
        <f aca="false">IF(K275="","",E275&amp;"|"&amp;K275)</f>
        <v/>
      </c>
      <c r="M275" s="67" t="str">
        <f aca="false">IF(F275&lt;&gt;1,"",IF(COUNTIFS($C$5:C275,C275,$F$5:F275,1)=1,1,0))</f>
        <v/>
      </c>
      <c r="N275" s="67" t="str">
        <f aca="false">IF(M275&lt;&gt;1,"",_xlfn.MINIFS($B$5:$B$304,$C$5:$C$304,C275,$F$5:$F$304,1))</f>
        <v/>
      </c>
      <c r="O275" s="67" t="str">
        <f aca="false">IF(M275&lt;&gt;1,"",COUNTIFS($M$5:$M$304,1,$N$5:$N$304,"&lt;"&amp;N275)+1)</f>
        <v/>
      </c>
      <c r="P275" s="68" t="str">
        <f aca="false">IF(OR(B275="",取込チェック!$K$3=0),"",SUMIF(取込チェック!$K$6:$K$505,B275,取込チェック!$L$6:$L$505))</f>
        <v/>
      </c>
      <c r="Q275" s="68" t="str">
        <f aca="false">IF(OR(B275="",取込チェック!$K$3=0),"",SUMIF(取込チェック!$K$6:$K$505,B275,取込チェック!$M$6:$M$505))</f>
        <v/>
      </c>
      <c r="R275" s="68" t="str">
        <f aca="false">IF(P275="","",G275-P275)</f>
        <v/>
      </c>
      <c r="S275" s="68" t="str">
        <f aca="false">IF(Q275="","",I275-Q275)</f>
        <v/>
      </c>
    </row>
    <row r="276" customFormat="false" ht="15" hidden="false" customHeight="false" outlineLevel="0" collapsed="false">
      <c r="A276" s="64" t="str">
        <f aca="false">IF(B276="","",ROW()-4)</f>
        <v/>
      </c>
      <c r="B276" s="65"/>
      <c r="C276" s="65"/>
      <c r="D276" s="65"/>
      <c r="E276" s="66"/>
      <c r="F276" s="67" t="str">
        <f aca="false">IF(B276="","",IF(COUNTIF(取込チェック!$C$6:$C$505,B276)&gt;0,1,0))</f>
        <v/>
      </c>
      <c r="G276" s="68" t="str">
        <f aca="false">IF(B276="","",SUMIF(取込チェック!$C$6:$C$505,B276,取込チェック!$D$6:$D$505))</f>
        <v/>
      </c>
      <c r="H276" s="68" t="str">
        <f aca="false">IF(B276="","",SUMIF(取込チェック!$C$6:$C$505,B276,取込チェック!$E$6:$E$505))</f>
        <v/>
      </c>
      <c r="I276" s="68" t="str">
        <f aca="false">IF(B276="","",SUMIF(取込チェック!$C$6:$C$505,B276,取込チェック!$F$6:$F$505))</f>
        <v/>
      </c>
      <c r="J276" s="69" t="str">
        <f aca="false">IF(F276&lt;&gt;1,"",IF(H276=0,"-",G276/H276))</f>
        <v/>
      </c>
      <c r="K276" s="67" t="str">
        <f aca="false">IF(F276&lt;&gt;1,"",COUNTIFS($E$5:$E$304,E276,$F$5:$F$304,1,$B$5:$B$304,"&lt;"&amp;B276)+1)</f>
        <v/>
      </c>
      <c r="L276" s="67" t="str">
        <f aca="false">IF(K276="","",E276&amp;"|"&amp;K276)</f>
        <v/>
      </c>
      <c r="M276" s="67" t="str">
        <f aca="false">IF(F276&lt;&gt;1,"",IF(COUNTIFS($C$5:C276,C276,$F$5:F276,1)=1,1,0))</f>
        <v/>
      </c>
      <c r="N276" s="67" t="str">
        <f aca="false">IF(M276&lt;&gt;1,"",_xlfn.MINIFS($B$5:$B$304,$C$5:$C$304,C276,$F$5:$F$304,1))</f>
        <v/>
      </c>
      <c r="O276" s="67" t="str">
        <f aca="false">IF(M276&lt;&gt;1,"",COUNTIFS($M$5:$M$304,1,$N$5:$N$304,"&lt;"&amp;N276)+1)</f>
        <v/>
      </c>
      <c r="P276" s="68" t="str">
        <f aca="false">IF(OR(B276="",取込チェック!$K$3=0),"",SUMIF(取込チェック!$K$6:$K$505,B276,取込チェック!$L$6:$L$505))</f>
        <v/>
      </c>
      <c r="Q276" s="68" t="str">
        <f aca="false">IF(OR(B276="",取込チェック!$K$3=0),"",SUMIF(取込チェック!$K$6:$K$505,B276,取込チェック!$M$6:$M$505))</f>
        <v/>
      </c>
      <c r="R276" s="68" t="str">
        <f aca="false">IF(P276="","",G276-P276)</f>
        <v/>
      </c>
      <c r="S276" s="68" t="str">
        <f aca="false">IF(Q276="","",I276-Q276)</f>
        <v/>
      </c>
    </row>
    <row r="277" customFormat="false" ht="15" hidden="false" customHeight="false" outlineLevel="0" collapsed="false">
      <c r="A277" s="64" t="str">
        <f aca="false">IF(B277="","",ROW()-4)</f>
        <v/>
      </c>
      <c r="B277" s="65"/>
      <c r="C277" s="65"/>
      <c r="D277" s="65"/>
      <c r="E277" s="66"/>
      <c r="F277" s="67" t="str">
        <f aca="false">IF(B277="","",IF(COUNTIF(取込チェック!$C$6:$C$505,B277)&gt;0,1,0))</f>
        <v/>
      </c>
      <c r="G277" s="68" t="str">
        <f aca="false">IF(B277="","",SUMIF(取込チェック!$C$6:$C$505,B277,取込チェック!$D$6:$D$505))</f>
        <v/>
      </c>
      <c r="H277" s="68" t="str">
        <f aca="false">IF(B277="","",SUMIF(取込チェック!$C$6:$C$505,B277,取込チェック!$E$6:$E$505))</f>
        <v/>
      </c>
      <c r="I277" s="68" t="str">
        <f aca="false">IF(B277="","",SUMIF(取込チェック!$C$6:$C$505,B277,取込チェック!$F$6:$F$505))</f>
        <v/>
      </c>
      <c r="J277" s="69" t="str">
        <f aca="false">IF(F277&lt;&gt;1,"",IF(H277=0,"-",G277/H277))</f>
        <v/>
      </c>
      <c r="K277" s="67" t="str">
        <f aca="false">IF(F277&lt;&gt;1,"",COUNTIFS($E$5:$E$304,E277,$F$5:$F$304,1,$B$5:$B$304,"&lt;"&amp;B277)+1)</f>
        <v/>
      </c>
      <c r="L277" s="67" t="str">
        <f aca="false">IF(K277="","",E277&amp;"|"&amp;K277)</f>
        <v/>
      </c>
      <c r="M277" s="67" t="str">
        <f aca="false">IF(F277&lt;&gt;1,"",IF(COUNTIFS($C$5:C277,C277,$F$5:F277,1)=1,1,0))</f>
        <v/>
      </c>
      <c r="N277" s="67" t="str">
        <f aca="false">IF(M277&lt;&gt;1,"",_xlfn.MINIFS($B$5:$B$304,$C$5:$C$304,C277,$F$5:$F$304,1))</f>
        <v/>
      </c>
      <c r="O277" s="67" t="str">
        <f aca="false">IF(M277&lt;&gt;1,"",COUNTIFS($M$5:$M$304,1,$N$5:$N$304,"&lt;"&amp;N277)+1)</f>
        <v/>
      </c>
      <c r="P277" s="68" t="str">
        <f aca="false">IF(OR(B277="",取込チェック!$K$3=0),"",SUMIF(取込チェック!$K$6:$K$505,B277,取込チェック!$L$6:$L$505))</f>
        <v/>
      </c>
      <c r="Q277" s="68" t="str">
        <f aca="false">IF(OR(B277="",取込チェック!$K$3=0),"",SUMIF(取込チェック!$K$6:$K$505,B277,取込チェック!$M$6:$M$505))</f>
        <v/>
      </c>
      <c r="R277" s="68" t="str">
        <f aca="false">IF(P277="","",G277-P277)</f>
        <v/>
      </c>
      <c r="S277" s="68" t="str">
        <f aca="false">IF(Q277="","",I277-Q277)</f>
        <v/>
      </c>
    </row>
    <row r="278" customFormat="false" ht="15" hidden="false" customHeight="false" outlineLevel="0" collapsed="false">
      <c r="A278" s="64" t="str">
        <f aca="false">IF(B278="","",ROW()-4)</f>
        <v/>
      </c>
      <c r="B278" s="65"/>
      <c r="C278" s="65"/>
      <c r="D278" s="65"/>
      <c r="E278" s="66"/>
      <c r="F278" s="67" t="str">
        <f aca="false">IF(B278="","",IF(COUNTIF(取込チェック!$C$6:$C$505,B278)&gt;0,1,0))</f>
        <v/>
      </c>
      <c r="G278" s="68" t="str">
        <f aca="false">IF(B278="","",SUMIF(取込チェック!$C$6:$C$505,B278,取込チェック!$D$6:$D$505))</f>
        <v/>
      </c>
      <c r="H278" s="68" t="str">
        <f aca="false">IF(B278="","",SUMIF(取込チェック!$C$6:$C$505,B278,取込チェック!$E$6:$E$505))</f>
        <v/>
      </c>
      <c r="I278" s="68" t="str">
        <f aca="false">IF(B278="","",SUMIF(取込チェック!$C$6:$C$505,B278,取込チェック!$F$6:$F$505))</f>
        <v/>
      </c>
      <c r="J278" s="69" t="str">
        <f aca="false">IF(F278&lt;&gt;1,"",IF(H278=0,"-",G278/H278))</f>
        <v/>
      </c>
      <c r="K278" s="67" t="str">
        <f aca="false">IF(F278&lt;&gt;1,"",COUNTIFS($E$5:$E$304,E278,$F$5:$F$304,1,$B$5:$B$304,"&lt;"&amp;B278)+1)</f>
        <v/>
      </c>
      <c r="L278" s="67" t="str">
        <f aca="false">IF(K278="","",E278&amp;"|"&amp;K278)</f>
        <v/>
      </c>
      <c r="M278" s="67" t="str">
        <f aca="false">IF(F278&lt;&gt;1,"",IF(COUNTIFS($C$5:C278,C278,$F$5:F278,1)=1,1,0))</f>
        <v/>
      </c>
      <c r="N278" s="67" t="str">
        <f aca="false">IF(M278&lt;&gt;1,"",_xlfn.MINIFS($B$5:$B$304,$C$5:$C$304,C278,$F$5:$F$304,1))</f>
        <v/>
      </c>
      <c r="O278" s="67" t="str">
        <f aca="false">IF(M278&lt;&gt;1,"",COUNTIFS($M$5:$M$304,1,$N$5:$N$304,"&lt;"&amp;N278)+1)</f>
        <v/>
      </c>
      <c r="P278" s="68" t="str">
        <f aca="false">IF(OR(B278="",取込チェック!$K$3=0),"",SUMIF(取込チェック!$K$6:$K$505,B278,取込チェック!$L$6:$L$505))</f>
        <v/>
      </c>
      <c r="Q278" s="68" t="str">
        <f aca="false">IF(OR(B278="",取込チェック!$K$3=0),"",SUMIF(取込チェック!$K$6:$K$505,B278,取込チェック!$M$6:$M$505))</f>
        <v/>
      </c>
      <c r="R278" s="68" t="str">
        <f aca="false">IF(P278="","",G278-P278)</f>
        <v/>
      </c>
      <c r="S278" s="68" t="str">
        <f aca="false">IF(Q278="","",I278-Q278)</f>
        <v/>
      </c>
    </row>
    <row r="279" customFormat="false" ht="15" hidden="false" customHeight="false" outlineLevel="0" collapsed="false">
      <c r="A279" s="64" t="str">
        <f aca="false">IF(B279="","",ROW()-4)</f>
        <v/>
      </c>
      <c r="B279" s="65"/>
      <c r="C279" s="65"/>
      <c r="D279" s="65"/>
      <c r="E279" s="66"/>
      <c r="F279" s="67" t="str">
        <f aca="false">IF(B279="","",IF(COUNTIF(取込チェック!$C$6:$C$505,B279)&gt;0,1,0))</f>
        <v/>
      </c>
      <c r="G279" s="68" t="str">
        <f aca="false">IF(B279="","",SUMIF(取込チェック!$C$6:$C$505,B279,取込チェック!$D$6:$D$505))</f>
        <v/>
      </c>
      <c r="H279" s="68" t="str">
        <f aca="false">IF(B279="","",SUMIF(取込チェック!$C$6:$C$505,B279,取込チェック!$E$6:$E$505))</f>
        <v/>
      </c>
      <c r="I279" s="68" t="str">
        <f aca="false">IF(B279="","",SUMIF(取込チェック!$C$6:$C$505,B279,取込チェック!$F$6:$F$505))</f>
        <v/>
      </c>
      <c r="J279" s="69" t="str">
        <f aca="false">IF(F279&lt;&gt;1,"",IF(H279=0,"-",G279/H279))</f>
        <v/>
      </c>
      <c r="K279" s="67" t="str">
        <f aca="false">IF(F279&lt;&gt;1,"",COUNTIFS($E$5:$E$304,E279,$F$5:$F$304,1,$B$5:$B$304,"&lt;"&amp;B279)+1)</f>
        <v/>
      </c>
      <c r="L279" s="67" t="str">
        <f aca="false">IF(K279="","",E279&amp;"|"&amp;K279)</f>
        <v/>
      </c>
      <c r="M279" s="67" t="str">
        <f aca="false">IF(F279&lt;&gt;1,"",IF(COUNTIFS($C$5:C279,C279,$F$5:F279,1)=1,1,0))</f>
        <v/>
      </c>
      <c r="N279" s="67" t="str">
        <f aca="false">IF(M279&lt;&gt;1,"",_xlfn.MINIFS($B$5:$B$304,$C$5:$C$304,C279,$F$5:$F$304,1))</f>
        <v/>
      </c>
      <c r="O279" s="67" t="str">
        <f aca="false">IF(M279&lt;&gt;1,"",COUNTIFS($M$5:$M$304,1,$N$5:$N$304,"&lt;"&amp;N279)+1)</f>
        <v/>
      </c>
      <c r="P279" s="68" t="str">
        <f aca="false">IF(OR(B279="",取込チェック!$K$3=0),"",SUMIF(取込チェック!$K$6:$K$505,B279,取込チェック!$L$6:$L$505))</f>
        <v/>
      </c>
      <c r="Q279" s="68" t="str">
        <f aca="false">IF(OR(B279="",取込チェック!$K$3=0),"",SUMIF(取込チェック!$K$6:$K$505,B279,取込チェック!$M$6:$M$505))</f>
        <v/>
      </c>
      <c r="R279" s="68" t="str">
        <f aca="false">IF(P279="","",G279-P279)</f>
        <v/>
      </c>
      <c r="S279" s="68" t="str">
        <f aca="false">IF(Q279="","",I279-Q279)</f>
        <v/>
      </c>
    </row>
    <row r="280" customFormat="false" ht="15" hidden="false" customHeight="false" outlineLevel="0" collapsed="false">
      <c r="A280" s="64" t="str">
        <f aca="false">IF(B280="","",ROW()-4)</f>
        <v/>
      </c>
      <c r="B280" s="65"/>
      <c r="C280" s="65"/>
      <c r="D280" s="65"/>
      <c r="E280" s="66"/>
      <c r="F280" s="67" t="str">
        <f aca="false">IF(B280="","",IF(COUNTIF(取込チェック!$C$6:$C$505,B280)&gt;0,1,0))</f>
        <v/>
      </c>
      <c r="G280" s="68" t="str">
        <f aca="false">IF(B280="","",SUMIF(取込チェック!$C$6:$C$505,B280,取込チェック!$D$6:$D$505))</f>
        <v/>
      </c>
      <c r="H280" s="68" t="str">
        <f aca="false">IF(B280="","",SUMIF(取込チェック!$C$6:$C$505,B280,取込チェック!$E$6:$E$505))</f>
        <v/>
      </c>
      <c r="I280" s="68" t="str">
        <f aca="false">IF(B280="","",SUMIF(取込チェック!$C$6:$C$505,B280,取込チェック!$F$6:$F$505))</f>
        <v/>
      </c>
      <c r="J280" s="69" t="str">
        <f aca="false">IF(F280&lt;&gt;1,"",IF(H280=0,"-",G280/H280))</f>
        <v/>
      </c>
      <c r="K280" s="67" t="str">
        <f aca="false">IF(F280&lt;&gt;1,"",COUNTIFS($E$5:$E$304,E280,$F$5:$F$304,1,$B$5:$B$304,"&lt;"&amp;B280)+1)</f>
        <v/>
      </c>
      <c r="L280" s="67" t="str">
        <f aca="false">IF(K280="","",E280&amp;"|"&amp;K280)</f>
        <v/>
      </c>
      <c r="M280" s="67" t="str">
        <f aca="false">IF(F280&lt;&gt;1,"",IF(COUNTIFS($C$5:C280,C280,$F$5:F280,1)=1,1,0))</f>
        <v/>
      </c>
      <c r="N280" s="67" t="str">
        <f aca="false">IF(M280&lt;&gt;1,"",_xlfn.MINIFS($B$5:$B$304,$C$5:$C$304,C280,$F$5:$F$304,1))</f>
        <v/>
      </c>
      <c r="O280" s="67" t="str">
        <f aca="false">IF(M280&lt;&gt;1,"",COUNTIFS($M$5:$M$304,1,$N$5:$N$304,"&lt;"&amp;N280)+1)</f>
        <v/>
      </c>
      <c r="P280" s="68" t="str">
        <f aca="false">IF(OR(B280="",取込チェック!$K$3=0),"",SUMIF(取込チェック!$K$6:$K$505,B280,取込チェック!$L$6:$L$505))</f>
        <v/>
      </c>
      <c r="Q280" s="68" t="str">
        <f aca="false">IF(OR(B280="",取込チェック!$K$3=0),"",SUMIF(取込チェック!$K$6:$K$505,B280,取込チェック!$M$6:$M$505))</f>
        <v/>
      </c>
      <c r="R280" s="68" t="str">
        <f aca="false">IF(P280="","",G280-P280)</f>
        <v/>
      </c>
      <c r="S280" s="68" t="str">
        <f aca="false">IF(Q280="","",I280-Q280)</f>
        <v/>
      </c>
    </row>
    <row r="281" customFormat="false" ht="15" hidden="false" customHeight="false" outlineLevel="0" collapsed="false">
      <c r="A281" s="64" t="str">
        <f aca="false">IF(B281="","",ROW()-4)</f>
        <v/>
      </c>
      <c r="B281" s="65"/>
      <c r="C281" s="65"/>
      <c r="D281" s="65"/>
      <c r="E281" s="66"/>
      <c r="F281" s="67" t="str">
        <f aca="false">IF(B281="","",IF(COUNTIF(取込チェック!$C$6:$C$505,B281)&gt;0,1,0))</f>
        <v/>
      </c>
      <c r="G281" s="68" t="str">
        <f aca="false">IF(B281="","",SUMIF(取込チェック!$C$6:$C$505,B281,取込チェック!$D$6:$D$505))</f>
        <v/>
      </c>
      <c r="H281" s="68" t="str">
        <f aca="false">IF(B281="","",SUMIF(取込チェック!$C$6:$C$505,B281,取込チェック!$E$6:$E$505))</f>
        <v/>
      </c>
      <c r="I281" s="68" t="str">
        <f aca="false">IF(B281="","",SUMIF(取込チェック!$C$6:$C$505,B281,取込チェック!$F$6:$F$505))</f>
        <v/>
      </c>
      <c r="J281" s="69" t="str">
        <f aca="false">IF(F281&lt;&gt;1,"",IF(H281=0,"-",G281/H281))</f>
        <v/>
      </c>
      <c r="K281" s="67" t="str">
        <f aca="false">IF(F281&lt;&gt;1,"",COUNTIFS($E$5:$E$304,E281,$F$5:$F$304,1,$B$5:$B$304,"&lt;"&amp;B281)+1)</f>
        <v/>
      </c>
      <c r="L281" s="67" t="str">
        <f aca="false">IF(K281="","",E281&amp;"|"&amp;K281)</f>
        <v/>
      </c>
      <c r="M281" s="67" t="str">
        <f aca="false">IF(F281&lt;&gt;1,"",IF(COUNTIFS($C$5:C281,C281,$F$5:F281,1)=1,1,0))</f>
        <v/>
      </c>
      <c r="N281" s="67" t="str">
        <f aca="false">IF(M281&lt;&gt;1,"",_xlfn.MINIFS($B$5:$B$304,$C$5:$C$304,C281,$F$5:$F$304,1))</f>
        <v/>
      </c>
      <c r="O281" s="67" t="str">
        <f aca="false">IF(M281&lt;&gt;1,"",COUNTIFS($M$5:$M$304,1,$N$5:$N$304,"&lt;"&amp;N281)+1)</f>
        <v/>
      </c>
      <c r="P281" s="68" t="str">
        <f aca="false">IF(OR(B281="",取込チェック!$K$3=0),"",SUMIF(取込チェック!$K$6:$K$505,B281,取込チェック!$L$6:$L$505))</f>
        <v/>
      </c>
      <c r="Q281" s="68" t="str">
        <f aca="false">IF(OR(B281="",取込チェック!$K$3=0),"",SUMIF(取込チェック!$K$6:$K$505,B281,取込チェック!$M$6:$M$505))</f>
        <v/>
      </c>
      <c r="R281" s="68" t="str">
        <f aca="false">IF(P281="","",G281-P281)</f>
        <v/>
      </c>
      <c r="S281" s="68" t="str">
        <f aca="false">IF(Q281="","",I281-Q281)</f>
        <v/>
      </c>
    </row>
    <row r="282" customFormat="false" ht="15" hidden="false" customHeight="false" outlineLevel="0" collapsed="false">
      <c r="A282" s="64" t="str">
        <f aca="false">IF(B282="","",ROW()-4)</f>
        <v/>
      </c>
      <c r="B282" s="65"/>
      <c r="C282" s="65"/>
      <c r="D282" s="65"/>
      <c r="E282" s="66"/>
      <c r="F282" s="67" t="str">
        <f aca="false">IF(B282="","",IF(COUNTIF(取込チェック!$C$6:$C$505,B282)&gt;0,1,0))</f>
        <v/>
      </c>
      <c r="G282" s="68" t="str">
        <f aca="false">IF(B282="","",SUMIF(取込チェック!$C$6:$C$505,B282,取込チェック!$D$6:$D$505))</f>
        <v/>
      </c>
      <c r="H282" s="68" t="str">
        <f aca="false">IF(B282="","",SUMIF(取込チェック!$C$6:$C$505,B282,取込チェック!$E$6:$E$505))</f>
        <v/>
      </c>
      <c r="I282" s="68" t="str">
        <f aca="false">IF(B282="","",SUMIF(取込チェック!$C$6:$C$505,B282,取込チェック!$F$6:$F$505))</f>
        <v/>
      </c>
      <c r="J282" s="69" t="str">
        <f aca="false">IF(F282&lt;&gt;1,"",IF(H282=0,"-",G282/H282))</f>
        <v/>
      </c>
      <c r="K282" s="67" t="str">
        <f aca="false">IF(F282&lt;&gt;1,"",COUNTIFS($E$5:$E$304,E282,$F$5:$F$304,1,$B$5:$B$304,"&lt;"&amp;B282)+1)</f>
        <v/>
      </c>
      <c r="L282" s="67" t="str">
        <f aca="false">IF(K282="","",E282&amp;"|"&amp;K282)</f>
        <v/>
      </c>
      <c r="M282" s="67" t="str">
        <f aca="false">IF(F282&lt;&gt;1,"",IF(COUNTIFS($C$5:C282,C282,$F$5:F282,1)=1,1,0))</f>
        <v/>
      </c>
      <c r="N282" s="67" t="str">
        <f aca="false">IF(M282&lt;&gt;1,"",_xlfn.MINIFS($B$5:$B$304,$C$5:$C$304,C282,$F$5:$F$304,1))</f>
        <v/>
      </c>
      <c r="O282" s="67" t="str">
        <f aca="false">IF(M282&lt;&gt;1,"",COUNTIFS($M$5:$M$304,1,$N$5:$N$304,"&lt;"&amp;N282)+1)</f>
        <v/>
      </c>
      <c r="P282" s="68" t="str">
        <f aca="false">IF(OR(B282="",取込チェック!$K$3=0),"",SUMIF(取込チェック!$K$6:$K$505,B282,取込チェック!$L$6:$L$505))</f>
        <v/>
      </c>
      <c r="Q282" s="68" t="str">
        <f aca="false">IF(OR(B282="",取込チェック!$K$3=0),"",SUMIF(取込チェック!$K$6:$K$505,B282,取込チェック!$M$6:$M$505))</f>
        <v/>
      </c>
      <c r="R282" s="68" t="str">
        <f aca="false">IF(P282="","",G282-P282)</f>
        <v/>
      </c>
      <c r="S282" s="68" t="str">
        <f aca="false">IF(Q282="","",I282-Q282)</f>
        <v/>
      </c>
    </row>
    <row r="283" customFormat="false" ht="15" hidden="false" customHeight="false" outlineLevel="0" collapsed="false">
      <c r="A283" s="64" t="str">
        <f aca="false">IF(B283="","",ROW()-4)</f>
        <v/>
      </c>
      <c r="B283" s="65"/>
      <c r="C283" s="65"/>
      <c r="D283" s="65"/>
      <c r="E283" s="66"/>
      <c r="F283" s="67" t="str">
        <f aca="false">IF(B283="","",IF(COUNTIF(取込チェック!$C$6:$C$505,B283)&gt;0,1,0))</f>
        <v/>
      </c>
      <c r="G283" s="68" t="str">
        <f aca="false">IF(B283="","",SUMIF(取込チェック!$C$6:$C$505,B283,取込チェック!$D$6:$D$505))</f>
        <v/>
      </c>
      <c r="H283" s="68" t="str">
        <f aca="false">IF(B283="","",SUMIF(取込チェック!$C$6:$C$505,B283,取込チェック!$E$6:$E$505))</f>
        <v/>
      </c>
      <c r="I283" s="68" t="str">
        <f aca="false">IF(B283="","",SUMIF(取込チェック!$C$6:$C$505,B283,取込チェック!$F$6:$F$505))</f>
        <v/>
      </c>
      <c r="J283" s="69" t="str">
        <f aca="false">IF(F283&lt;&gt;1,"",IF(H283=0,"-",G283/H283))</f>
        <v/>
      </c>
      <c r="K283" s="67" t="str">
        <f aca="false">IF(F283&lt;&gt;1,"",COUNTIFS($E$5:$E$304,E283,$F$5:$F$304,1,$B$5:$B$304,"&lt;"&amp;B283)+1)</f>
        <v/>
      </c>
      <c r="L283" s="67" t="str">
        <f aca="false">IF(K283="","",E283&amp;"|"&amp;K283)</f>
        <v/>
      </c>
      <c r="M283" s="67" t="str">
        <f aca="false">IF(F283&lt;&gt;1,"",IF(COUNTIFS($C$5:C283,C283,$F$5:F283,1)=1,1,0))</f>
        <v/>
      </c>
      <c r="N283" s="67" t="str">
        <f aca="false">IF(M283&lt;&gt;1,"",_xlfn.MINIFS($B$5:$B$304,$C$5:$C$304,C283,$F$5:$F$304,1))</f>
        <v/>
      </c>
      <c r="O283" s="67" t="str">
        <f aca="false">IF(M283&lt;&gt;1,"",COUNTIFS($M$5:$M$304,1,$N$5:$N$304,"&lt;"&amp;N283)+1)</f>
        <v/>
      </c>
      <c r="P283" s="68" t="str">
        <f aca="false">IF(OR(B283="",取込チェック!$K$3=0),"",SUMIF(取込チェック!$K$6:$K$505,B283,取込チェック!$L$6:$L$505))</f>
        <v/>
      </c>
      <c r="Q283" s="68" t="str">
        <f aca="false">IF(OR(B283="",取込チェック!$K$3=0),"",SUMIF(取込チェック!$K$6:$K$505,B283,取込チェック!$M$6:$M$505))</f>
        <v/>
      </c>
      <c r="R283" s="68" t="str">
        <f aca="false">IF(P283="","",G283-P283)</f>
        <v/>
      </c>
      <c r="S283" s="68" t="str">
        <f aca="false">IF(Q283="","",I283-Q283)</f>
        <v/>
      </c>
    </row>
    <row r="284" customFormat="false" ht="15" hidden="false" customHeight="false" outlineLevel="0" collapsed="false">
      <c r="A284" s="64" t="str">
        <f aca="false">IF(B284="","",ROW()-4)</f>
        <v/>
      </c>
      <c r="B284" s="65"/>
      <c r="C284" s="65"/>
      <c r="D284" s="65"/>
      <c r="E284" s="66"/>
      <c r="F284" s="67" t="str">
        <f aca="false">IF(B284="","",IF(COUNTIF(取込チェック!$C$6:$C$505,B284)&gt;0,1,0))</f>
        <v/>
      </c>
      <c r="G284" s="68" t="str">
        <f aca="false">IF(B284="","",SUMIF(取込チェック!$C$6:$C$505,B284,取込チェック!$D$6:$D$505))</f>
        <v/>
      </c>
      <c r="H284" s="68" t="str">
        <f aca="false">IF(B284="","",SUMIF(取込チェック!$C$6:$C$505,B284,取込チェック!$E$6:$E$505))</f>
        <v/>
      </c>
      <c r="I284" s="68" t="str">
        <f aca="false">IF(B284="","",SUMIF(取込チェック!$C$6:$C$505,B284,取込チェック!$F$6:$F$505))</f>
        <v/>
      </c>
      <c r="J284" s="69" t="str">
        <f aca="false">IF(F284&lt;&gt;1,"",IF(H284=0,"-",G284/H284))</f>
        <v/>
      </c>
      <c r="K284" s="67" t="str">
        <f aca="false">IF(F284&lt;&gt;1,"",COUNTIFS($E$5:$E$304,E284,$F$5:$F$304,1,$B$5:$B$304,"&lt;"&amp;B284)+1)</f>
        <v/>
      </c>
      <c r="L284" s="67" t="str">
        <f aca="false">IF(K284="","",E284&amp;"|"&amp;K284)</f>
        <v/>
      </c>
      <c r="M284" s="67" t="str">
        <f aca="false">IF(F284&lt;&gt;1,"",IF(COUNTIFS($C$5:C284,C284,$F$5:F284,1)=1,1,0))</f>
        <v/>
      </c>
      <c r="N284" s="67" t="str">
        <f aca="false">IF(M284&lt;&gt;1,"",_xlfn.MINIFS($B$5:$B$304,$C$5:$C$304,C284,$F$5:$F$304,1))</f>
        <v/>
      </c>
      <c r="O284" s="67" t="str">
        <f aca="false">IF(M284&lt;&gt;1,"",COUNTIFS($M$5:$M$304,1,$N$5:$N$304,"&lt;"&amp;N284)+1)</f>
        <v/>
      </c>
      <c r="P284" s="68" t="str">
        <f aca="false">IF(OR(B284="",取込チェック!$K$3=0),"",SUMIF(取込チェック!$K$6:$K$505,B284,取込チェック!$L$6:$L$505))</f>
        <v/>
      </c>
      <c r="Q284" s="68" t="str">
        <f aca="false">IF(OR(B284="",取込チェック!$K$3=0),"",SUMIF(取込チェック!$K$6:$K$505,B284,取込チェック!$M$6:$M$505))</f>
        <v/>
      </c>
      <c r="R284" s="68" t="str">
        <f aca="false">IF(P284="","",G284-P284)</f>
        <v/>
      </c>
      <c r="S284" s="68" t="str">
        <f aca="false">IF(Q284="","",I284-Q284)</f>
        <v/>
      </c>
    </row>
    <row r="285" customFormat="false" ht="15" hidden="false" customHeight="false" outlineLevel="0" collapsed="false">
      <c r="A285" s="64" t="str">
        <f aca="false">IF(B285="","",ROW()-4)</f>
        <v/>
      </c>
      <c r="B285" s="65"/>
      <c r="C285" s="65"/>
      <c r="D285" s="65"/>
      <c r="E285" s="66"/>
      <c r="F285" s="67" t="str">
        <f aca="false">IF(B285="","",IF(COUNTIF(取込チェック!$C$6:$C$505,B285)&gt;0,1,0))</f>
        <v/>
      </c>
      <c r="G285" s="68" t="str">
        <f aca="false">IF(B285="","",SUMIF(取込チェック!$C$6:$C$505,B285,取込チェック!$D$6:$D$505))</f>
        <v/>
      </c>
      <c r="H285" s="68" t="str">
        <f aca="false">IF(B285="","",SUMIF(取込チェック!$C$6:$C$505,B285,取込チェック!$E$6:$E$505))</f>
        <v/>
      </c>
      <c r="I285" s="68" t="str">
        <f aca="false">IF(B285="","",SUMIF(取込チェック!$C$6:$C$505,B285,取込チェック!$F$6:$F$505))</f>
        <v/>
      </c>
      <c r="J285" s="69" t="str">
        <f aca="false">IF(F285&lt;&gt;1,"",IF(H285=0,"-",G285/H285))</f>
        <v/>
      </c>
      <c r="K285" s="67" t="str">
        <f aca="false">IF(F285&lt;&gt;1,"",COUNTIFS($E$5:$E$304,E285,$F$5:$F$304,1,$B$5:$B$304,"&lt;"&amp;B285)+1)</f>
        <v/>
      </c>
      <c r="L285" s="67" t="str">
        <f aca="false">IF(K285="","",E285&amp;"|"&amp;K285)</f>
        <v/>
      </c>
      <c r="M285" s="67" t="str">
        <f aca="false">IF(F285&lt;&gt;1,"",IF(COUNTIFS($C$5:C285,C285,$F$5:F285,1)=1,1,0))</f>
        <v/>
      </c>
      <c r="N285" s="67" t="str">
        <f aca="false">IF(M285&lt;&gt;1,"",_xlfn.MINIFS($B$5:$B$304,$C$5:$C$304,C285,$F$5:$F$304,1))</f>
        <v/>
      </c>
      <c r="O285" s="67" t="str">
        <f aca="false">IF(M285&lt;&gt;1,"",COUNTIFS($M$5:$M$304,1,$N$5:$N$304,"&lt;"&amp;N285)+1)</f>
        <v/>
      </c>
      <c r="P285" s="68" t="str">
        <f aca="false">IF(OR(B285="",取込チェック!$K$3=0),"",SUMIF(取込チェック!$K$6:$K$505,B285,取込チェック!$L$6:$L$505))</f>
        <v/>
      </c>
      <c r="Q285" s="68" t="str">
        <f aca="false">IF(OR(B285="",取込チェック!$K$3=0),"",SUMIF(取込チェック!$K$6:$K$505,B285,取込チェック!$M$6:$M$505))</f>
        <v/>
      </c>
      <c r="R285" s="68" t="str">
        <f aca="false">IF(P285="","",G285-P285)</f>
        <v/>
      </c>
      <c r="S285" s="68" t="str">
        <f aca="false">IF(Q285="","",I285-Q285)</f>
        <v/>
      </c>
    </row>
    <row r="286" customFormat="false" ht="15" hidden="false" customHeight="false" outlineLevel="0" collapsed="false">
      <c r="A286" s="64" t="str">
        <f aca="false">IF(B286="","",ROW()-4)</f>
        <v/>
      </c>
      <c r="B286" s="65"/>
      <c r="C286" s="65"/>
      <c r="D286" s="65"/>
      <c r="E286" s="66"/>
      <c r="F286" s="67" t="str">
        <f aca="false">IF(B286="","",IF(COUNTIF(取込チェック!$C$6:$C$505,B286)&gt;0,1,0))</f>
        <v/>
      </c>
      <c r="G286" s="68" t="str">
        <f aca="false">IF(B286="","",SUMIF(取込チェック!$C$6:$C$505,B286,取込チェック!$D$6:$D$505))</f>
        <v/>
      </c>
      <c r="H286" s="68" t="str">
        <f aca="false">IF(B286="","",SUMIF(取込チェック!$C$6:$C$505,B286,取込チェック!$E$6:$E$505))</f>
        <v/>
      </c>
      <c r="I286" s="68" t="str">
        <f aca="false">IF(B286="","",SUMIF(取込チェック!$C$6:$C$505,B286,取込チェック!$F$6:$F$505))</f>
        <v/>
      </c>
      <c r="J286" s="69" t="str">
        <f aca="false">IF(F286&lt;&gt;1,"",IF(H286=0,"-",G286/H286))</f>
        <v/>
      </c>
      <c r="K286" s="67" t="str">
        <f aca="false">IF(F286&lt;&gt;1,"",COUNTIFS($E$5:$E$304,E286,$F$5:$F$304,1,$B$5:$B$304,"&lt;"&amp;B286)+1)</f>
        <v/>
      </c>
      <c r="L286" s="67" t="str">
        <f aca="false">IF(K286="","",E286&amp;"|"&amp;K286)</f>
        <v/>
      </c>
      <c r="M286" s="67" t="str">
        <f aca="false">IF(F286&lt;&gt;1,"",IF(COUNTIFS($C$5:C286,C286,$F$5:F286,1)=1,1,0))</f>
        <v/>
      </c>
      <c r="N286" s="67" t="str">
        <f aca="false">IF(M286&lt;&gt;1,"",_xlfn.MINIFS($B$5:$B$304,$C$5:$C$304,C286,$F$5:$F$304,1))</f>
        <v/>
      </c>
      <c r="O286" s="67" t="str">
        <f aca="false">IF(M286&lt;&gt;1,"",COUNTIFS($M$5:$M$304,1,$N$5:$N$304,"&lt;"&amp;N286)+1)</f>
        <v/>
      </c>
      <c r="P286" s="68" t="str">
        <f aca="false">IF(OR(B286="",取込チェック!$K$3=0),"",SUMIF(取込チェック!$K$6:$K$505,B286,取込チェック!$L$6:$L$505))</f>
        <v/>
      </c>
      <c r="Q286" s="68" t="str">
        <f aca="false">IF(OR(B286="",取込チェック!$K$3=0),"",SUMIF(取込チェック!$K$6:$K$505,B286,取込チェック!$M$6:$M$505))</f>
        <v/>
      </c>
      <c r="R286" s="68" t="str">
        <f aca="false">IF(P286="","",G286-P286)</f>
        <v/>
      </c>
      <c r="S286" s="68" t="str">
        <f aca="false">IF(Q286="","",I286-Q286)</f>
        <v/>
      </c>
    </row>
    <row r="287" customFormat="false" ht="15" hidden="false" customHeight="false" outlineLevel="0" collapsed="false">
      <c r="A287" s="64" t="str">
        <f aca="false">IF(B287="","",ROW()-4)</f>
        <v/>
      </c>
      <c r="B287" s="65"/>
      <c r="C287" s="65"/>
      <c r="D287" s="65"/>
      <c r="E287" s="66"/>
      <c r="F287" s="67" t="str">
        <f aca="false">IF(B287="","",IF(COUNTIF(取込チェック!$C$6:$C$505,B287)&gt;0,1,0))</f>
        <v/>
      </c>
      <c r="G287" s="68" t="str">
        <f aca="false">IF(B287="","",SUMIF(取込チェック!$C$6:$C$505,B287,取込チェック!$D$6:$D$505))</f>
        <v/>
      </c>
      <c r="H287" s="68" t="str">
        <f aca="false">IF(B287="","",SUMIF(取込チェック!$C$6:$C$505,B287,取込チェック!$E$6:$E$505))</f>
        <v/>
      </c>
      <c r="I287" s="68" t="str">
        <f aca="false">IF(B287="","",SUMIF(取込チェック!$C$6:$C$505,B287,取込チェック!$F$6:$F$505))</f>
        <v/>
      </c>
      <c r="J287" s="69" t="str">
        <f aca="false">IF(F287&lt;&gt;1,"",IF(H287=0,"-",G287/H287))</f>
        <v/>
      </c>
      <c r="K287" s="67" t="str">
        <f aca="false">IF(F287&lt;&gt;1,"",COUNTIFS($E$5:$E$304,E287,$F$5:$F$304,1,$B$5:$B$304,"&lt;"&amp;B287)+1)</f>
        <v/>
      </c>
      <c r="L287" s="67" t="str">
        <f aca="false">IF(K287="","",E287&amp;"|"&amp;K287)</f>
        <v/>
      </c>
      <c r="M287" s="67" t="str">
        <f aca="false">IF(F287&lt;&gt;1,"",IF(COUNTIFS($C$5:C287,C287,$F$5:F287,1)=1,1,0))</f>
        <v/>
      </c>
      <c r="N287" s="67" t="str">
        <f aca="false">IF(M287&lt;&gt;1,"",_xlfn.MINIFS($B$5:$B$304,$C$5:$C$304,C287,$F$5:$F$304,1))</f>
        <v/>
      </c>
      <c r="O287" s="67" t="str">
        <f aca="false">IF(M287&lt;&gt;1,"",COUNTIFS($M$5:$M$304,1,$N$5:$N$304,"&lt;"&amp;N287)+1)</f>
        <v/>
      </c>
      <c r="P287" s="68" t="str">
        <f aca="false">IF(OR(B287="",取込チェック!$K$3=0),"",SUMIF(取込チェック!$K$6:$K$505,B287,取込チェック!$L$6:$L$505))</f>
        <v/>
      </c>
      <c r="Q287" s="68" t="str">
        <f aca="false">IF(OR(B287="",取込チェック!$K$3=0),"",SUMIF(取込チェック!$K$6:$K$505,B287,取込チェック!$M$6:$M$505))</f>
        <v/>
      </c>
      <c r="R287" s="68" t="str">
        <f aca="false">IF(P287="","",G287-P287)</f>
        <v/>
      </c>
      <c r="S287" s="68" t="str">
        <f aca="false">IF(Q287="","",I287-Q287)</f>
        <v/>
      </c>
    </row>
    <row r="288" customFormat="false" ht="15" hidden="false" customHeight="false" outlineLevel="0" collapsed="false">
      <c r="A288" s="64" t="str">
        <f aca="false">IF(B288="","",ROW()-4)</f>
        <v/>
      </c>
      <c r="B288" s="65"/>
      <c r="C288" s="65"/>
      <c r="D288" s="65"/>
      <c r="E288" s="66"/>
      <c r="F288" s="67" t="str">
        <f aca="false">IF(B288="","",IF(COUNTIF(取込チェック!$C$6:$C$505,B288)&gt;0,1,0))</f>
        <v/>
      </c>
      <c r="G288" s="68" t="str">
        <f aca="false">IF(B288="","",SUMIF(取込チェック!$C$6:$C$505,B288,取込チェック!$D$6:$D$505))</f>
        <v/>
      </c>
      <c r="H288" s="68" t="str">
        <f aca="false">IF(B288="","",SUMIF(取込チェック!$C$6:$C$505,B288,取込チェック!$E$6:$E$505))</f>
        <v/>
      </c>
      <c r="I288" s="68" t="str">
        <f aca="false">IF(B288="","",SUMIF(取込チェック!$C$6:$C$505,B288,取込チェック!$F$6:$F$505))</f>
        <v/>
      </c>
      <c r="J288" s="69" t="str">
        <f aca="false">IF(F288&lt;&gt;1,"",IF(H288=0,"-",G288/H288))</f>
        <v/>
      </c>
      <c r="K288" s="67" t="str">
        <f aca="false">IF(F288&lt;&gt;1,"",COUNTIFS($E$5:$E$304,E288,$F$5:$F$304,1,$B$5:$B$304,"&lt;"&amp;B288)+1)</f>
        <v/>
      </c>
      <c r="L288" s="67" t="str">
        <f aca="false">IF(K288="","",E288&amp;"|"&amp;K288)</f>
        <v/>
      </c>
      <c r="M288" s="67" t="str">
        <f aca="false">IF(F288&lt;&gt;1,"",IF(COUNTIFS($C$5:C288,C288,$F$5:F288,1)=1,1,0))</f>
        <v/>
      </c>
      <c r="N288" s="67" t="str">
        <f aca="false">IF(M288&lt;&gt;1,"",_xlfn.MINIFS($B$5:$B$304,$C$5:$C$304,C288,$F$5:$F$304,1))</f>
        <v/>
      </c>
      <c r="O288" s="67" t="str">
        <f aca="false">IF(M288&lt;&gt;1,"",COUNTIFS($M$5:$M$304,1,$N$5:$N$304,"&lt;"&amp;N288)+1)</f>
        <v/>
      </c>
      <c r="P288" s="68" t="str">
        <f aca="false">IF(OR(B288="",取込チェック!$K$3=0),"",SUMIF(取込チェック!$K$6:$K$505,B288,取込チェック!$L$6:$L$505))</f>
        <v/>
      </c>
      <c r="Q288" s="68" t="str">
        <f aca="false">IF(OR(B288="",取込チェック!$K$3=0),"",SUMIF(取込チェック!$K$6:$K$505,B288,取込チェック!$M$6:$M$505))</f>
        <v/>
      </c>
      <c r="R288" s="68" t="str">
        <f aca="false">IF(P288="","",G288-P288)</f>
        <v/>
      </c>
      <c r="S288" s="68" t="str">
        <f aca="false">IF(Q288="","",I288-Q288)</f>
        <v/>
      </c>
    </row>
    <row r="289" customFormat="false" ht="15" hidden="false" customHeight="false" outlineLevel="0" collapsed="false">
      <c r="A289" s="64" t="str">
        <f aca="false">IF(B289="","",ROW()-4)</f>
        <v/>
      </c>
      <c r="B289" s="65"/>
      <c r="C289" s="65"/>
      <c r="D289" s="65"/>
      <c r="E289" s="66"/>
      <c r="F289" s="67" t="str">
        <f aca="false">IF(B289="","",IF(COUNTIF(取込チェック!$C$6:$C$505,B289)&gt;0,1,0))</f>
        <v/>
      </c>
      <c r="G289" s="68" t="str">
        <f aca="false">IF(B289="","",SUMIF(取込チェック!$C$6:$C$505,B289,取込チェック!$D$6:$D$505))</f>
        <v/>
      </c>
      <c r="H289" s="68" t="str">
        <f aca="false">IF(B289="","",SUMIF(取込チェック!$C$6:$C$505,B289,取込チェック!$E$6:$E$505))</f>
        <v/>
      </c>
      <c r="I289" s="68" t="str">
        <f aca="false">IF(B289="","",SUMIF(取込チェック!$C$6:$C$505,B289,取込チェック!$F$6:$F$505))</f>
        <v/>
      </c>
      <c r="J289" s="69" t="str">
        <f aca="false">IF(F289&lt;&gt;1,"",IF(H289=0,"-",G289/H289))</f>
        <v/>
      </c>
      <c r="K289" s="67" t="str">
        <f aca="false">IF(F289&lt;&gt;1,"",COUNTIFS($E$5:$E$304,E289,$F$5:$F$304,1,$B$5:$B$304,"&lt;"&amp;B289)+1)</f>
        <v/>
      </c>
      <c r="L289" s="67" t="str">
        <f aca="false">IF(K289="","",E289&amp;"|"&amp;K289)</f>
        <v/>
      </c>
      <c r="M289" s="67" t="str">
        <f aca="false">IF(F289&lt;&gt;1,"",IF(COUNTIFS($C$5:C289,C289,$F$5:F289,1)=1,1,0))</f>
        <v/>
      </c>
      <c r="N289" s="67" t="str">
        <f aca="false">IF(M289&lt;&gt;1,"",_xlfn.MINIFS($B$5:$B$304,$C$5:$C$304,C289,$F$5:$F$304,1))</f>
        <v/>
      </c>
      <c r="O289" s="67" t="str">
        <f aca="false">IF(M289&lt;&gt;1,"",COUNTIFS($M$5:$M$304,1,$N$5:$N$304,"&lt;"&amp;N289)+1)</f>
        <v/>
      </c>
      <c r="P289" s="68" t="str">
        <f aca="false">IF(OR(B289="",取込チェック!$K$3=0),"",SUMIF(取込チェック!$K$6:$K$505,B289,取込チェック!$L$6:$L$505))</f>
        <v/>
      </c>
      <c r="Q289" s="68" t="str">
        <f aca="false">IF(OR(B289="",取込チェック!$K$3=0),"",SUMIF(取込チェック!$K$6:$K$505,B289,取込チェック!$M$6:$M$505))</f>
        <v/>
      </c>
      <c r="R289" s="68" t="str">
        <f aca="false">IF(P289="","",G289-P289)</f>
        <v/>
      </c>
      <c r="S289" s="68" t="str">
        <f aca="false">IF(Q289="","",I289-Q289)</f>
        <v/>
      </c>
    </row>
    <row r="290" customFormat="false" ht="15" hidden="false" customHeight="false" outlineLevel="0" collapsed="false">
      <c r="A290" s="64" t="str">
        <f aca="false">IF(B290="","",ROW()-4)</f>
        <v/>
      </c>
      <c r="B290" s="65"/>
      <c r="C290" s="65"/>
      <c r="D290" s="65"/>
      <c r="E290" s="66"/>
      <c r="F290" s="67" t="str">
        <f aca="false">IF(B290="","",IF(COUNTIF(取込チェック!$C$6:$C$505,B290)&gt;0,1,0))</f>
        <v/>
      </c>
      <c r="G290" s="68" t="str">
        <f aca="false">IF(B290="","",SUMIF(取込チェック!$C$6:$C$505,B290,取込チェック!$D$6:$D$505))</f>
        <v/>
      </c>
      <c r="H290" s="68" t="str">
        <f aca="false">IF(B290="","",SUMIF(取込チェック!$C$6:$C$505,B290,取込チェック!$E$6:$E$505))</f>
        <v/>
      </c>
      <c r="I290" s="68" t="str">
        <f aca="false">IF(B290="","",SUMIF(取込チェック!$C$6:$C$505,B290,取込チェック!$F$6:$F$505))</f>
        <v/>
      </c>
      <c r="J290" s="69" t="str">
        <f aca="false">IF(F290&lt;&gt;1,"",IF(H290=0,"-",G290/H290))</f>
        <v/>
      </c>
      <c r="K290" s="67" t="str">
        <f aca="false">IF(F290&lt;&gt;1,"",COUNTIFS($E$5:$E$304,E290,$F$5:$F$304,1,$B$5:$B$304,"&lt;"&amp;B290)+1)</f>
        <v/>
      </c>
      <c r="L290" s="67" t="str">
        <f aca="false">IF(K290="","",E290&amp;"|"&amp;K290)</f>
        <v/>
      </c>
      <c r="M290" s="67" t="str">
        <f aca="false">IF(F290&lt;&gt;1,"",IF(COUNTIFS($C$5:C290,C290,$F$5:F290,1)=1,1,0))</f>
        <v/>
      </c>
      <c r="N290" s="67" t="str">
        <f aca="false">IF(M290&lt;&gt;1,"",_xlfn.MINIFS($B$5:$B$304,$C$5:$C$304,C290,$F$5:$F$304,1))</f>
        <v/>
      </c>
      <c r="O290" s="67" t="str">
        <f aca="false">IF(M290&lt;&gt;1,"",COUNTIFS($M$5:$M$304,1,$N$5:$N$304,"&lt;"&amp;N290)+1)</f>
        <v/>
      </c>
      <c r="P290" s="68" t="str">
        <f aca="false">IF(OR(B290="",取込チェック!$K$3=0),"",SUMIF(取込チェック!$K$6:$K$505,B290,取込チェック!$L$6:$L$505))</f>
        <v/>
      </c>
      <c r="Q290" s="68" t="str">
        <f aca="false">IF(OR(B290="",取込チェック!$K$3=0),"",SUMIF(取込チェック!$K$6:$K$505,B290,取込チェック!$M$6:$M$505))</f>
        <v/>
      </c>
      <c r="R290" s="68" t="str">
        <f aca="false">IF(P290="","",G290-P290)</f>
        <v/>
      </c>
      <c r="S290" s="68" t="str">
        <f aca="false">IF(Q290="","",I290-Q290)</f>
        <v/>
      </c>
    </row>
    <row r="291" customFormat="false" ht="15" hidden="false" customHeight="false" outlineLevel="0" collapsed="false">
      <c r="A291" s="64" t="str">
        <f aca="false">IF(B291="","",ROW()-4)</f>
        <v/>
      </c>
      <c r="B291" s="65"/>
      <c r="C291" s="65"/>
      <c r="D291" s="65"/>
      <c r="E291" s="66"/>
      <c r="F291" s="67" t="str">
        <f aca="false">IF(B291="","",IF(COUNTIF(取込チェック!$C$6:$C$505,B291)&gt;0,1,0))</f>
        <v/>
      </c>
      <c r="G291" s="68" t="str">
        <f aca="false">IF(B291="","",SUMIF(取込チェック!$C$6:$C$505,B291,取込チェック!$D$6:$D$505))</f>
        <v/>
      </c>
      <c r="H291" s="68" t="str">
        <f aca="false">IF(B291="","",SUMIF(取込チェック!$C$6:$C$505,B291,取込チェック!$E$6:$E$505))</f>
        <v/>
      </c>
      <c r="I291" s="68" t="str">
        <f aca="false">IF(B291="","",SUMIF(取込チェック!$C$6:$C$505,B291,取込チェック!$F$6:$F$505))</f>
        <v/>
      </c>
      <c r="J291" s="69" t="str">
        <f aca="false">IF(F291&lt;&gt;1,"",IF(H291=0,"-",G291/H291))</f>
        <v/>
      </c>
      <c r="K291" s="67" t="str">
        <f aca="false">IF(F291&lt;&gt;1,"",COUNTIFS($E$5:$E$304,E291,$F$5:$F$304,1,$B$5:$B$304,"&lt;"&amp;B291)+1)</f>
        <v/>
      </c>
      <c r="L291" s="67" t="str">
        <f aca="false">IF(K291="","",E291&amp;"|"&amp;K291)</f>
        <v/>
      </c>
      <c r="M291" s="67" t="str">
        <f aca="false">IF(F291&lt;&gt;1,"",IF(COUNTIFS($C$5:C291,C291,$F$5:F291,1)=1,1,0))</f>
        <v/>
      </c>
      <c r="N291" s="67" t="str">
        <f aca="false">IF(M291&lt;&gt;1,"",_xlfn.MINIFS($B$5:$B$304,$C$5:$C$304,C291,$F$5:$F$304,1))</f>
        <v/>
      </c>
      <c r="O291" s="67" t="str">
        <f aca="false">IF(M291&lt;&gt;1,"",COUNTIFS($M$5:$M$304,1,$N$5:$N$304,"&lt;"&amp;N291)+1)</f>
        <v/>
      </c>
      <c r="P291" s="68" t="str">
        <f aca="false">IF(OR(B291="",取込チェック!$K$3=0),"",SUMIF(取込チェック!$K$6:$K$505,B291,取込チェック!$L$6:$L$505))</f>
        <v/>
      </c>
      <c r="Q291" s="68" t="str">
        <f aca="false">IF(OR(B291="",取込チェック!$K$3=0),"",SUMIF(取込チェック!$K$6:$K$505,B291,取込チェック!$M$6:$M$505))</f>
        <v/>
      </c>
      <c r="R291" s="68" t="str">
        <f aca="false">IF(P291="","",G291-P291)</f>
        <v/>
      </c>
      <c r="S291" s="68" t="str">
        <f aca="false">IF(Q291="","",I291-Q291)</f>
        <v/>
      </c>
    </row>
    <row r="292" customFormat="false" ht="15" hidden="false" customHeight="false" outlineLevel="0" collapsed="false">
      <c r="A292" s="64" t="str">
        <f aca="false">IF(B292="","",ROW()-4)</f>
        <v/>
      </c>
      <c r="B292" s="65"/>
      <c r="C292" s="65"/>
      <c r="D292" s="65"/>
      <c r="E292" s="66"/>
      <c r="F292" s="67" t="str">
        <f aca="false">IF(B292="","",IF(COUNTIF(取込チェック!$C$6:$C$505,B292)&gt;0,1,0))</f>
        <v/>
      </c>
      <c r="G292" s="68" t="str">
        <f aca="false">IF(B292="","",SUMIF(取込チェック!$C$6:$C$505,B292,取込チェック!$D$6:$D$505))</f>
        <v/>
      </c>
      <c r="H292" s="68" t="str">
        <f aca="false">IF(B292="","",SUMIF(取込チェック!$C$6:$C$505,B292,取込チェック!$E$6:$E$505))</f>
        <v/>
      </c>
      <c r="I292" s="68" t="str">
        <f aca="false">IF(B292="","",SUMIF(取込チェック!$C$6:$C$505,B292,取込チェック!$F$6:$F$505))</f>
        <v/>
      </c>
      <c r="J292" s="69" t="str">
        <f aca="false">IF(F292&lt;&gt;1,"",IF(H292=0,"-",G292/H292))</f>
        <v/>
      </c>
      <c r="K292" s="67" t="str">
        <f aca="false">IF(F292&lt;&gt;1,"",COUNTIFS($E$5:$E$304,E292,$F$5:$F$304,1,$B$5:$B$304,"&lt;"&amp;B292)+1)</f>
        <v/>
      </c>
      <c r="L292" s="67" t="str">
        <f aca="false">IF(K292="","",E292&amp;"|"&amp;K292)</f>
        <v/>
      </c>
      <c r="M292" s="67" t="str">
        <f aca="false">IF(F292&lt;&gt;1,"",IF(COUNTIFS($C$5:C292,C292,$F$5:F292,1)=1,1,0))</f>
        <v/>
      </c>
      <c r="N292" s="67" t="str">
        <f aca="false">IF(M292&lt;&gt;1,"",_xlfn.MINIFS($B$5:$B$304,$C$5:$C$304,C292,$F$5:$F$304,1))</f>
        <v/>
      </c>
      <c r="O292" s="67" t="str">
        <f aca="false">IF(M292&lt;&gt;1,"",COUNTIFS($M$5:$M$304,1,$N$5:$N$304,"&lt;"&amp;N292)+1)</f>
        <v/>
      </c>
      <c r="P292" s="68" t="str">
        <f aca="false">IF(OR(B292="",取込チェック!$K$3=0),"",SUMIF(取込チェック!$K$6:$K$505,B292,取込チェック!$L$6:$L$505))</f>
        <v/>
      </c>
      <c r="Q292" s="68" t="str">
        <f aca="false">IF(OR(B292="",取込チェック!$K$3=0),"",SUMIF(取込チェック!$K$6:$K$505,B292,取込チェック!$M$6:$M$505))</f>
        <v/>
      </c>
      <c r="R292" s="68" t="str">
        <f aca="false">IF(P292="","",G292-P292)</f>
        <v/>
      </c>
      <c r="S292" s="68" t="str">
        <f aca="false">IF(Q292="","",I292-Q292)</f>
        <v/>
      </c>
    </row>
    <row r="293" customFormat="false" ht="15" hidden="false" customHeight="false" outlineLevel="0" collapsed="false">
      <c r="A293" s="64" t="str">
        <f aca="false">IF(B293="","",ROW()-4)</f>
        <v/>
      </c>
      <c r="B293" s="65"/>
      <c r="C293" s="65"/>
      <c r="D293" s="65"/>
      <c r="E293" s="66"/>
      <c r="F293" s="67" t="str">
        <f aca="false">IF(B293="","",IF(COUNTIF(取込チェック!$C$6:$C$505,B293)&gt;0,1,0))</f>
        <v/>
      </c>
      <c r="G293" s="68" t="str">
        <f aca="false">IF(B293="","",SUMIF(取込チェック!$C$6:$C$505,B293,取込チェック!$D$6:$D$505))</f>
        <v/>
      </c>
      <c r="H293" s="68" t="str">
        <f aca="false">IF(B293="","",SUMIF(取込チェック!$C$6:$C$505,B293,取込チェック!$E$6:$E$505))</f>
        <v/>
      </c>
      <c r="I293" s="68" t="str">
        <f aca="false">IF(B293="","",SUMIF(取込チェック!$C$6:$C$505,B293,取込チェック!$F$6:$F$505))</f>
        <v/>
      </c>
      <c r="J293" s="69" t="str">
        <f aca="false">IF(F293&lt;&gt;1,"",IF(H293=0,"-",G293/H293))</f>
        <v/>
      </c>
      <c r="K293" s="67" t="str">
        <f aca="false">IF(F293&lt;&gt;1,"",COUNTIFS($E$5:$E$304,E293,$F$5:$F$304,1,$B$5:$B$304,"&lt;"&amp;B293)+1)</f>
        <v/>
      </c>
      <c r="L293" s="67" t="str">
        <f aca="false">IF(K293="","",E293&amp;"|"&amp;K293)</f>
        <v/>
      </c>
      <c r="M293" s="67" t="str">
        <f aca="false">IF(F293&lt;&gt;1,"",IF(COUNTIFS($C$5:C293,C293,$F$5:F293,1)=1,1,0))</f>
        <v/>
      </c>
      <c r="N293" s="67" t="str">
        <f aca="false">IF(M293&lt;&gt;1,"",_xlfn.MINIFS($B$5:$B$304,$C$5:$C$304,C293,$F$5:$F$304,1))</f>
        <v/>
      </c>
      <c r="O293" s="67" t="str">
        <f aca="false">IF(M293&lt;&gt;1,"",COUNTIFS($M$5:$M$304,1,$N$5:$N$304,"&lt;"&amp;N293)+1)</f>
        <v/>
      </c>
      <c r="P293" s="68" t="str">
        <f aca="false">IF(OR(B293="",取込チェック!$K$3=0),"",SUMIF(取込チェック!$K$6:$K$505,B293,取込チェック!$L$6:$L$505))</f>
        <v/>
      </c>
      <c r="Q293" s="68" t="str">
        <f aca="false">IF(OR(B293="",取込チェック!$K$3=0),"",SUMIF(取込チェック!$K$6:$K$505,B293,取込チェック!$M$6:$M$505))</f>
        <v/>
      </c>
      <c r="R293" s="68" t="str">
        <f aca="false">IF(P293="","",G293-P293)</f>
        <v/>
      </c>
      <c r="S293" s="68" t="str">
        <f aca="false">IF(Q293="","",I293-Q293)</f>
        <v/>
      </c>
    </row>
    <row r="294" customFormat="false" ht="15" hidden="false" customHeight="false" outlineLevel="0" collapsed="false">
      <c r="A294" s="64" t="str">
        <f aca="false">IF(B294="","",ROW()-4)</f>
        <v/>
      </c>
      <c r="B294" s="65"/>
      <c r="C294" s="65"/>
      <c r="D294" s="65"/>
      <c r="E294" s="66"/>
      <c r="F294" s="67" t="str">
        <f aca="false">IF(B294="","",IF(COUNTIF(取込チェック!$C$6:$C$505,B294)&gt;0,1,0))</f>
        <v/>
      </c>
      <c r="G294" s="68" t="str">
        <f aca="false">IF(B294="","",SUMIF(取込チェック!$C$6:$C$505,B294,取込チェック!$D$6:$D$505))</f>
        <v/>
      </c>
      <c r="H294" s="68" t="str">
        <f aca="false">IF(B294="","",SUMIF(取込チェック!$C$6:$C$505,B294,取込チェック!$E$6:$E$505))</f>
        <v/>
      </c>
      <c r="I294" s="68" t="str">
        <f aca="false">IF(B294="","",SUMIF(取込チェック!$C$6:$C$505,B294,取込チェック!$F$6:$F$505))</f>
        <v/>
      </c>
      <c r="J294" s="69" t="str">
        <f aca="false">IF(F294&lt;&gt;1,"",IF(H294=0,"-",G294/H294))</f>
        <v/>
      </c>
      <c r="K294" s="67" t="str">
        <f aca="false">IF(F294&lt;&gt;1,"",COUNTIFS($E$5:$E$304,E294,$F$5:$F$304,1,$B$5:$B$304,"&lt;"&amp;B294)+1)</f>
        <v/>
      </c>
      <c r="L294" s="67" t="str">
        <f aca="false">IF(K294="","",E294&amp;"|"&amp;K294)</f>
        <v/>
      </c>
      <c r="M294" s="67" t="str">
        <f aca="false">IF(F294&lt;&gt;1,"",IF(COUNTIFS($C$5:C294,C294,$F$5:F294,1)=1,1,0))</f>
        <v/>
      </c>
      <c r="N294" s="67" t="str">
        <f aca="false">IF(M294&lt;&gt;1,"",_xlfn.MINIFS($B$5:$B$304,$C$5:$C$304,C294,$F$5:$F$304,1))</f>
        <v/>
      </c>
      <c r="O294" s="67" t="str">
        <f aca="false">IF(M294&lt;&gt;1,"",COUNTIFS($M$5:$M$304,1,$N$5:$N$304,"&lt;"&amp;N294)+1)</f>
        <v/>
      </c>
      <c r="P294" s="68" t="str">
        <f aca="false">IF(OR(B294="",取込チェック!$K$3=0),"",SUMIF(取込チェック!$K$6:$K$505,B294,取込チェック!$L$6:$L$505))</f>
        <v/>
      </c>
      <c r="Q294" s="68" t="str">
        <f aca="false">IF(OR(B294="",取込チェック!$K$3=0),"",SUMIF(取込チェック!$K$6:$K$505,B294,取込チェック!$M$6:$M$505))</f>
        <v/>
      </c>
      <c r="R294" s="68" t="str">
        <f aca="false">IF(P294="","",G294-P294)</f>
        <v/>
      </c>
      <c r="S294" s="68" t="str">
        <f aca="false">IF(Q294="","",I294-Q294)</f>
        <v/>
      </c>
    </row>
    <row r="295" customFormat="false" ht="15" hidden="false" customHeight="false" outlineLevel="0" collapsed="false">
      <c r="A295" s="64" t="str">
        <f aca="false">IF(B295="","",ROW()-4)</f>
        <v/>
      </c>
      <c r="B295" s="65"/>
      <c r="C295" s="65"/>
      <c r="D295" s="65"/>
      <c r="E295" s="66"/>
      <c r="F295" s="67" t="str">
        <f aca="false">IF(B295="","",IF(COUNTIF(取込チェック!$C$6:$C$505,B295)&gt;0,1,0))</f>
        <v/>
      </c>
      <c r="G295" s="68" t="str">
        <f aca="false">IF(B295="","",SUMIF(取込チェック!$C$6:$C$505,B295,取込チェック!$D$6:$D$505))</f>
        <v/>
      </c>
      <c r="H295" s="68" t="str">
        <f aca="false">IF(B295="","",SUMIF(取込チェック!$C$6:$C$505,B295,取込チェック!$E$6:$E$505))</f>
        <v/>
      </c>
      <c r="I295" s="68" t="str">
        <f aca="false">IF(B295="","",SUMIF(取込チェック!$C$6:$C$505,B295,取込チェック!$F$6:$F$505))</f>
        <v/>
      </c>
      <c r="J295" s="69" t="str">
        <f aca="false">IF(F295&lt;&gt;1,"",IF(H295=0,"-",G295/H295))</f>
        <v/>
      </c>
      <c r="K295" s="67" t="str">
        <f aca="false">IF(F295&lt;&gt;1,"",COUNTIFS($E$5:$E$304,E295,$F$5:$F$304,1,$B$5:$B$304,"&lt;"&amp;B295)+1)</f>
        <v/>
      </c>
      <c r="L295" s="67" t="str">
        <f aca="false">IF(K295="","",E295&amp;"|"&amp;K295)</f>
        <v/>
      </c>
      <c r="M295" s="67" t="str">
        <f aca="false">IF(F295&lt;&gt;1,"",IF(COUNTIFS($C$5:C295,C295,$F$5:F295,1)=1,1,0))</f>
        <v/>
      </c>
      <c r="N295" s="67" t="str">
        <f aca="false">IF(M295&lt;&gt;1,"",_xlfn.MINIFS($B$5:$B$304,$C$5:$C$304,C295,$F$5:$F$304,1))</f>
        <v/>
      </c>
      <c r="O295" s="67" t="str">
        <f aca="false">IF(M295&lt;&gt;1,"",COUNTIFS($M$5:$M$304,1,$N$5:$N$304,"&lt;"&amp;N295)+1)</f>
        <v/>
      </c>
      <c r="P295" s="68" t="str">
        <f aca="false">IF(OR(B295="",取込チェック!$K$3=0),"",SUMIF(取込チェック!$K$6:$K$505,B295,取込チェック!$L$6:$L$505))</f>
        <v/>
      </c>
      <c r="Q295" s="68" t="str">
        <f aca="false">IF(OR(B295="",取込チェック!$K$3=0),"",SUMIF(取込チェック!$K$6:$K$505,B295,取込チェック!$M$6:$M$505))</f>
        <v/>
      </c>
      <c r="R295" s="68" t="str">
        <f aca="false">IF(P295="","",G295-P295)</f>
        <v/>
      </c>
      <c r="S295" s="68" t="str">
        <f aca="false">IF(Q295="","",I295-Q295)</f>
        <v/>
      </c>
    </row>
    <row r="296" customFormat="false" ht="15" hidden="false" customHeight="false" outlineLevel="0" collapsed="false">
      <c r="A296" s="64" t="str">
        <f aca="false">IF(B296="","",ROW()-4)</f>
        <v/>
      </c>
      <c r="B296" s="65"/>
      <c r="C296" s="65"/>
      <c r="D296" s="65"/>
      <c r="E296" s="66"/>
      <c r="F296" s="67" t="str">
        <f aca="false">IF(B296="","",IF(COUNTIF(取込チェック!$C$6:$C$505,B296)&gt;0,1,0))</f>
        <v/>
      </c>
      <c r="G296" s="68" t="str">
        <f aca="false">IF(B296="","",SUMIF(取込チェック!$C$6:$C$505,B296,取込チェック!$D$6:$D$505))</f>
        <v/>
      </c>
      <c r="H296" s="68" t="str">
        <f aca="false">IF(B296="","",SUMIF(取込チェック!$C$6:$C$505,B296,取込チェック!$E$6:$E$505))</f>
        <v/>
      </c>
      <c r="I296" s="68" t="str">
        <f aca="false">IF(B296="","",SUMIF(取込チェック!$C$6:$C$505,B296,取込チェック!$F$6:$F$505))</f>
        <v/>
      </c>
      <c r="J296" s="69" t="str">
        <f aca="false">IF(F296&lt;&gt;1,"",IF(H296=0,"-",G296/H296))</f>
        <v/>
      </c>
      <c r="K296" s="67" t="str">
        <f aca="false">IF(F296&lt;&gt;1,"",COUNTIFS($E$5:$E$304,E296,$F$5:$F$304,1,$B$5:$B$304,"&lt;"&amp;B296)+1)</f>
        <v/>
      </c>
      <c r="L296" s="67" t="str">
        <f aca="false">IF(K296="","",E296&amp;"|"&amp;K296)</f>
        <v/>
      </c>
      <c r="M296" s="67" t="str">
        <f aca="false">IF(F296&lt;&gt;1,"",IF(COUNTIFS($C$5:C296,C296,$F$5:F296,1)=1,1,0))</f>
        <v/>
      </c>
      <c r="N296" s="67" t="str">
        <f aca="false">IF(M296&lt;&gt;1,"",_xlfn.MINIFS($B$5:$B$304,$C$5:$C$304,C296,$F$5:$F$304,1))</f>
        <v/>
      </c>
      <c r="O296" s="67" t="str">
        <f aca="false">IF(M296&lt;&gt;1,"",COUNTIFS($M$5:$M$304,1,$N$5:$N$304,"&lt;"&amp;N296)+1)</f>
        <v/>
      </c>
      <c r="P296" s="68" t="str">
        <f aca="false">IF(OR(B296="",取込チェック!$K$3=0),"",SUMIF(取込チェック!$K$6:$K$505,B296,取込チェック!$L$6:$L$505))</f>
        <v/>
      </c>
      <c r="Q296" s="68" t="str">
        <f aca="false">IF(OR(B296="",取込チェック!$K$3=0),"",SUMIF(取込チェック!$K$6:$K$505,B296,取込チェック!$M$6:$M$505))</f>
        <v/>
      </c>
      <c r="R296" s="68" t="str">
        <f aca="false">IF(P296="","",G296-P296)</f>
        <v/>
      </c>
      <c r="S296" s="68" t="str">
        <f aca="false">IF(Q296="","",I296-Q296)</f>
        <v/>
      </c>
    </row>
    <row r="297" customFormat="false" ht="15" hidden="false" customHeight="false" outlineLevel="0" collapsed="false">
      <c r="A297" s="64" t="str">
        <f aca="false">IF(B297="","",ROW()-4)</f>
        <v/>
      </c>
      <c r="B297" s="65"/>
      <c r="C297" s="65"/>
      <c r="D297" s="65"/>
      <c r="E297" s="66"/>
      <c r="F297" s="67" t="str">
        <f aca="false">IF(B297="","",IF(COUNTIF(取込チェック!$C$6:$C$505,B297)&gt;0,1,0))</f>
        <v/>
      </c>
      <c r="G297" s="68" t="str">
        <f aca="false">IF(B297="","",SUMIF(取込チェック!$C$6:$C$505,B297,取込チェック!$D$6:$D$505))</f>
        <v/>
      </c>
      <c r="H297" s="68" t="str">
        <f aca="false">IF(B297="","",SUMIF(取込チェック!$C$6:$C$505,B297,取込チェック!$E$6:$E$505))</f>
        <v/>
      </c>
      <c r="I297" s="68" t="str">
        <f aca="false">IF(B297="","",SUMIF(取込チェック!$C$6:$C$505,B297,取込チェック!$F$6:$F$505))</f>
        <v/>
      </c>
      <c r="J297" s="69" t="str">
        <f aca="false">IF(F297&lt;&gt;1,"",IF(H297=0,"-",G297/H297))</f>
        <v/>
      </c>
      <c r="K297" s="67" t="str">
        <f aca="false">IF(F297&lt;&gt;1,"",COUNTIFS($E$5:$E$304,E297,$F$5:$F$304,1,$B$5:$B$304,"&lt;"&amp;B297)+1)</f>
        <v/>
      </c>
      <c r="L297" s="67" t="str">
        <f aca="false">IF(K297="","",E297&amp;"|"&amp;K297)</f>
        <v/>
      </c>
      <c r="M297" s="67" t="str">
        <f aca="false">IF(F297&lt;&gt;1,"",IF(COUNTIFS($C$5:C297,C297,$F$5:F297,1)=1,1,0))</f>
        <v/>
      </c>
      <c r="N297" s="67" t="str">
        <f aca="false">IF(M297&lt;&gt;1,"",_xlfn.MINIFS($B$5:$B$304,$C$5:$C$304,C297,$F$5:$F$304,1))</f>
        <v/>
      </c>
      <c r="O297" s="67" t="str">
        <f aca="false">IF(M297&lt;&gt;1,"",COUNTIFS($M$5:$M$304,1,$N$5:$N$304,"&lt;"&amp;N297)+1)</f>
        <v/>
      </c>
      <c r="P297" s="68" t="str">
        <f aca="false">IF(OR(B297="",取込チェック!$K$3=0),"",SUMIF(取込チェック!$K$6:$K$505,B297,取込チェック!$L$6:$L$505))</f>
        <v/>
      </c>
      <c r="Q297" s="68" t="str">
        <f aca="false">IF(OR(B297="",取込チェック!$K$3=0),"",SUMIF(取込チェック!$K$6:$K$505,B297,取込チェック!$M$6:$M$505))</f>
        <v/>
      </c>
      <c r="R297" s="68" t="str">
        <f aca="false">IF(P297="","",G297-P297)</f>
        <v/>
      </c>
      <c r="S297" s="68" t="str">
        <f aca="false">IF(Q297="","",I297-Q297)</f>
        <v/>
      </c>
    </row>
    <row r="298" customFormat="false" ht="15" hidden="false" customHeight="false" outlineLevel="0" collapsed="false">
      <c r="A298" s="64" t="str">
        <f aca="false">IF(B298="","",ROW()-4)</f>
        <v/>
      </c>
      <c r="B298" s="65"/>
      <c r="C298" s="65"/>
      <c r="D298" s="65"/>
      <c r="E298" s="66"/>
      <c r="F298" s="67" t="str">
        <f aca="false">IF(B298="","",IF(COUNTIF(取込チェック!$C$6:$C$505,B298)&gt;0,1,0))</f>
        <v/>
      </c>
      <c r="G298" s="68" t="str">
        <f aca="false">IF(B298="","",SUMIF(取込チェック!$C$6:$C$505,B298,取込チェック!$D$6:$D$505))</f>
        <v/>
      </c>
      <c r="H298" s="68" t="str">
        <f aca="false">IF(B298="","",SUMIF(取込チェック!$C$6:$C$505,B298,取込チェック!$E$6:$E$505))</f>
        <v/>
      </c>
      <c r="I298" s="68" t="str">
        <f aca="false">IF(B298="","",SUMIF(取込チェック!$C$6:$C$505,B298,取込チェック!$F$6:$F$505))</f>
        <v/>
      </c>
      <c r="J298" s="69" t="str">
        <f aca="false">IF(F298&lt;&gt;1,"",IF(H298=0,"-",G298/H298))</f>
        <v/>
      </c>
      <c r="K298" s="67" t="str">
        <f aca="false">IF(F298&lt;&gt;1,"",COUNTIFS($E$5:$E$304,E298,$F$5:$F$304,1,$B$5:$B$304,"&lt;"&amp;B298)+1)</f>
        <v/>
      </c>
      <c r="L298" s="67" t="str">
        <f aca="false">IF(K298="","",E298&amp;"|"&amp;K298)</f>
        <v/>
      </c>
      <c r="M298" s="67" t="str">
        <f aca="false">IF(F298&lt;&gt;1,"",IF(COUNTIFS($C$5:C298,C298,$F$5:F298,1)=1,1,0))</f>
        <v/>
      </c>
      <c r="N298" s="67" t="str">
        <f aca="false">IF(M298&lt;&gt;1,"",_xlfn.MINIFS($B$5:$B$304,$C$5:$C$304,C298,$F$5:$F$304,1))</f>
        <v/>
      </c>
      <c r="O298" s="67" t="str">
        <f aca="false">IF(M298&lt;&gt;1,"",COUNTIFS($M$5:$M$304,1,$N$5:$N$304,"&lt;"&amp;N298)+1)</f>
        <v/>
      </c>
      <c r="P298" s="68" t="str">
        <f aca="false">IF(OR(B298="",取込チェック!$K$3=0),"",SUMIF(取込チェック!$K$6:$K$505,B298,取込チェック!$L$6:$L$505))</f>
        <v/>
      </c>
      <c r="Q298" s="68" t="str">
        <f aca="false">IF(OR(B298="",取込チェック!$K$3=0),"",SUMIF(取込チェック!$K$6:$K$505,B298,取込チェック!$M$6:$M$505))</f>
        <v/>
      </c>
      <c r="R298" s="68" t="str">
        <f aca="false">IF(P298="","",G298-P298)</f>
        <v/>
      </c>
      <c r="S298" s="68" t="str">
        <f aca="false">IF(Q298="","",I298-Q298)</f>
        <v/>
      </c>
    </row>
    <row r="299" customFormat="false" ht="15" hidden="false" customHeight="false" outlineLevel="0" collapsed="false">
      <c r="A299" s="64" t="str">
        <f aca="false">IF(B299="","",ROW()-4)</f>
        <v/>
      </c>
      <c r="B299" s="65"/>
      <c r="C299" s="65"/>
      <c r="D299" s="65"/>
      <c r="E299" s="66"/>
      <c r="F299" s="67" t="str">
        <f aca="false">IF(B299="","",IF(COUNTIF(取込チェック!$C$6:$C$505,B299)&gt;0,1,0))</f>
        <v/>
      </c>
      <c r="G299" s="68" t="str">
        <f aca="false">IF(B299="","",SUMIF(取込チェック!$C$6:$C$505,B299,取込チェック!$D$6:$D$505))</f>
        <v/>
      </c>
      <c r="H299" s="68" t="str">
        <f aca="false">IF(B299="","",SUMIF(取込チェック!$C$6:$C$505,B299,取込チェック!$E$6:$E$505))</f>
        <v/>
      </c>
      <c r="I299" s="68" t="str">
        <f aca="false">IF(B299="","",SUMIF(取込チェック!$C$6:$C$505,B299,取込チェック!$F$6:$F$505))</f>
        <v/>
      </c>
      <c r="J299" s="69" t="str">
        <f aca="false">IF(F299&lt;&gt;1,"",IF(H299=0,"-",G299/H299))</f>
        <v/>
      </c>
      <c r="K299" s="67" t="str">
        <f aca="false">IF(F299&lt;&gt;1,"",COUNTIFS($E$5:$E$304,E299,$F$5:$F$304,1,$B$5:$B$304,"&lt;"&amp;B299)+1)</f>
        <v/>
      </c>
      <c r="L299" s="67" t="str">
        <f aca="false">IF(K299="","",E299&amp;"|"&amp;K299)</f>
        <v/>
      </c>
      <c r="M299" s="67" t="str">
        <f aca="false">IF(F299&lt;&gt;1,"",IF(COUNTIFS($C$5:C299,C299,$F$5:F299,1)=1,1,0))</f>
        <v/>
      </c>
      <c r="N299" s="67" t="str">
        <f aca="false">IF(M299&lt;&gt;1,"",_xlfn.MINIFS($B$5:$B$304,$C$5:$C$304,C299,$F$5:$F$304,1))</f>
        <v/>
      </c>
      <c r="O299" s="67" t="str">
        <f aca="false">IF(M299&lt;&gt;1,"",COUNTIFS($M$5:$M$304,1,$N$5:$N$304,"&lt;"&amp;N299)+1)</f>
        <v/>
      </c>
      <c r="P299" s="68" t="str">
        <f aca="false">IF(OR(B299="",取込チェック!$K$3=0),"",SUMIF(取込チェック!$K$6:$K$505,B299,取込チェック!$L$6:$L$505))</f>
        <v/>
      </c>
      <c r="Q299" s="68" t="str">
        <f aca="false">IF(OR(B299="",取込チェック!$K$3=0),"",SUMIF(取込チェック!$K$6:$K$505,B299,取込チェック!$M$6:$M$505))</f>
        <v/>
      </c>
      <c r="R299" s="68" t="str">
        <f aca="false">IF(P299="","",G299-P299)</f>
        <v/>
      </c>
      <c r="S299" s="68" t="str">
        <f aca="false">IF(Q299="","",I299-Q299)</f>
        <v/>
      </c>
    </row>
    <row r="300" customFormat="false" ht="15" hidden="false" customHeight="false" outlineLevel="0" collapsed="false">
      <c r="A300" s="64" t="str">
        <f aca="false">IF(B300="","",ROW()-4)</f>
        <v/>
      </c>
      <c r="B300" s="65"/>
      <c r="C300" s="65"/>
      <c r="D300" s="65"/>
      <c r="E300" s="66"/>
      <c r="F300" s="67" t="str">
        <f aca="false">IF(B300="","",IF(COUNTIF(取込チェック!$C$6:$C$505,B300)&gt;0,1,0))</f>
        <v/>
      </c>
      <c r="G300" s="68" t="str">
        <f aca="false">IF(B300="","",SUMIF(取込チェック!$C$6:$C$505,B300,取込チェック!$D$6:$D$505))</f>
        <v/>
      </c>
      <c r="H300" s="68" t="str">
        <f aca="false">IF(B300="","",SUMIF(取込チェック!$C$6:$C$505,B300,取込チェック!$E$6:$E$505))</f>
        <v/>
      </c>
      <c r="I300" s="68" t="str">
        <f aca="false">IF(B300="","",SUMIF(取込チェック!$C$6:$C$505,B300,取込チェック!$F$6:$F$505))</f>
        <v/>
      </c>
      <c r="J300" s="69" t="str">
        <f aca="false">IF(F300&lt;&gt;1,"",IF(H300=0,"-",G300/H300))</f>
        <v/>
      </c>
      <c r="K300" s="67" t="str">
        <f aca="false">IF(F300&lt;&gt;1,"",COUNTIFS($E$5:$E$304,E300,$F$5:$F$304,1,$B$5:$B$304,"&lt;"&amp;B300)+1)</f>
        <v/>
      </c>
      <c r="L300" s="67" t="str">
        <f aca="false">IF(K300="","",E300&amp;"|"&amp;K300)</f>
        <v/>
      </c>
      <c r="M300" s="67" t="str">
        <f aca="false">IF(F300&lt;&gt;1,"",IF(COUNTIFS($C$5:C300,C300,$F$5:F300,1)=1,1,0))</f>
        <v/>
      </c>
      <c r="N300" s="67" t="str">
        <f aca="false">IF(M300&lt;&gt;1,"",_xlfn.MINIFS($B$5:$B$304,$C$5:$C$304,C300,$F$5:$F$304,1))</f>
        <v/>
      </c>
      <c r="O300" s="67" t="str">
        <f aca="false">IF(M300&lt;&gt;1,"",COUNTIFS($M$5:$M$304,1,$N$5:$N$304,"&lt;"&amp;N300)+1)</f>
        <v/>
      </c>
      <c r="P300" s="68" t="str">
        <f aca="false">IF(OR(B300="",取込チェック!$K$3=0),"",SUMIF(取込チェック!$K$6:$K$505,B300,取込チェック!$L$6:$L$505))</f>
        <v/>
      </c>
      <c r="Q300" s="68" t="str">
        <f aca="false">IF(OR(B300="",取込チェック!$K$3=0),"",SUMIF(取込チェック!$K$6:$K$505,B300,取込チェック!$M$6:$M$505))</f>
        <v/>
      </c>
      <c r="R300" s="68" t="str">
        <f aca="false">IF(P300="","",G300-P300)</f>
        <v/>
      </c>
      <c r="S300" s="68" t="str">
        <f aca="false">IF(Q300="","",I300-Q300)</f>
        <v/>
      </c>
    </row>
    <row r="301" customFormat="false" ht="15" hidden="false" customHeight="false" outlineLevel="0" collapsed="false">
      <c r="A301" s="64" t="str">
        <f aca="false">IF(B301="","",ROW()-4)</f>
        <v/>
      </c>
      <c r="B301" s="65"/>
      <c r="C301" s="65"/>
      <c r="D301" s="65"/>
      <c r="E301" s="66"/>
      <c r="F301" s="67" t="str">
        <f aca="false">IF(B301="","",IF(COUNTIF(取込チェック!$C$6:$C$505,B301)&gt;0,1,0))</f>
        <v/>
      </c>
      <c r="G301" s="68" t="str">
        <f aca="false">IF(B301="","",SUMIF(取込チェック!$C$6:$C$505,B301,取込チェック!$D$6:$D$505))</f>
        <v/>
      </c>
      <c r="H301" s="68" t="str">
        <f aca="false">IF(B301="","",SUMIF(取込チェック!$C$6:$C$505,B301,取込チェック!$E$6:$E$505))</f>
        <v/>
      </c>
      <c r="I301" s="68" t="str">
        <f aca="false">IF(B301="","",SUMIF(取込チェック!$C$6:$C$505,B301,取込チェック!$F$6:$F$505))</f>
        <v/>
      </c>
      <c r="J301" s="69" t="str">
        <f aca="false">IF(F301&lt;&gt;1,"",IF(H301=0,"-",G301/H301))</f>
        <v/>
      </c>
      <c r="K301" s="67" t="str">
        <f aca="false">IF(F301&lt;&gt;1,"",COUNTIFS($E$5:$E$304,E301,$F$5:$F$304,1,$B$5:$B$304,"&lt;"&amp;B301)+1)</f>
        <v/>
      </c>
      <c r="L301" s="67" t="str">
        <f aca="false">IF(K301="","",E301&amp;"|"&amp;K301)</f>
        <v/>
      </c>
      <c r="M301" s="67" t="str">
        <f aca="false">IF(F301&lt;&gt;1,"",IF(COUNTIFS($C$5:C301,C301,$F$5:F301,1)=1,1,0))</f>
        <v/>
      </c>
      <c r="N301" s="67" t="str">
        <f aca="false">IF(M301&lt;&gt;1,"",_xlfn.MINIFS($B$5:$B$304,$C$5:$C$304,C301,$F$5:$F$304,1))</f>
        <v/>
      </c>
      <c r="O301" s="67" t="str">
        <f aca="false">IF(M301&lt;&gt;1,"",COUNTIFS($M$5:$M$304,1,$N$5:$N$304,"&lt;"&amp;N301)+1)</f>
        <v/>
      </c>
      <c r="P301" s="68" t="str">
        <f aca="false">IF(OR(B301="",取込チェック!$K$3=0),"",SUMIF(取込チェック!$K$6:$K$505,B301,取込チェック!$L$6:$L$505))</f>
        <v/>
      </c>
      <c r="Q301" s="68" t="str">
        <f aca="false">IF(OR(B301="",取込チェック!$K$3=0),"",SUMIF(取込チェック!$K$6:$K$505,B301,取込チェック!$M$6:$M$505))</f>
        <v/>
      </c>
      <c r="R301" s="68" t="str">
        <f aca="false">IF(P301="","",G301-P301)</f>
        <v/>
      </c>
      <c r="S301" s="68" t="str">
        <f aca="false">IF(Q301="","",I301-Q301)</f>
        <v/>
      </c>
    </row>
    <row r="302" customFormat="false" ht="15" hidden="false" customHeight="false" outlineLevel="0" collapsed="false">
      <c r="A302" s="64" t="str">
        <f aca="false">IF(B302="","",ROW()-4)</f>
        <v/>
      </c>
      <c r="B302" s="65"/>
      <c r="C302" s="65"/>
      <c r="D302" s="65"/>
      <c r="E302" s="66"/>
      <c r="F302" s="67" t="str">
        <f aca="false">IF(B302="","",IF(COUNTIF(取込チェック!$C$6:$C$505,B302)&gt;0,1,0))</f>
        <v/>
      </c>
      <c r="G302" s="68" t="str">
        <f aca="false">IF(B302="","",SUMIF(取込チェック!$C$6:$C$505,B302,取込チェック!$D$6:$D$505))</f>
        <v/>
      </c>
      <c r="H302" s="68" t="str">
        <f aca="false">IF(B302="","",SUMIF(取込チェック!$C$6:$C$505,B302,取込チェック!$E$6:$E$505))</f>
        <v/>
      </c>
      <c r="I302" s="68" t="str">
        <f aca="false">IF(B302="","",SUMIF(取込チェック!$C$6:$C$505,B302,取込チェック!$F$6:$F$505))</f>
        <v/>
      </c>
      <c r="J302" s="69" t="str">
        <f aca="false">IF(F302&lt;&gt;1,"",IF(H302=0,"-",G302/H302))</f>
        <v/>
      </c>
      <c r="K302" s="67" t="str">
        <f aca="false">IF(F302&lt;&gt;1,"",COUNTIFS($E$5:$E$304,E302,$F$5:$F$304,1,$B$5:$B$304,"&lt;"&amp;B302)+1)</f>
        <v/>
      </c>
      <c r="L302" s="67" t="str">
        <f aca="false">IF(K302="","",E302&amp;"|"&amp;K302)</f>
        <v/>
      </c>
      <c r="M302" s="67" t="str">
        <f aca="false">IF(F302&lt;&gt;1,"",IF(COUNTIFS($C$5:C302,C302,$F$5:F302,1)=1,1,0))</f>
        <v/>
      </c>
      <c r="N302" s="67" t="str">
        <f aca="false">IF(M302&lt;&gt;1,"",_xlfn.MINIFS($B$5:$B$304,$C$5:$C$304,C302,$F$5:$F$304,1))</f>
        <v/>
      </c>
      <c r="O302" s="67" t="str">
        <f aca="false">IF(M302&lt;&gt;1,"",COUNTIFS($M$5:$M$304,1,$N$5:$N$304,"&lt;"&amp;N302)+1)</f>
        <v/>
      </c>
      <c r="P302" s="68" t="str">
        <f aca="false">IF(OR(B302="",取込チェック!$K$3=0),"",SUMIF(取込チェック!$K$6:$K$505,B302,取込チェック!$L$6:$L$505))</f>
        <v/>
      </c>
      <c r="Q302" s="68" t="str">
        <f aca="false">IF(OR(B302="",取込チェック!$K$3=0),"",SUMIF(取込チェック!$K$6:$K$505,B302,取込チェック!$M$6:$M$505))</f>
        <v/>
      </c>
      <c r="R302" s="68" t="str">
        <f aca="false">IF(P302="","",G302-P302)</f>
        <v/>
      </c>
      <c r="S302" s="68" t="str">
        <f aca="false">IF(Q302="","",I302-Q302)</f>
        <v/>
      </c>
    </row>
    <row r="303" customFormat="false" ht="15" hidden="false" customHeight="false" outlineLevel="0" collapsed="false">
      <c r="A303" s="64" t="str">
        <f aca="false">IF(B303="","",ROW()-4)</f>
        <v/>
      </c>
      <c r="B303" s="65"/>
      <c r="C303" s="65"/>
      <c r="D303" s="65"/>
      <c r="E303" s="66"/>
      <c r="F303" s="67" t="str">
        <f aca="false">IF(B303="","",IF(COUNTIF(取込チェック!$C$6:$C$505,B303)&gt;0,1,0))</f>
        <v/>
      </c>
      <c r="G303" s="68" t="str">
        <f aca="false">IF(B303="","",SUMIF(取込チェック!$C$6:$C$505,B303,取込チェック!$D$6:$D$505))</f>
        <v/>
      </c>
      <c r="H303" s="68" t="str">
        <f aca="false">IF(B303="","",SUMIF(取込チェック!$C$6:$C$505,B303,取込チェック!$E$6:$E$505))</f>
        <v/>
      </c>
      <c r="I303" s="68" t="str">
        <f aca="false">IF(B303="","",SUMIF(取込チェック!$C$6:$C$505,B303,取込チェック!$F$6:$F$505))</f>
        <v/>
      </c>
      <c r="J303" s="69" t="str">
        <f aca="false">IF(F303&lt;&gt;1,"",IF(H303=0,"-",G303/H303))</f>
        <v/>
      </c>
      <c r="K303" s="67" t="str">
        <f aca="false">IF(F303&lt;&gt;1,"",COUNTIFS($E$5:$E$304,E303,$F$5:$F$304,1,$B$5:$B$304,"&lt;"&amp;B303)+1)</f>
        <v/>
      </c>
      <c r="L303" s="67" t="str">
        <f aca="false">IF(K303="","",E303&amp;"|"&amp;K303)</f>
        <v/>
      </c>
      <c r="M303" s="67" t="str">
        <f aca="false">IF(F303&lt;&gt;1,"",IF(COUNTIFS($C$5:C303,C303,$F$5:F303,1)=1,1,0))</f>
        <v/>
      </c>
      <c r="N303" s="67" t="str">
        <f aca="false">IF(M303&lt;&gt;1,"",_xlfn.MINIFS($B$5:$B$304,$C$5:$C$304,C303,$F$5:$F$304,1))</f>
        <v/>
      </c>
      <c r="O303" s="67" t="str">
        <f aca="false">IF(M303&lt;&gt;1,"",COUNTIFS($M$5:$M$304,1,$N$5:$N$304,"&lt;"&amp;N303)+1)</f>
        <v/>
      </c>
      <c r="P303" s="68" t="str">
        <f aca="false">IF(OR(B303="",取込チェック!$K$3=0),"",SUMIF(取込チェック!$K$6:$K$505,B303,取込チェック!$L$6:$L$505))</f>
        <v/>
      </c>
      <c r="Q303" s="68" t="str">
        <f aca="false">IF(OR(B303="",取込チェック!$K$3=0),"",SUMIF(取込チェック!$K$6:$K$505,B303,取込チェック!$M$6:$M$505))</f>
        <v/>
      </c>
      <c r="R303" s="68" t="str">
        <f aca="false">IF(P303="","",G303-P303)</f>
        <v/>
      </c>
      <c r="S303" s="68" t="str">
        <f aca="false">IF(Q303="","",I303-Q303)</f>
        <v/>
      </c>
    </row>
    <row r="304" customFormat="false" ht="15" hidden="false" customHeight="false" outlineLevel="0" collapsed="false">
      <c r="A304" s="64" t="str">
        <f aca="false">IF(B304="","",ROW()-4)</f>
        <v/>
      </c>
      <c r="B304" s="65"/>
      <c r="C304" s="65"/>
      <c r="D304" s="65"/>
      <c r="E304" s="66"/>
      <c r="F304" s="67" t="str">
        <f aca="false">IF(B304="","",IF(COUNTIF(取込チェック!$C$6:$C$505,B304)&gt;0,1,0))</f>
        <v/>
      </c>
      <c r="G304" s="68" t="str">
        <f aca="false">IF(B304="","",SUMIF(取込チェック!$C$6:$C$505,B304,取込チェック!$D$6:$D$505))</f>
        <v/>
      </c>
      <c r="H304" s="68" t="str">
        <f aca="false">IF(B304="","",SUMIF(取込チェック!$C$6:$C$505,B304,取込チェック!$E$6:$E$505))</f>
        <v/>
      </c>
      <c r="I304" s="68" t="str">
        <f aca="false">IF(B304="","",SUMIF(取込チェック!$C$6:$C$505,B304,取込チェック!$F$6:$F$505))</f>
        <v/>
      </c>
      <c r="J304" s="69" t="str">
        <f aca="false">IF(F304&lt;&gt;1,"",IF(H304=0,"-",G304/H304))</f>
        <v/>
      </c>
      <c r="K304" s="67" t="str">
        <f aca="false">IF(F304&lt;&gt;1,"",COUNTIFS($E$5:$E$304,E304,$F$5:$F$304,1,$B$5:$B$304,"&lt;"&amp;B304)+1)</f>
        <v/>
      </c>
      <c r="L304" s="67" t="str">
        <f aca="false">IF(K304="","",E304&amp;"|"&amp;K304)</f>
        <v/>
      </c>
      <c r="M304" s="67" t="str">
        <f aca="false">IF(F304&lt;&gt;1,"",IF(COUNTIFS($C$5:C304,C304,$F$5:F304,1)=1,1,0))</f>
        <v/>
      </c>
      <c r="N304" s="67" t="str">
        <f aca="false">IF(M304&lt;&gt;1,"",_xlfn.MINIFS($B$5:$B$304,$C$5:$C$304,C304,$F$5:$F$304,1))</f>
        <v/>
      </c>
      <c r="O304" s="67" t="str">
        <f aca="false">IF(M304&lt;&gt;1,"",COUNTIFS($M$5:$M$304,1,$N$5:$N$304,"&lt;"&amp;N304)+1)</f>
        <v/>
      </c>
      <c r="P304" s="68" t="str">
        <f aca="false">IF(OR(B304="",取込チェック!$K$3=0),"",SUMIF(取込チェック!$K$6:$K$505,B304,取込チェック!$L$6:$L$505))</f>
        <v/>
      </c>
      <c r="Q304" s="68" t="str">
        <f aca="false">IF(OR(B304="",取込チェック!$K$3=0),"",SUMIF(取込チェック!$K$6:$K$505,B304,取込チェック!$M$6:$M$505))</f>
        <v/>
      </c>
      <c r="R304" s="68" t="str">
        <f aca="false">IF(P304="","",G304-P304)</f>
        <v/>
      </c>
      <c r="S304" s="68" t="str">
        <f aca="false">IF(Q304="","",I304-Q304)</f>
        <v/>
      </c>
    </row>
  </sheetData>
  <autoFilter ref="A4:S304"/>
  <dataValidations count="1">
    <dataValidation allowBlank="true" error="リストから選択してください" errorStyle="stop" errorTitle="ブランド系統" operator="between" showDropDown="false" showErrorMessage="true" showInputMessage="false" sqref="E5:E304" type="list">
      <formula1>"アルチビオ,スタジオピッコーネ／ピッコーネクラブ,ピッコーネ,複合（アルチビオ＋ピッコーネ系）"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U5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11"/>
    <col collapsed="false" customWidth="true" hidden="false" outlineLevel="0" max="6" min="4" style="0" width="12"/>
    <col collapsed="false" customWidth="true" hidden="false" outlineLevel="0" max="7" min="7" style="0" width="18"/>
    <col collapsed="false" customWidth="true" hidden="false" outlineLevel="0" max="8" min="8" style="0" width="2"/>
    <col collapsed="false" customWidth="true" hidden="false" outlineLevel="0" max="9" min="9" style="0" width="8"/>
    <col collapsed="false" customWidth="true" hidden="false" outlineLevel="0" max="10" min="10" style="0" width="44"/>
    <col collapsed="false" customWidth="true" hidden="false" outlineLevel="0" max="11" min="11" style="0" width="11"/>
    <col collapsed="false" customWidth="true" hidden="false" outlineLevel="0" max="13" min="12" style="0" width="12"/>
    <col collapsed="false" customWidth="true" hidden="false" outlineLevel="0" max="14" min="14" style="0" width="18"/>
    <col collapsed="false" customWidth="true" hidden="false" outlineLevel="0" max="15" min="15" style="0" width="2"/>
    <col collapsed="false" customWidth="true" hidden="false" outlineLevel="0" max="16" min="16" style="0" width="8"/>
    <col collapsed="false" customWidth="true" hidden="false" outlineLevel="0" max="17" min="17" style="0" width="44"/>
    <col collapsed="false" customWidth="true" hidden="false" outlineLevel="0" max="18" min="18" style="0" width="11"/>
    <col collapsed="false" customWidth="true" hidden="false" outlineLevel="0" max="20" min="19" style="0" width="12"/>
    <col collapsed="false" customWidth="true" hidden="false" outlineLevel="0" max="21" min="21" style="0" width="18"/>
  </cols>
  <sheetData>
    <row r="1" customFormat="false" ht="17.35" hidden="false" customHeight="false" outlineLevel="0" collapsed="false">
      <c r="A1" s="59" t="s">
        <v>180</v>
      </c>
    </row>
    <row r="2" customFormat="false" ht="15" hidden="false" customHeight="false" outlineLevel="0" collapsed="false">
      <c r="A2" s="27" t="s">
        <v>181</v>
      </c>
    </row>
    <row r="3" customFormat="false" ht="15" hidden="false" customHeight="false" outlineLevel="0" collapsed="false">
      <c r="A3" s="70" t="s">
        <v>182</v>
      </c>
      <c r="B3" s="71" t="str">
        <f aca="false">IFERROR(LEFT(TRIM(MID(元データ_PB合計!$B$1,FIND("前年同月",元データ_PB合計!$B$1)+4,20)),7),"")</f>
        <v>2025/09</v>
      </c>
      <c r="C3" s="70" t="s">
        <v>183</v>
      </c>
      <c r="D3" s="71" t="n">
        <f aca="false">IFERROR(VALUE(LEFT($B$3,4)),"")</f>
        <v>2025</v>
      </c>
      <c r="E3" s="70" t="s">
        <v>184</v>
      </c>
      <c r="F3" s="71" t="n">
        <f aca="false">IFERROR(VALUE(MID($B$3,6,2)),"")</f>
        <v>9</v>
      </c>
      <c r="G3" s="70" t="s">
        <v>185</v>
      </c>
      <c r="H3" s="71" t="str">
        <f aca="false">IF($D$3="","POS売上 予算・前年対比（対象月を読み取れません：元データ_PB合計のB1を確認）","POS売上 予算・前年対比（"&amp;($D$3+1)&amp;"年"&amp;$F$3&amp;"月度／前年同月 "&amp;$D$3&amp;"年"&amp;$F$3&amp;"月）")</f>
        <v>POS売上 予算・前年対比（2026年9月度／前年同月 2025年9月）</v>
      </c>
      <c r="J3" s="72" t="s">
        <v>186</v>
      </c>
      <c r="K3" s="71" t="n">
        <f aca="false">IF(AND(COUNT(K6:K505)&gt;0,COUNT(R6:R505)&gt;0),1,0)</f>
        <v>1</v>
      </c>
    </row>
    <row r="4" customFormat="false" ht="15" hidden="false" customHeight="false" outlineLevel="0" collapsed="false">
      <c r="A4" s="73" t="s">
        <v>187</v>
      </c>
      <c r="I4" s="73" t="s">
        <v>188</v>
      </c>
      <c r="P4" s="73" t="s">
        <v>189</v>
      </c>
    </row>
    <row r="5" customFormat="false" ht="26.85" hidden="false" customHeight="false" outlineLevel="0" collapsed="false">
      <c r="A5" s="4" t="s">
        <v>190</v>
      </c>
      <c r="B5" s="4" t="s">
        <v>191</v>
      </c>
      <c r="C5" s="4" t="s">
        <v>51</v>
      </c>
      <c r="D5" s="4" t="s">
        <v>4</v>
      </c>
      <c r="E5" s="4" t="s">
        <v>6</v>
      </c>
      <c r="F5" s="4" t="s">
        <v>9</v>
      </c>
      <c r="G5" s="4" t="s">
        <v>192</v>
      </c>
      <c r="I5" s="40" t="s">
        <v>190</v>
      </c>
      <c r="J5" s="40" t="s">
        <v>191</v>
      </c>
      <c r="K5" s="40" t="s">
        <v>51</v>
      </c>
      <c r="L5" s="40" t="s">
        <v>4</v>
      </c>
      <c r="M5" s="40" t="s">
        <v>9</v>
      </c>
      <c r="N5" s="40" t="s">
        <v>192</v>
      </c>
      <c r="P5" s="41" t="s">
        <v>190</v>
      </c>
      <c r="Q5" s="41" t="s">
        <v>191</v>
      </c>
      <c r="R5" s="41" t="s">
        <v>51</v>
      </c>
      <c r="S5" s="41" t="s">
        <v>4</v>
      </c>
      <c r="T5" s="41" t="s">
        <v>9</v>
      </c>
      <c r="U5" s="41" t="s">
        <v>192</v>
      </c>
    </row>
    <row r="6" customFormat="false" ht="15" hidden="false" customHeight="false" outlineLevel="0" collapsed="false">
      <c r="A6" s="74" t="n">
        <v>4</v>
      </c>
      <c r="B6" s="74" t="str">
        <f aca="false">IF(元データ_PB合計!$A$4="","",元データ_PB合計!$A$4)</f>
        <v>(32580900)阪急三番街店ピッコーネ</v>
      </c>
      <c r="C6" s="74" t="n">
        <f aca="false">IF(LEFT(B6,1)="(",IFERROR(VALUE(MID(B6,2,FIND(")",B6)-2)),""),"")</f>
        <v>32580900</v>
      </c>
      <c r="D6" s="75" t="n">
        <f aca="false">IF($C6="","",N(元データ_PB合計!$B$4))</f>
        <v>6773261</v>
      </c>
      <c r="E6" s="75" t="n">
        <f aca="false">IF($C6="","",N(元データ_PB合計!$C$4))</f>
        <v>3500000</v>
      </c>
      <c r="F6" s="75" t="n">
        <f aca="false">IF($C6="","",N(元データ_PB合計!$F$4))</f>
        <v>2378787</v>
      </c>
      <c r="G6" s="74" t="str">
        <f aca="false">IF($C6="","",IF(COUNTIF(店舗マスタ!$B$5:$B$304,$C6)&gt;0,"登録済","未登録→マスタに追加"))</f>
        <v>登録済</v>
      </c>
      <c r="I6" s="74" t="n">
        <v>4</v>
      </c>
      <c r="J6" s="74" t="str">
        <f aca="false">IF(元データ_P!$A$4="","",元データ_P!$A$4)</f>
        <v>(32573700)近鉄百貨店上本町店ｽﾀｼﾞｵﾋﾟｯｺｰﾈ・ﾋﾟｯｺｰﾈｸﾗﾌ</v>
      </c>
      <c r="K6" s="74" t="n">
        <f aca="false">IF(LEFT(J6,1)="(",IFERROR(VALUE(MID(J6,2,FIND(")",J6)-2)),""),"")</f>
        <v>32573700</v>
      </c>
      <c r="L6" s="75" t="n">
        <f aca="false">IF($K6="","",N(元データ_P!$B$4))</f>
        <v>2566400</v>
      </c>
      <c r="M6" s="75" t="n">
        <f aca="false">IF($K6="","",N(元データ_P!$F$4))</f>
        <v>1559100</v>
      </c>
      <c r="N6" s="74" t="str">
        <f aca="false">IF($K6="","",IF(COUNTIF(店舗マスタ!$B$5:$B$304,$K6)&gt;0,"登録済","未登録→マスタに追加"))</f>
        <v>登録済</v>
      </c>
      <c r="P6" s="74" t="n">
        <v>4</v>
      </c>
      <c r="Q6" s="74" t="str">
        <f aca="false">IF(元データ_B!$A$4="","",元データ_B!$A$4)</f>
        <v>(32570100)高島屋大阪店アルチビオ</v>
      </c>
      <c r="R6" s="74" t="n">
        <f aca="false">IF(LEFT(Q6,1)="(",IFERROR(VALUE(MID(Q6,2,FIND(")",Q6)-2)),""),"")</f>
        <v>32570100</v>
      </c>
      <c r="S6" s="75" t="n">
        <f aca="false">IF($R6="","",N(元データ_B!$B$4))</f>
        <v>88730</v>
      </c>
      <c r="T6" s="75" t="n">
        <f aca="false">IF($R6="","",N(元データ_B!$F$4))</f>
        <v>182500</v>
      </c>
      <c r="U6" s="74" t="str">
        <f aca="false">IF($R6="","",IF(COUNTIF(店舗マスタ!$B$5:$B$304,$R6)&gt;0,"登録済","未登録→マスタに追加"))</f>
        <v>登録済</v>
      </c>
    </row>
    <row r="7" customFormat="false" ht="15" hidden="false" customHeight="false" outlineLevel="0" collapsed="false">
      <c r="A7" s="74" t="n">
        <v>5</v>
      </c>
      <c r="B7" s="74" t="str">
        <f aca="false">IF(元データ_PB合計!$A$5="","",元データ_PB合計!$A$5)</f>
        <v>(32573700)近鉄百貨店上本町店ｽﾀｼﾞｵﾋﾟｯｺｰﾈ・ﾋﾟｯｺｰﾈｸﾗﾌ</v>
      </c>
      <c r="C7" s="74" t="n">
        <f aca="false">IF(LEFT(B7,1)="(",IFERROR(VALUE(MID(B7,2,FIND(")",B7)-2)),""),"")</f>
        <v>32573700</v>
      </c>
      <c r="D7" s="75" t="n">
        <f aca="false">IF($C7="","",N(元データ_PB合計!$B$5))</f>
        <v>2637800</v>
      </c>
      <c r="E7" s="75" t="n">
        <f aca="false">IF($C7="","",N(元データ_PB合計!$C$5))</f>
        <v>1950000</v>
      </c>
      <c r="F7" s="75" t="n">
        <f aca="false">IF($C7="","",N(元データ_PB合計!$F$5))</f>
        <v>1931500</v>
      </c>
      <c r="G7" s="74" t="str">
        <f aca="false">IF($C7="","",IF(COUNTIF(店舗マスタ!$B$5:$B$304,$C7)&gt;0,"登録済","未登録→マスタに追加"))</f>
        <v>登録済</v>
      </c>
      <c r="I7" s="74" t="n">
        <v>5</v>
      </c>
      <c r="J7" s="74" t="str">
        <f aca="false">IF(元データ_P!$A$5="","",元データ_P!$A$5)</f>
        <v>(32676300)新宿高島屋ｽﾀｼﾞｵﾋﾟｯｺｰﾈ・ﾋﾟｯｺｰﾈｸﾗﾌﾞ</v>
      </c>
      <c r="K7" s="74" t="n">
        <f aca="false">IF(LEFT(J7,1)="(",IFERROR(VALUE(MID(J7,2,FIND(")",J7)-2)),""),"")</f>
        <v>32676300</v>
      </c>
      <c r="L7" s="75" t="n">
        <f aca="false">IF($K7="","",N(元データ_P!$B$5))</f>
        <v>3285560</v>
      </c>
      <c r="M7" s="75" t="n">
        <f aca="false">IF($K7="","",N(元データ_P!$F$5))</f>
        <v>2162590</v>
      </c>
      <c r="N7" s="74" t="str">
        <f aca="false">IF($K7="","",IF(COUNTIF(店舗マスタ!$B$5:$B$304,$K7)&gt;0,"登録済","未登録→マスタに追加"))</f>
        <v>登録済</v>
      </c>
      <c r="P7" s="74" t="n">
        <v>5</v>
      </c>
      <c r="Q7" s="74" t="str">
        <f aca="false">IF(元データ_B!$A$5="","",元データ_B!$A$5)</f>
        <v>(32570700)西宮阪急店ピッコーネクラブ・アルチビオ</v>
      </c>
      <c r="R7" s="74" t="n">
        <f aca="false">IF(LEFT(Q7,1)="(",IFERROR(VALUE(MID(Q7,2,FIND(")",Q7)-2)),""),"")</f>
        <v>32570700</v>
      </c>
      <c r="S7" s="75" t="n">
        <f aca="false">IF($R7="","",N(元データ_B!$B$5))</f>
        <v>850860</v>
      </c>
      <c r="T7" s="75" t="n">
        <f aca="false">IF($R7="","",N(元データ_B!$F$5))</f>
        <v>375800</v>
      </c>
      <c r="U7" s="74" t="str">
        <f aca="false">IF($R7="","",IF(COUNTIF(店舗マスタ!$B$5:$B$304,$R7)&gt;0,"登録済","未登録→マスタに追加"))</f>
        <v>登録済</v>
      </c>
    </row>
    <row r="8" customFormat="false" ht="15" hidden="false" customHeight="false" outlineLevel="0" collapsed="false">
      <c r="A8" s="74" t="n">
        <v>6</v>
      </c>
      <c r="B8" s="74" t="str">
        <f aca="false">IF(元データ_PB合計!$A$6="","",元データ_PB合計!$A$6)</f>
        <v>(32676200)東武宇都宮百貨店ｽﾀｼﾞｵﾋﾟｯｺｰﾈ・ﾋﾟｯｺｰﾈｸﾗﾌﾞ</v>
      </c>
      <c r="C8" s="74" t="n">
        <f aca="false">IF(LEFT(B8,1)="(",IFERROR(VALUE(MID(B8,2,FIND(")",B8)-2)),""),"")</f>
        <v>32676200</v>
      </c>
      <c r="D8" s="75" t="n">
        <f aca="false">IF($C8="","",N(元データ_PB合計!$B$6))</f>
        <v>1843700</v>
      </c>
      <c r="E8" s="75" t="n">
        <f aca="false">IF($C8="","",N(元データ_PB合計!$C$6))</f>
        <v>1450000</v>
      </c>
      <c r="F8" s="75" t="n">
        <f aca="false">IF($C8="","",N(元データ_PB合計!$F$6))</f>
        <v>1179400</v>
      </c>
      <c r="G8" s="74" t="str">
        <f aca="false">IF($C8="","",IF(COUNTIF(店舗マスタ!$B$5:$B$304,$C8)&gt;0,"登録済","未登録→マスタに追加"))</f>
        <v>登録済</v>
      </c>
      <c r="I8" s="74" t="n">
        <v>6</v>
      </c>
      <c r="J8" s="74" t="str">
        <f aca="false">IF(元データ_P!$A$6="","",元データ_P!$A$6)</f>
        <v>(32676200)東武宇都宮百貨店ｽﾀｼﾞｵﾋﾟｯｺｰﾈ・ﾋﾟｯｺｰﾈｸﾗﾌﾞ</v>
      </c>
      <c r="K8" s="74" t="n">
        <f aca="false">IF(LEFT(J8,1)="(",IFERROR(VALUE(MID(J8,2,FIND(")",J8)-2)),""),"")</f>
        <v>32676200</v>
      </c>
      <c r="L8" s="75" t="n">
        <f aca="false">IF($K8="","",N(元データ_P!$B$6))</f>
        <v>1540400</v>
      </c>
      <c r="M8" s="75" t="n">
        <f aca="false">IF($K8="","",N(元データ_P!$F$6))</f>
        <v>988000</v>
      </c>
      <c r="N8" s="74" t="str">
        <f aca="false">IF($K8="","",IF(COUNTIF(店舗マスタ!$B$5:$B$304,$K8)&gt;0,"登録済","未登録→マスタに追加"))</f>
        <v>登録済</v>
      </c>
      <c r="P8" s="74" t="n">
        <v>6</v>
      </c>
      <c r="Q8" s="74" t="str">
        <f aca="false">IF(元データ_B!$A$6="","",元データ_B!$A$6)</f>
        <v>(32570800)高島屋京都店アルチビオ・ピッコーネクラブ</v>
      </c>
      <c r="R8" s="74" t="n">
        <f aca="false">IF(LEFT(Q8,1)="(",IFERROR(VALUE(MID(Q8,2,FIND(")",Q8)-2)),""),"")</f>
        <v>32570800</v>
      </c>
      <c r="S8" s="75" t="n">
        <f aca="false">IF($R8="","",N(元データ_B!$B$6))</f>
        <v>806260</v>
      </c>
      <c r="T8" s="75" t="n">
        <f aca="false">IF($R8="","",N(元データ_B!$F$6))</f>
        <v>712680</v>
      </c>
      <c r="U8" s="74" t="str">
        <f aca="false">IF($R8="","",IF(COUNTIF(店舗マスタ!$B$5:$B$304,$R8)&gt;0,"登録済","未登録→マスタに追加"))</f>
        <v>登録済</v>
      </c>
    </row>
    <row r="9" customFormat="false" ht="15" hidden="false" customHeight="false" outlineLevel="0" collapsed="false">
      <c r="A9" s="74" t="n">
        <v>7</v>
      </c>
      <c r="B9" s="74" t="str">
        <f aca="false">IF(元データ_PB合計!$A$7="","",元データ_PB合計!$A$7)</f>
        <v>(32676300)新宿高島屋ｽﾀｼﾞｵﾋﾟｯｺｰﾈ・ﾋﾟｯｺｰﾈｸﾗﾌﾞ</v>
      </c>
      <c r="C9" s="74" t="n">
        <f aca="false">IF(LEFT(B9,1)="(",IFERROR(VALUE(MID(B9,2,FIND(")",B9)-2)),""),"")</f>
        <v>32676300</v>
      </c>
      <c r="D9" s="75" t="n">
        <f aca="false">IF($C9="","",N(元データ_PB合計!$B$7))</f>
        <v>3285560</v>
      </c>
      <c r="E9" s="75" t="n">
        <f aca="false">IF($C9="","",N(元データ_PB合計!$C$7))</f>
        <v>2600000</v>
      </c>
      <c r="F9" s="75" t="n">
        <f aca="false">IF($C9="","",N(元データ_PB合計!$F$7))</f>
        <v>2608290</v>
      </c>
      <c r="G9" s="74" t="str">
        <f aca="false">IF($C9="","",IF(COUNTIF(店舗マスタ!$B$5:$B$304,$C9)&gt;0,"登録済","未登録→マスタに追加"))</f>
        <v>登録済</v>
      </c>
      <c r="I9" s="74" t="n">
        <v>7</v>
      </c>
      <c r="J9" s="74" t="str">
        <f aca="false">IF(元データ_P!$A$7="","",元データ_P!$A$7)</f>
        <v>(32674100)東武百貨店船橋店ｽﾀｼﾞｵﾋﾟｯｺｰﾈ・ﾋﾟｯｺｰﾈｸﾗﾌﾞ</v>
      </c>
      <c r="K9" s="74" t="n">
        <f aca="false">IF(LEFT(J9,1)="(",IFERROR(VALUE(MID(J9,2,FIND(")",J9)-2)),""),"")</f>
        <v>32674100</v>
      </c>
      <c r="L9" s="75" t="n">
        <f aca="false">IF($K9="","",N(元データ_P!$B$7))</f>
        <v>2039545</v>
      </c>
      <c r="M9" s="75" t="n">
        <f aca="false">IF($K9="","",N(元データ_P!$F$7))</f>
        <v>1484495</v>
      </c>
      <c r="N9" s="74" t="str">
        <f aca="false">IF($K9="","",IF(COUNTIF(店舗マスタ!$B$5:$B$304,$K9)&gt;0,"登録済","未登録→マスタに追加"))</f>
        <v>登録済</v>
      </c>
      <c r="P9" s="74" t="n">
        <v>7</v>
      </c>
      <c r="Q9" s="74" t="str">
        <f aca="false">IF(元データ_B!$A$7="","",元データ_B!$A$7)</f>
        <v>(32571600)ジェイアール名古屋タカシマヤ店アルチビオ</v>
      </c>
      <c r="R9" s="74" t="n">
        <f aca="false">IF(LEFT(Q9,1)="(",IFERROR(VALUE(MID(Q9,2,FIND(")",Q9)-2)),""),"")</f>
        <v>32571600</v>
      </c>
      <c r="S9" s="75" t="n">
        <f aca="false">IF($R9="","",N(元データ_B!$B$7))</f>
        <v>467190</v>
      </c>
      <c r="T9" s="75" t="n">
        <f aca="false">IF($R9="","",N(元データ_B!$F$7))</f>
        <v>213380</v>
      </c>
      <c r="U9" s="74" t="str">
        <f aca="false">IF($R9="","",IF(COUNTIF(店舗マスタ!$B$5:$B$304,$R9)&gt;0,"登録済","未登録→マスタに追加"))</f>
        <v>登録済</v>
      </c>
    </row>
    <row r="10" customFormat="false" ht="15" hidden="false" customHeight="false" outlineLevel="0" collapsed="false">
      <c r="A10" s="74" t="n">
        <v>8</v>
      </c>
      <c r="B10" s="74" t="str">
        <f aca="false">IF(元データ_PB合計!$A$8="","",元データ_PB合計!$A$8)</f>
        <v>(32580600)ラポルテ芦屋店ピッコーネ</v>
      </c>
      <c r="C10" s="74" t="n">
        <f aca="false">IF(LEFT(B10,1)="(",IFERROR(VALUE(MID(B10,2,FIND(")",B10)-2)),""),"")</f>
        <v>32580600</v>
      </c>
      <c r="D10" s="75" t="n">
        <f aca="false">IF($C10="","",N(元データ_PB合計!$B$8))</f>
        <v>3138950</v>
      </c>
      <c r="E10" s="75" t="n">
        <f aca="false">IF($C10="","",N(元データ_PB合計!$C$8))</f>
        <v>2500000</v>
      </c>
      <c r="F10" s="75" t="n">
        <f aca="false">IF($C10="","",N(元データ_PB合計!$F$8))</f>
        <v>2031171</v>
      </c>
      <c r="G10" s="74" t="str">
        <f aca="false">IF($C10="","",IF(COUNTIF(店舗マスタ!$B$5:$B$304,$C10)&gt;0,"登録済","未登録→マスタに追加"))</f>
        <v>登録済</v>
      </c>
      <c r="I10" s="74" t="n">
        <v>8</v>
      </c>
      <c r="J10" s="74" t="str">
        <f aca="false">IF(元データ_P!$A$8="","",元データ_P!$A$8)</f>
        <v>(32673500)日本橋三越本店アルチビオ</v>
      </c>
      <c r="K10" s="74" t="n">
        <f aca="false">IF(LEFT(J10,1)="(",IFERROR(VALUE(MID(J10,2,FIND(")",J10)-2)),""),"")</f>
        <v>32673500</v>
      </c>
      <c r="L10" s="75" t="n">
        <f aca="false">IF($K10="","",N(元データ_P!$B$8))</f>
        <v>2845200</v>
      </c>
      <c r="M10" s="75" t="n">
        <f aca="false">IF($K10="","",N(元データ_P!$F$8))</f>
        <v>2619200</v>
      </c>
      <c r="N10" s="74" t="str">
        <f aca="false">IF($K10="","",IF(COUNTIF(店舗マスタ!$B$5:$B$304,$K10)&gt;0,"登録済","未登録→マスタに追加"))</f>
        <v>登録済</v>
      </c>
      <c r="P10" s="74" t="n">
        <v>8</v>
      </c>
      <c r="Q10" s="74" t="str">
        <f aca="false">IF(元データ_B!$A$8="","",元データ_B!$A$8)</f>
        <v>(32572200)松坂屋名古屋店アルチビオ・ピッコーネクラ</v>
      </c>
      <c r="R10" s="74" t="n">
        <f aca="false">IF(LEFT(Q10,1)="(",IFERROR(VALUE(MID(Q10,2,FIND(")",Q10)-2)),""),"")</f>
        <v>32572200</v>
      </c>
      <c r="S10" s="75" t="n">
        <f aca="false">IF($R10="","",N(元データ_B!$B$8))</f>
        <v>1062930</v>
      </c>
      <c r="T10" s="75" t="n">
        <f aca="false">IF($R10="","",N(元データ_B!$F$8))</f>
        <v>1011060</v>
      </c>
      <c r="U10" s="74" t="str">
        <f aca="false">IF($R10="","",IF(COUNTIF(店舗マスタ!$B$5:$B$304,$R10)&gt;0,"登録済","未登録→マスタに追加"))</f>
        <v>登録済</v>
      </c>
    </row>
    <row r="11" customFormat="false" ht="15" hidden="false" customHeight="false" outlineLevel="0" collapsed="false">
      <c r="A11" s="74" t="n">
        <v>9</v>
      </c>
      <c r="B11" s="74" t="str">
        <f aca="false">IF(元データ_PB合計!$A$9="","",元データ_PB合計!$A$9)</f>
        <v>(32670600)高島屋新宿店アルチビオ</v>
      </c>
      <c r="C11" s="74" t="n">
        <f aca="false">IF(LEFT(B11,1)="(",IFERROR(VALUE(MID(B11,2,FIND(")",B11)-2)),""),"")</f>
        <v>32670600</v>
      </c>
      <c r="D11" s="75" t="n">
        <f aca="false">IF($C11="","",N(元データ_PB合計!$B$9))</f>
        <v>2991974</v>
      </c>
      <c r="E11" s="75" t="n">
        <f aca="false">IF($C11="","",N(元データ_PB合計!$C$9))</f>
        <v>2571000</v>
      </c>
      <c r="F11" s="75" t="n">
        <f aca="false">IF($C11="","",N(元データ_PB合計!$F$9))</f>
        <v>2496485</v>
      </c>
      <c r="G11" s="74" t="str">
        <f aca="false">IF($C11="","",IF(COUNTIF(店舗マスタ!$B$5:$B$304,$C11)&gt;0,"登録済","未登録→マスタに追加"))</f>
        <v>登録済</v>
      </c>
      <c r="I11" s="74" t="n">
        <v>9</v>
      </c>
      <c r="J11" s="74" t="str">
        <f aca="false">IF(元データ_P!$A$9="","",元データ_P!$A$9)</f>
        <v>(32670600)高島屋新宿店アルチビオ</v>
      </c>
      <c r="K11" s="74" t="n">
        <f aca="false">IF(LEFT(J11,1)="(",IFERROR(VALUE(MID(J11,2,FIND(")",J11)-2)),""),"")</f>
        <v>32670600</v>
      </c>
      <c r="L11" s="75" t="n">
        <f aca="false">IF($K11="","",N(元データ_P!$B$9))</f>
        <v>2613574</v>
      </c>
      <c r="M11" s="75" t="n">
        <f aca="false">IF($K11="","",N(元データ_P!$F$9))</f>
        <v>2460585</v>
      </c>
      <c r="N11" s="74" t="str">
        <f aca="false">IF($K11="","",IF(COUNTIF(店舗マスタ!$B$5:$B$304,$K11)&gt;0,"登録済","未登録→マスタに追加"))</f>
        <v>登録済</v>
      </c>
      <c r="P11" s="74" t="n">
        <v>9</v>
      </c>
      <c r="Q11" s="74" t="str">
        <f aca="false">IF(元データ_B!$A$9="","",元データ_B!$A$9)</f>
        <v>(32572600)大丸福岡天神店ｽﾀｼﾞｵﾋﾟｯｺｰﾈ・ﾋﾟｯｺｰﾈｸﾗﾌﾞ</v>
      </c>
      <c r="R11" s="74" t="n">
        <f aca="false">IF(LEFT(Q11,1)="(",IFERROR(VALUE(MID(Q11,2,FIND(")",Q11)-2)),""),"")</f>
        <v>32572600</v>
      </c>
      <c r="S11" s="75" t="n">
        <f aca="false">IF($R11="","",N(元データ_B!$B$9))</f>
        <v>401700</v>
      </c>
      <c r="T11" s="75" t="n">
        <f aca="false">IF($R11="","",N(元データ_B!$F$9))</f>
        <v>203300</v>
      </c>
      <c r="U11" s="74" t="str">
        <f aca="false">IF($R11="","",IF(COUNTIF(店舗マスタ!$B$5:$B$304,$R11)&gt;0,"登録済","未登録→マスタに追加"))</f>
        <v>登録済</v>
      </c>
    </row>
    <row r="12" customFormat="false" ht="15" hidden="false" customHeight="false" outlineLevel="0" collapsed="false">
      <c r="A12" s="74" t="n">
        <v>10</v>
      </c>
      <c r="B12" s="74" t="str">
        <f aca="false">IF(元データ_PB合計!$A$10="","",元データ_PB合計!$A$10)</f>
        <v>(32673500)日本橋三越本店アルチビオ</v>
      </c>
      <c r="C12" s="74" t="n">
        <f aca="false">IF(LEFT(B12,1)="(",IFERROR(VALUE(MID(B12,2,FIND(")",B12)-2)),""),"")</f>
        <v>32673500</v>
      </c>
      <c r="D12" s="75" t="n">
        <f aca="false">IF($C12="","",N(元データ_PB合計!$B$10))</f>
        <v>3069240</v>
      </c>
      <c r="E12" s="75" t="n">
        <f aca="false">IF($C12="","",N(元データ_PB合計!$C$10))</f>
        <v>2691000</v>
      </c>
      <c r="F12" s="75" t="n">
        <f aca="false">IF($C12="","",N(元データ_PB合計!$F$10))</f>
        <v>2647100</v>
      </c>
      <c r="G12" s="74" t="str">
        <f aca="false">IF($C12="","",IF(COUNTIF(店舗マスタ!$B$5:$B$304,$C12)&gt;0,"登録済","未登録→マスタに追加"))</f>
        <v>登録済</v>
      </c>
      <c r="I12" s="74" t="n">
        <v>10</v>
      </c>
      <c r="J12" s="74" t="str">
        <f aca="false">IF(元データ_P!$A$10="","",元データ_P!$A$10)</f>
        <v>(32674500)仙台三越ｽﾀｼﾞｵﾋﾟｯｺｰﾈ・ﾋﾟｯｺｰﾈｸﾗﾌﾞ</v>
      </c>
      <c r="K12" s="74" t="n">
        <f aca="false">IF(LEFT(J12,1)="(",IFERROR(VALUE(MID(J12,2,FIND(")",J12)-2)),""),"")</f>
        <v>32674500</v>
      </c>
      <c r="L12" s="75" t="n">
        <f aca="false">IF($K12="","",N(元データ_P!$B$10))</f>
        <v>1266300</v>
      </c>
      <c r="M12" s="75" t="n">
        <f aca="false">IF($K12="","",N(元データ_P!$F$10))</f>
        <v>921000</v>
      </c>
      <c r="N12" s="74" t="str">
        <f aca="false">IF($K12="","",IF(COUNTIF(店舗マスタ!$B$5:$B$304,$K12)&gt;0,"登録済","未登録→マスタに追加"))</f>
        <v>登録済</v>
      </c>
      <c r="P12" s="74" t="n">
        <v>10</v>
      </c>
      <c r="Q12" s="74" t="str">
        <f aca="false">IF(元データ_B!$A$10="","",元データ_B!$A$10)</f>
        <v>(32573300)あべのハルカス近鉄本店アルチビオ・ピッコ</v>
      </c>
      <c r="R12" s="74" t="n">
        <f aca="false">IF(LEFT(Q12,1)="(",IFERROR(VALUE(MID(Q12,2,FIND(")",Q12)-2)),""),"")</f>
        <v>32573300</v>
      </c>
      <c r="S12" s="75" t="n">
        <f aca="false">IF($R12="","",N(元データ_B!$B$10))</f>
        <v>488340</v>
      </c>
      <c r="T12" s="75" t="n">
        <f aca="false">IF($R12="","",N(元データ_B!$F$10))</f>
        <v>211000</v>
      </c>
      <c r="U12" s="74" t="str">
        <f aca="false">IF($R12="","",IF(COUNTIF(店舗マスタ!$B$5:$B$304,$R12)&gt;0,"登録済","未登録→マスタに追加"))</f>
        <v>登録済</v>
      </c>
    </row>
    <row r="13" customFormat="false" ht="15" hidden="false" customHeight="false" outlineLevel="0" collapsed="false">
      <c r="A13" s="74" t="n">
        <v>11</v>
      </c>
      <c r="B13" s="74" t="str">
        <f aca="false">IF(元データ_PB合計!$A$11="","",元データ_PB合計!$A$11)</f>
        <v>(32674100)東武百貨店船橋店ｽﾀｼﾞｵﾋﾟｯｺｰﾈ・ﾋﾟｯｺｰﾈｸﾗﾌﾞ</v>
      </c>
      <c r="C13" s="74" t="n">
        <f aca="false">IF(LEFT(B13,1)="(",IFERROR(VALUE(MID(B13,2,FIND(")",B13)-2)),""),"")</f>
        <v>32674100</v>
      </c>
      <c r="D13" s="75" t="n">
        <f aca="false">IF($C13="","",N(元データ_PB合計!$B$11))</f>
        <v>2155045</v>
      </c>
      <c r="E13" s="75" t="n">
        <f aca="false">IF($C13="","",N(元データ_PB合計!$C$11))</f>
        <v>1923000</v>
      </c>
      <c r="F13" s="75" t="n">
        <f aca="false">IF($C13="","",N(元データ_PB合計!$F$11))</f>
        <v>1662095</v>
      </c>
      <c r="G13" s="74" t="str">
        <f aca="false">IF($C13="","",IF(COUNTIF(店舗マスタ!$B$5:$B$304,$C13)&gt;0,"登録済","未登録→マスタに追加"))</f>
        <v>登録済</v>
      </c>
      <c r="I13" s="74" t="n">
        <v>11</v>
      </c>
      <c r="J13" s="74" t="str">
        <f aca="false">IF(元データ_P!$A$11="","",元データ_P!$A$11)</f>
        <v>(32575700)名古屋三越栄店スタジオピッコーネ</v>
      </c>
      <c r="K13" s="74" t="n">
        <f aca="false">IF(LEFT(J13,1)="(",IFERROR(VALUE(MID(J13,2,FIND(")",J13)-2)),""),"")</f>
        <v>32575700</v>
      </c>
      <c r="L13" s="75" t="n">
        <f aca="false">IF($K13="","",N(元データ_P!$B$11))</f>
        <v>4185000</v>
      </c>
      <c r="M13" s="75" t="n">
        <f aca="false">IF($K13="","",N(元データ_P!$F$11))</f>
        <v>3953300</v>
      </c>
      <c r="N13" s="74" t="str">
        <f aca="false">IF($K13="","",IF(COUNTIF(店舗マスタ!$B$5:$B$304,$K13)&gt;0,"登録済","未登録→マスタに追加"))</f>
        <v>登録済</v>
      </c>
      <c r="P13" s="74" t="n">
        <v>11</v>
      </c>
      <c r="Q13" s="74" t="str">
        <f aca="false">IF(元データ_B!$A$11="","",元データ_B!$A$11)</f>
        <v>(32573400)近鉄百貨店和歌山店ｽﾀｼﾞｵﾋﾟｯｺｰﾈ・ﾋﾟｯｺｰﾈｸﾗﾌ</v>
      </c>
      <c r="R13" s="74" t="n">
        <f aca="false">IF(LEFT(Q13,1)="(",IFERROR(VALUE(MID(Q13,2,FIND(")",Q13)-2)),""),"")</f>
        <v>32573400</v>
      </c>
      <c r="S13" s="75" t="n">
        <f aca="false">IF($R13="","",N(元データ_B!$B$11))</f>
        <v>130400</v>
      </c>
      <c r="T13" s="75" t="n">
        <f aca="false">IF($R13="","",N(元データ_B!$F$11))</f>
        <v>257700</v>
      </c>
      <c r="U13" s="74" t="str">
        <f aca="false">IF($R13="","",IF(COUNTIF(店舗マスタ!$B$5:$B$304,$R13)&gt;0,"登録済","未登録→マスタに追加"))</f>
        <v>登録済</v>
      </c>
    </row>
    <row r="14" customFormat="false" ht="15" hidden="false" customHeight="false" outlineLevel="0" collapsed="false">
      <c r="A14" s="74" t="n">
        <v>12</v>
      </c>
      <c r="B14" s="74" t="str">
        <f aca="false">IF(元データ_PB合計!$A$12="","",元データ_PB合計!$A$12)</f>
        <v>(32570700)西宮阪急店ピッコーネクラブ・アルチビオ</v>
      </c>
      <c r="C14" s="74" t="n">
        <f aca="false">IF(LEFT(B14,1)="(",IFERROR(VALUE(MID(B14,2,FIND(")",B14)-2)),""),"")</f>
        <v>32570700</v>
      </c>
      <c r="D14" s="75" t="n">
        <f aca="false">IF($C14="","",N(元データ_PB合計!$B$12))</f>
        <v>3113117</v>
      </c>
      <c r="E14" s="75" t="n">
        <f aca="false">IF($C14="","",N(元データ_PB合計!$C$12))</f>
        <v>2820000</v>
      </c>
      <c r="F14" s="75" t="n">
        <f aca="false">IF($C14="","",N(元データ_PB合計!$F$12))</f>
        <v>1836100</v>
      </c>
      <c r="G14" s="74" t="str">
        <f aca="false">IF($C14="","",IF(COUNTIF(店舗マスタ!$B$5:$B$304,$C14)&gt;0,"登録済","未登録→マスタに追加"))</f>
        <v>登録済</v>
      </c>
      <c r="I14" s="74" t="n">
        <v>12</v>
      </c>
      <c r="J14" s="74" t="str">
        <f aca="false">IF(元データ_P!$A$12="","",元データ_P!$A$12)</f>
        <v>(32673300)松屋銀座本店ｽﾀｼﾞｵﾋﾟｯｺｰﾈ・ﾋﾟｯｺｰﾈｸﾗﾌﾞ</v>
      </c>
      <c r="K14" s="74" t="n">
        <f aca="false">IF(LEFT(J14,1)="(",IFERROR(VALUE(MID(J14,2,FIND(")",J14)-2)),""),"")</f>
        <v>32673300</v>
      </c>
      <c r="L14" s="75" t="n">
        <f aca="false">IF($K14="","",N(元データ_P!$B$12))</f>
        <v>2938030</v>
      </c>
      <c r="M14" s="75" t="n">
        <f aca="false">IF($K14="","",N(元データ_P!$F$12))</f>
        <v>2786545</v>
      </c>
      <c r="N14" s="74" t="str">
        <f aca="false">IF($K14="","",IF(COUNTIF(店舗マスタ!$B$5:$B$304,$K14)&gt;0,"登録済","未登録→マスタに追加"))</f>
        <v>登録済</v>
      </c>
      <c r="P14" s="74" t="n">
        <v>12</v>
      </c>
      <c r="Q14" s="74" t="str">
        <f aca="false">IF(元データ_B!$A$12="","",元データ_B!$A$12)</f>
        <v>(32573700)近鉄百貨店上本町店ｽﾀｼﾞｵﾋﾟｯｺｰﾈ・ﾋﾟｯｺｰﾈｸﾗﾌ</v>
      </c>
      <c r="R14" s="74" t="n">
        <f aca="false">IF(LEFT(Q14,1)="(",IFERROR(VALUE(MID(Q14,2,FIND(")",Q14)-2)),""),"")</f>
        <v>32573700</v>
      </c>
      <c r="S14" s="75" t="n">
        <f aca="false">IF($R14="","",N(元データ_B!$B$12))</f>
        <v>71400</v>
      </c>
      <c r="T14" s="75" t="n">
        <f aca="false">IF($R14="","",N(元データ_B!$F$12))</f>
        <v>372400</v>
      </c>
      <c r="U14" s="74" t="str">
        <f aca="false">IF($R14="","",IF(COUNTIF(店舗マスタ!$B$5:$B$304,$R14)&gt;0,"登録済","未登録→マスタに追加"))</f>
        <v>登録済</v>
      </c>
    </row>
    <row r="15" customFormat="false" ht="15" hidden="false" customHeight="false" outlineLevel="0" collapsed="false">
      <c r="A15" s="74" t="n">
        <v>13</v>
      </c>
      <c r="B15" s="74" t="str">
        <f aca="false">IF(元データ_PB合計!$A$13="","",元データ_PB合計!$A$13)</f>
        <v>(32573800)近鉄百貨店奈良店ｽﾀｼﾞｵﾋﾟｯｺｰﾈ・ﾋﾟｯｺｰﾈｸﾗﾌﾞ</v>
      </c>
      <c r="C15" s="74" t="n">
        <f aca="false">IF(LEFT(B15,1)="(",IFERROR(VALUE(MID(B15,2,FIND(")",B15)-2)),""),"")</f>
        <v>32573800</v>
      </c>
      <c r="D15" s="75" t="n">
        <f aca="false">IF($C15="","",N(元データ_PB合計!$B$13))</f>
        <v>3204200</v>
      </c>
      <c r="E15" s="75" t="n">
        <f aca="false">IF($C15="","",N(元データ_PB合計!$C$13))</f>
        <v>3150000</v>
      </c>
      <c r="F15" s="75" t="n">
        <f aca="false">IF($C15="","",N(元データ_PB合計!$F$13))</f>
        <v>3186800</v>
      </c>
      <c r="G15" s="74" t="str">
        <f aca="false">IF($C15="","",IF(COUNTIF(店舗マスタ!$B$5:$B$304,$C15)&gt;0,"登録済","未登録→マスタに追加"))</f>
        <v>登録済</v>
      </c>
      <c r="I15" s="74" t="n">
        <v>13</v>
      </c>
      <c r="J15" s="74" t="str">
        <f aca="false">IF(元データ_P!$A$13="","",元データ_P!$A$13)</f>
        <v>(32670900)東武百貨店池袋店ｽﾀｼﾞｵﾋﾟｯｺｰﾈ・ﾋﾟｯｺｰﾈｸﾗﾌﾞ</v>
      </c>
      <c r="K15" s="74" t="n">
        <f aca="false">IF(LEFT(J15,1)="(",IFERROR(VALUE(MID(J15,2,FIND(")",J15)-2)),""),"")</f>
        <v>32670900</v>
      </c>
      <c r="L15" s="75" t="n">
        <f aca="false">IF($K15="","",N(元データ_P!$B$13))</f>
        <v>5052300</v>
      </c>
      <c r="M15" s="75" t="n">
        <f aca="false">IF($K15="","",N(元データ_P!$F$13))</f>
        <v>4861700</v>
      </c>
      <c r="N15" s="74" t="str">
        <f aca="false">IF($K15="","",IF(COUNTIF(店舗マスタ!$B$5:$B$304,$K15)&gt;0,"登録済","未登録→マスタに追加"))</f>
        <v>登録済</v>
      </c>
      <c r="P15" s="74" t="n">
        <v>13</v>
      </c>
      <c r="Q15" s="74" t="str">
        <f aca="false">IF(元データ_B!$A$13="","",元データ_B!$A$13)</f>
        <v>(32573800)近鉄百貨店奈良店ｽﾀｼﾞｵﾋﾟｯｺｰﾈ・ﾋﾟｯｺｰﾈｸﾗﾌﾞ</v>
      </c>
      <c r="R15" s="74" t="n">
        <f aca="false">IF(LEFT(Q15,1)="(",IFERROR(VALUE(MID(Q15,2,FIND(")",Q15)-2)),""),"")</f>
        <v>32573800</v>
      </c>
      <c r="S15" s="75" t="n">
        <f aca="false">IF($R15="","",N(元データ_B!$B$13))</f>
        <v>665530</v>
      </c>
      <c r="T15" s="75" t="n">
        <f aca="false">IF($R15="","",N(元データ_B!$F$13))</f>
        <v>258400</v>
      </c>
      <c r="U15" s="74" t="str">
        <f aca="false">IF($R15="","",IF(COUNTIF(店舗マスタ!$B$5:$B$304,$R15)&gt;0,"登録済","未登録→マスタに追加"))</f>
        <v>登録済</v>
      </c>
    </row>
    <row r="16" customFormat="false" ht="15" hidden="false" customHeight="false" outlineLevel="0" collapsed="false">
      <c r="A16" s="74" t="n">
        <v>14</v>
      </c>
      <c r="B16" s="74" t="str">
        <f aca="false">IF(元データ_PB合計!$A$14="","",元データ_PB合計!$A$14)</f>
        <v>(32575700)名古屋三越栄店スタジオピッコーネ</v>
      </c>
      <c r="C16" s="74" t="n">
        <f aca="false">IF(LEFT(B16,1)="(",IFERROR(VALUE(MID(B16,2,FIND(")",B16)-2)),""),"")</f>
        <v>32575700</v>
      </c>
      <c r="D16" s="75" t="n">
        <f aca="false">IF($C16="","",N(元データ_PB合計!$B$14))</f>
        <v>4266900</v>
      </c>
      <c r="E16" s="75" t="n">
        <f aca="false">IF($C16="","",N(元データ_PB合計!$C$14))</f>
        <v>4200000</v>
      </c>
      <c r="F16" s="75" t="n">
        <f aca="false">IF($C16="","",N(元データ_PB合計!$F$14))</f>
        <v>4153200</v>
      </c>
      <c r="G16" s="74" t="str">
        <f aca="false">IF($C16="","",IF(COUNTIF(店舗マスタ!$B$5:$B$304,$C16)&gt;0,"登録済","未登録→マスタに追加"))</f>
        <v>登録済</v>
      </c>
      <c r="I16" s="74" t="n">
        <v>14</v>
      </c>
      <c r="J16" s="74" t="str">
        <f aca="false">IF(元データ_P!$A$14="","",元データ_P!$A$14)</f>
        <v>(32570100)高島屋大阪店アルチビオ</v>
      </c>
      <c r="K16" s="74" t="n">
        <f aca="false">IF(LEFT(J16,1)="(",IFERROR(VALUE(MID(J16,2,FIND(")",J16)-2)),""),"")</f>
        <v>32570100</v>
      </c>
      <c r="L16" s="75" t="n">
        <f aca="false">IF($K16="","",N(元データ_P!$B$14))</f>
        <v>1959835</v>
      </c>
      <c r="M16" s="75" t="n">
        <f aca="false">IF($K16="","",N(元データ_P!$F$14))</f>
        <v>1916000</v>
      </c>
      <c r="N16" s="74" t="str">
        <f aca="false">IF($K16="","",IF(COUNTIF(店舗マスタ!$B$5:$B$304,$K16)&gt;0,"登録済","未登録→マスタに追加"))</f>
        <v>登録済</v>
      </c>
      <c r="P16" s="74" t="n">
        <v>14</v>
      </c>
      <c r="Q16" s="74" t="str">
        <f aca="false">IF(元データ_B!$A$14="","",元データ_B!$A$14)</f>
        <v>(32573900)近鉄百貨店橿原店スタジオピッコーネ</v>
      </c>
      <c r="R16" s="74" t="n">
        <f aca="false">IF(LEFT(Q16,1)="(",IFERROR(VALUE(MID(Q16,2,FIND(")",Q16)-2)),""),"")</f>
        <v>32573900</v>
      </c>
      <c r="S16" s="75" t="n">
        <f aca="false">IF($R16="","",N(元データ_B!$B$14))</f>
        <v>705400</v>
      </c>
      <c r="T16" s="75" t="n">
        <f aca="false">IF($R16="","",N(元データ_B!$F$14))</f>
        <v>416400</v>
      </c>
      <c r="U16" s="74" t="str">
        <f aca="false">IF($R16="","",IF(COUNTIF(店舗マスタ!$B$5:$B$304,$R16)&gt;0,"登録済","未登録→マスタに追加"))</f>
        <v>登録済</v>
      </c>
    </row>
    <row r="17" customFormat="false" ht="15" hidden="false" customHeight="false" outlineLevel="0" collapsed="false">
      <c r="A17" s="74" t="n">
        <v>15</v>
      </c>
      <c r="B17" s="74" t="str">
        <f aca="false">IF(元データ_PB合計!$A$15="","",元データ_PB合計!$A$15)</f>
        <v>(32674500)仙台三越ｽﾀｼﾞｵﾋﾟｯｺｰﾈ・ﾋﾟｯｺｰﾈｸﾗﾌﾞ</v>
      </c>
      <c r="C17" s="74" t="n">
        <f aca="false">IF(LEFT(B17,1)="(",IFERROR(VALUE(MID(B17,2,FIND(")",B17)-2)),""),"")</f>
        <v>32674500</v>
      </c>
      <c r="D17" s="75" t="n">
        <f aca="false">IF($C17="","",N(元データ_PB合計!$B$15))</f>
        <v>1266300</v>
      </c>
      <c r="E17" s="75" t="n">
        <f aca="false">IF($C17="","",N(元データ_PB合計!$C$15))</f>
        <v>1250000</v>
      </c>
      <c r="F17" s="75" t="n">
        <f aca="false">IF($C17="","",N(元データ_PB合計!$F$15))</f>
        <v>948000</v>
      </c>
      <c r="G17" s="74" t="str">
        <f aca="false">IF($C17="","",IF(COUNTIF(店舗マスタ!$B$5:$B$304,$C17)&gt;0,"登録済","未登録→マスタに追加"))</f>
        <v>登録済</v>
      </c>
      <c r="I17" s="74" t="n">
        <v>15</v>
      </c>
      <c r="J17" s="74" t="str">
        <f aca="false">IF(元データ_P!$A$15="","",元データ_P!$A$15)</f>
        <v>(32671900)松坂屋上野店ｽﾀｼﾞｵﾋﾟｯｺｰﾈ・ﾋﾟｯｺｰﾈｸﾗﾌﾞ</v>
      </c>
      <c r="K17" s="74" t="n">
        <f aca="false">IF(LEFT(J17,1)="(",IFERROR(VALUE(MID(J17,2,FIND(")",J17)-2)),""),"")</f>
        <v>32671900</v>
      </c>
      <c r="L17" s="75" t="n">
        <f aca="false">IF($K17="","",N(元データ_P!$B$15))</f>
        <v>1797020</v>
      </c>
      <c r="M17" s="75" t="n">
        <f aca="false">IF($K17="","",N(元データ_P!$F$15))</f>
        <v>1826860</v>
      </c>
      <c r="N17" s="74" t="str">
        <f aca="false">IF($K17="","",IF(COUNTIF(店舗マスタ!$B$5:$B$304,$K17)&gt;0,"登録済","未登録→マスタに追加"))</f>
        <v>登録済</v>
      </c>
      <c r="P17" s="74" t="n">
        <v>15</v>
      </c>
      <c r="Q17" s="74" t="str">
        <f aca="false">IF(元データ_B!$A$15="","",元データ_B!$A$15)</f>
        <v>(32574100)広島三越店スタジオピッコーネ</v>
      </c>
      <c r="R17" s="74" t="n">
        <f aca="false">IF(LEFT(Q17,1)="(",IFERROR(VALUE(MID(Q17,2,FIND(")",Q17)-2)),""),"")</f>
        <v>32574100</v>
      </c>
      <c r="S17" s="75" t="n">
        <f aca="false">IF($R17="","",N(元データ_B!$B$15))</f>
        <v>368000</v>
      </c>
      <c r="T17" s="75" t="n">
        <f aca="false">IF($R17="","",N(元データ_B!$F$15))</f>
        <v>116100</v>
      </c>
      <c r="U17" s="74" t="str">
        <f aca="false">IF($R17="","",IF(COUNTIF(店舗マスタ!$B$5:$B$304,$R17)&gt;0,"登録済","未登録→マスタに追加"))</f>
        <v>登録済</v>
      </c>
    </row>
    <row r="18" customFormat="false" ht="15" hidden="false" customHeight="false" outlineLevel="0" collapsed="false">
      <c r="A18" s="74" t="n">
        <v>16</v>
      </c>
      <c r="B18" s="74" t="str">
        <f aca="false">IF(元データ_PB合計!$A$16="","",元データ_PB合計!$A$16)</f>
        <v>(32675700)静岡伊勢丹ｽﾀｼﾞｵﾋﾟｯｺｰﾈ・ﾋﾟｯｺｰﾈｸﾗﾌﾞ</v>
      </c>
      <c r="C18" s="74" t="n">
        <f aca="false">IF(LEFT(B18,1)="(",IFERROR(VALUE(MID(B18,2,FIND(")",B18)-2)),""),"")</f>
        <v>32675700</v>
      </c>
      <c r="D18" s="75" t="n">
        <f aca="false">IF($C18="","",N(元データ_PB合計!$B$16))</f>
        <v>1267300</v>
      </c>
      <c r="E18" s="75" t="n">
        <f aca="false">IF($C18="","",N(元データ_PB合計!$C$16))</f>
        <v>1260000</v>
      </c>
      <c r="F18" s="75" t="n">
        <f aca="false">IF($C18="","",N(元データ_PB合計!$F$16))</f>
        <v>910300</v>
      </c>
      <c r="G18" s="74" t="str">
        <f aca="false">IF($C18="","",IF(COUNTIF(店舗マスタ!$B$5:$B$304,$C18)&gt;0,"登録済","未登録→マスタに追加"))</f>
        <v>登録済</v>
      </c>
      <c r="I18" s="74" t="n">
        <v>16</v>
      </c>
      <c r="J18" s="74" t="str">
        <f aca="false">IF(元データ_P!$A$16="","",元データ_P!$A$16)</f>
        <v>(32573200)あべのハルカス近鉄本店スタジオピッコーネ</v>
      </c>
      <c r="K18" s="74" t="n">
        <f aca="false">IF(LEFT(J18,1)="(",IFERROR(VALUE(MID(J18,2,FIND(")",J18)-2)),""),"")</f>
        <v>32573200</v>
      </c>
      <c r="L18" s="75" t="n">
        <f aca="false">IF($K18="","",N(元データ_P!$B$16))</f>
        <v>3507580</v>
      </c>
      <c r="M18" s="75" t="n">
        <f aca="false">IF($K18="","",N(元データ_P!$F$16))</f>
        <v>4003095</v>
      </c>
      <c r="N18" s="74" t="str">
        <f aca="false">IF($K18="","",IF(COUNTIF(店舗マスタ!$B$5:$B$304,$K18)&gt;0,"登録済","未登録→マスタに追加"))</f>
        <v>登録済</v>
      </c>
      <c r="P18" s="74" t="n">
        <v>16</v>
      </c>
      <c r="Q18" s="74" t="str">
        <f aca="false">IF(元データ_B!$A$16="","",元データ_B!$A$16)</f>
        <v>(32575700)名古屋三越栄店スタジオピッコーネ</v>
      </c>
      <c r="R18" s="74" t="n">
        <f aca="false">IF(LEFT(Q18,1)="(",IFERROR(VALUE(MID(Q18,2,FIND(")",Q18)-2)),""),"")</f>
        <v>32575700</v>
      </c>
      <c r="S18" s="75" t="n">
        <f aca="false">IF($R18="","",N(元データ_B!$B$16))</f>
        <v>81900</v>
      </c>
      <c r="T18" s="75" t="n">
        <f aca="false">IF($R18="","",N(元データ_B!$F$16))</f>
        <v>199900</v>
      </c>
      <c r="U18" s="74" t="str">
        <f aca="false">IF($R18="","",IF(COUNTIF(店舗マスタ!$B$5:$B$304,$R18)&gt;0,"登録済","未登録→マスタに追加"))</f>
        <v>登録済</v>
      </c>
    </row>
    <row r="19" customFormat="false" ht="15" hidden="false" customHeight="false" outlineLevel="0" collapsed="false">
      <c r="A19" s="74" t="n">
        <v>17</v>
      </c>
      <c r="B19" s="74" t="str">
        <f aca="false">IF(元データ_PB合計!$A$17="","",元データ_PB合計!$A$17)</f>
        <v>(32570800)高島屋京都店アルチビオ・ピッコーネクラブ</v>
      </c>
      <c r="C19" s="74" t="n">
        <f aca="false">IF(LEFT(B19,1)="(",IFERROR(VALUE(MID(B19,2,FIND(")",B19)-2)),""),"")</f>
        <v>32570800</v>
      </c>
      <c r="D19" s="75" t="n">
        <f aca="false">IF($C19="","",N(元データ_PB合計!$B$17))</f>
        <v>2791782</v>
      </c>
      <c r="E19" s="75" t="n">
        <f aca="false">IF($C19="","",N(元データ_PB合計!$C$17))</f>
        <v>2782000</v>
      </c>
      <c r="F19" s="75" t="n">
        <f aca="false">IF($C19="","",N(元データ_PB合計!$F$17))</f>
        <v>2122155</v>
      </c>
      <c r="G19" s="74" t="str">
        <f aca="false">IF($C19="","",IF(COUNTIF(店舗マスタ!$B$5:$B$304,$C19)&gt;0,"登録済","未登録→マスタに追加"))</f>
        <v>登録済</v>
      </c>
      <c r="I19" s="74" t="n">
        <v>17</v>
      </c>
      <c r="J19" s="74" t="str">
        <f aca="false">IF(元データ_P!$A$17="","",元データ_P!$A$17)</f>
        <v>(32573800)近鉄百貨店奈良店ｽﾀｼﾞｵﾋﾟｯｺｰﾈ・ﾋﾟｯｺｰﾈｸﾗﾌﾞ</v>
      </c>
      <c r="K19" s="74" t="n">
        <f aca="false">IF(LEFT(J19,1)="(",IFERROR(VALUE(MID(J19,2,FIND(")",J19)-2)),""),"")</f>
        <v>32573800</v>
      </c>
      <c r="L19" s="75" t="n">
        <f aca="false">IF($K19="","",N(元データ_P!$B$17))</f>
        <v>2538670</v>
      </c>
      <c r="M19" s="75" t="n">
        <f aca="false">IF($K19="","",N(元データ_P!$F$17))</f>
        <v>2928400</v>
      </c>
      <c r="N19" s="74" t="str">
        <f aca="false">IF($K19="","",IF(COUNTIF(店舗マスタ!$B$5:$B$304,$K19)&gt;0,"登録済","未登録→マスタに追加"))</f>
        <v>登録済</v>
      </c>
      <c r="P19" s="74" t="n">
        <v>17</v>
      </c>
      <c r="Q19" s="74" t="str">
        <f aca="false">IF(元データ_B!$A$17="","",元データ_B!$A$17)</f>
        <v>(32580400)ハービスPLAZA店アルチビオ</v>
      </c>
      <c r="R19" s="74" t="n">
        <f aca="false">IF(LEFT(Q19,1)="(",IFERROR(VALUE(MID(Q19,2,FIND(")",Q19)-2)),""),"")</f>
        <v>32580400</v>
      </c>
      <c r="S19" s="75" t="n">
        <f aca="false">IF($R19="","",N(元データ_B!$B$17))</f>
        <v>976000</v>
      </c>
      <c r="T19" s="75" t="n">
        <f aca="false">IF($R19="","",N(元データ_B!$F$17))</f>
        <v>1761750</v>
      </c>
      <c r="U19" s="74" t="str">
        <f aca="false">IF($R19="","",IF(COUNTIF(店舗マスタ!$B$5:$B$304,$R19)&gt;0,"登録済","未登録→マスタに追加"))</f>
        <v>登録済</v>
      </c>
    </row>
    <row r="20" customFormat="false" ht="15" hidden="false" customHeight="false" outlineLevel="0" collapsed="false">
      <c r="A20" s="74" t="n">
        <v>18</v>
      </c>
      <c r="B20" s="74" t="str">
        <f aca="false">IF(元データ_PB合計!$A$18="","",元データ_PB合計!$A$18)</f>
        <v>(32572600)大丸福岡天神店ｽﾀｼﾞｵﾋﾟｯｺｰﾈ・ﾋﾟｯｺｰﾈｸﾗﾌﾞ</v>
      </c>
      <c r="C20" s="74" t="n">
        <f aca="false">IF(LEFT(B20,1)="(",IFERROR(VALUE(MID(B20,2,FIND(")",B20)-2)),""),"")</f>
        <v>32572600</v>
      </c>
      <c r="D20" s="75" t="n">
        <f aca="false">IF($C20="","",N(元データ_PB合計!$B$18))</f>
        <v>2083600</v>
      </c>
      <c r="E20" s="75" t="n">
        <f aca="false">IF($C20="","",N(元データ_PB合計!$C$18))</f>
        <v>2100000</v>
      </c>
      <c r="F20" s="75" t="n">
        <f aca="false">IF($C20="","",N(元データ_PB合計!$F$18))</f>
        <v>1633800</v>
      </c>
      <c r="G20" s="74" t="str">
        <f aca="false">IF($C20="","",IF(COUNTIF(店舗マスタ!$B$5:$B$304,$C20)&gt;0,"登録済","未登録→マスタに追加"))</f>
        <v>登録済</v>
      </c>
      <c r="I20" s="74" t="n">
        <v>18</v>
      </c>
      <c r="J20" s="74" t="str">
        <f aca="false">IF(元データ_P!$A$18="","",元データ_P!$A$18)</f>
        <v>(32570700)西宮阪急店ピッコーネクラブ・アルチビオ</v>
      </c>
      <c r="K20" s="74" t="n">
        <f aca="false">IF(LEFT(J20,1)="(",IFERROR(VALUE(MID(J20,2,FIND(")",J20)-2)),""),"")</f>
        <v>32570700</v>
      </c>
      <c r="L20" s="75" t="n">
        <f aca="false">IF($K20="","",N(元データ_P!$B$18))</f>
        <v>2262257</v>
      </c>
      <c r="M20" s="75" t="n">
        <f aca="false">IF($K20="","",N(元データ_P!$F$18))</f>
        <v>1460300</v>
      </c>
      <c r="N20" s="74" t="str">
        <f aca="false">IF($K20="","",IF(COUNTIF(店舗マスタ!$B$5:$B$304,$K20)&gt;0,"登録済","未登録→マスタに追加"))</f>
        <v>登録済</v>
      </c>
      <c r="P20" s="74" t="n">
        <v>18</v>
      </c>
      <c r="Q20" s="74" t="str">
        <f aca="false">IF(元データ_B!$A$18="","",元データ_B!$A$18)</f>
        <v>(32580600)ラポルテ芦屋店ピッコーネ</v>
      </c>
      <c r="R20" s="74" t="n">
        <f aca="false">IF(LEFT(Q20,1)="(",IFERROR(VALUE(MID(Q20,2,FIND(")",Q20)-2)),""),"")</f>
        <v>32580600</v>
      </c>
      <c r="S20" s="75" t="n">
        <f aca="false">IF($R20="","",N(元データ_B!$B$18))</f>
        <v>2160200</v>
      </c>
      <c r="T20" s="75" t="n">
        <f aca="false">IF($R20="","",N(元データ_B!$F$18))</f>
        <v>662800</v>
      </c>
      <c r="U20" s="74" t="str">
        <f aca="false">IF($R20="","",IF(COUNTIF(店舗マスタ!$B$5:$B$304,$R20)&gt;0,"登録済","未登録→マスタに追加"))</f>
        <v>登録済</v>
      </c>
    </row>
    <row r="21" customFormat="false" ht="15" hidden="false" customHeight="false" outlineLevel="0" collapsed="false">
      <c r="A21" s="74" t="n">
        <v>19</v>
      </c>
      <c r="B21" s="74" t="str">
        <f aca="false">IF(元データ_PB合計!$A$19="","",元データ_PB合計!$A$19)</f>
        <v>(32673300)松屋銀座本店ｽﾀｼﾞｵﾋﾟｯｺｰﾈ・ﾋﾟｯｺｰﾈｸﾗﾌﾞ</v>
      </c>
      <c r="C21" s="74" t="n">
        <f aca="false">IF(LEFT(B21,1)="(",IFERROR(VALUE(MID(B21,2,FIND(")",B21)-2)),""),"")</f>
        <v>32673300</v>
      </c>
      <c r="D21" s="75" t="n">
        <f aca="false">IF($C21="","",N(元データ_PB合計!$B$19))</f>
        <v>3005230</v>
      </c>
      <c r="E21" s="75" t="n">
        <f aca="false">IF($C21="","",N(元データ_PB合計!$C$19))</f>
        <v>3050000</v>
      </c>
      <c r="F21" s="75" t="n">
        <f aca="false">IF($C21="","",N(元データ_PB合計!$F$19))</f>
        <v>2843445</v>
      </c>
      <c r="G21" s="74" t="str">
        <f aca="false">IF($C21="","",IF(COUNTIF(店舗マスタ!$B$5:$B$304,$C21)&gt;0,"登録済","未登録→マスタに追加"))</f>
        <v>登録済</v>
      </c>
      <c r="I21" s="74" t="n">
        <v>19</v>
      </c>
      <c r="J21" s="74" t="str">
        <f aca="false">IF(元データ_P!$A$19="","",元データ_P!$A$19)</f>
        <v>(32572600)大丸福岡天神店ｽﾀｼﾞｵﾋﾟｯｺｰﾈ・ﾋﾟｯｺｰﾈｸﾗﾌﾞ</v>
      </c>
      <c r="K21" s="74" t="n">
        <f aca="false">IF(LEFT(J21,1)="(",IFERROR(VALUE(MID(J21,2,FIND(")",J21)-2)),""),"")</f>
        <v>32572600</v>
      </c>
      <c r="L21" s="75" t="n">
        <f aca="false">IF($K21="","",N(元データ_P!$B$19))</f>
        <v>1681900</v>
      </c>
      <c r="M21" s="75" t="n">
        <f aca="false">IF($K21="","",N(元データ_P!$F$19))</f>
        <v>1430500</v>
      </c>
      <c r="N21" s="74" t="str">
        <f aca="false">IF($K21="","",IF(COUNTIF(店舗マスタ!$B$5:$B$304,$K21)&gt;0,"登録済","未登録→マスタに追加"))</f>
        <v>登録済</v>
      </c>
      <c r="P21" s="74" t="n">
        <v>19</v>
      </c>
      <c r="Q21" s="74" t="str">
        <f aca="false">IF(元データ_B!$A$19="","",元データ_B!$A$19)</f>
        <v>(32580700)ホテルニューオータニ大阪店ピッコーネ</v>
      </c>
      <c r="R21" s="74" t="n">
        <f aca="false">IF(LEFT(Q21,1)="(",IFERROR(VALUE(MID(Q21,2,FIND(")",Q21)-2)),""),"")</f>
        <v>32580700</v>
      </c>
      <c r="S21" s="75" t="n">
        <f aca="false">IF($R21="","",N(元データ_B!$B$19))</f>
        <v>324700</v>
      </c>
      <c r="T21" s="75" t="n">
        <f aca="false">IF($R21="","",N(元データ_B!$F$19))</f>
        <v>499746</v>
      </c>
      <c r="U21" s="74" t="str">
        <f aca="false">IF($R21="","",IF(COUNTIF(店舗マスタ!$B$5:$B$304,$R21)&gt;0,"登録済","未登録→マスタに追加"))</f>
        <v>登録済</v>
      </c>
    </row>
    <row r="22" customFormat="false" ht="15" hidden="false" customHeight="false" outlineLevel="0" collapsed="false">
      <c r="A22" s="74" t="n">
        <v>20</v>
      </c>
      <c r="B22" s="74" t="str">
        <f aca="false">IF(元データ_PB合計!$A$20="","",元データ_PB合計!$A$20)</f>
        <v>(32570100)高島屋大阪店アルチビオ</v>
      </c>
      <c r="C22" s="74" t="n">
        <f aca="false">IF(LEFT(B22,1)="(",IFERROR(VALUE(MID(B22,2,FIND(")",B22)-2)),""),"")</f>
        <v>32570100</v>
      </c>
      <c r="D22" s="75" t="n">
        <f aca="false">IF($C22="","",N(元データ_PB合計!$B$20))</f>
        <v>2048565</v>
      </c>
      <c r="E22" s="75" t="n">
        <f aca="false">IF($C22="","",N(元データ_PB合計!$C$20))</f>
        <v>2150000</v>
      </c>
      <c r="F22" s="75" t="n">
        <f aca="false">IF($C22="","",N(元データ_PB合計!$F$20))</f>
        <v>2098500</v>
      </c>
      <c r="G22" s="74" t="str">
        <f aca="false">IF($C22="","",IF(COUNTIF(店舗マスタ!$B$5:$B$304,$C22)&gt;0,"登録済","未登録→マスタに追加"))</f>
        <v>登録済</v>
      </c>
      <c r="I22" s="74" t="n">
        <v>20</v>
      </c>
      <c r="J22" s="74" t="str">
        <f aca="false">IF(元データ_P!$A$20="","",元データ_P!$A$20)</f>
        <v>(32573400)近鉄百貨店和歌山店ｽﾀｼﾞｵﾋﾟｯｺｰﾈ・ﾋﾟｯｺｰﾈｸﾗﾌ</v>
      </c>
      <c r="K22" s="74" t="n">
        <f aca="false">IF(LEFT(J22,1)="(",IFERROR(VALUE(MID(J22,2,FIND(")",J22)-2)),""),"")</f>
        <v>32573400</v>
      </c>
      <c r="L22" s="75" t="n">
        <f aca="false">IF($K22="","",N(元データ_P!$B$20))</f>
        <v>1742245</v>
      </c>
      <c r="M22" s="75" t="n">
        <f aca="false">IF($K22="","",N(元データ_P!$F$20))</f>
        <v>2097495</v>
      </c>
      <c r="N22" s="74" t="str">
        <f aca="false">IF($K22="","",IF(COUNTIF(店舗マスタ!$B$5:$B$304,$K22)&gt;0,"登録済","未登録→マスタに追加"))</f>
        <v>登録済</v>
      </c>
      <c r="P22" s="74" t="n">
        <v>20</v>
      </c>
      <c r="Q22" s="74" t="str">
        <f aca="false">IF(元データ_B!$A$20="","",元データ_B!$A$20)</f>
        <v>(32580900)阪急三番街店ピッコーネ</v>
      </c>
      <c r="R22" s="74" t="n">
        <f aca="false">IF(LEFT(Q22,1)="(",IFERROR(VALUE(MID(Q22,2,FIND(")",Q22)-2)),""),"")</f>
        <v>32580900</v>
      </c>
      <c r="S22" s="75" t="n">
        <f aca="false">IF($R22="","",N(元データ_B!$B$20))</f>
        <v>5869140</v>
      </c>
      <c r="T22" s="75" t="n">
        <f aca="false">IF($R22="","",N(元データ_B!$F$20))</f>
        <v>1246500</v>
      </c>
      <c r="U22" s="74" t="str">
        <f aca="false">IF($R22="","",IF(COUNTIF(店舗マスタ!$B$5:$B$304,$R22)&gt;0,"登録済","未登録→マスタに追加"))</f>
        <v>登録済</v>
      </c>
    </row>
    <row r="23" customFormat="false" ht="15" hidden="false" customHeight="false" outlineLevel="0" collapsed="false">
      <c r="A23" s="74" t="n">
        <v>21</v>
      </c>
      <c r="B23" s="74" t="str">
        <f aca="false">IF(元データ_PB合計!$A$21="","",元データ_PB合計!$A$21)</f>
        <v>(32670900)東武百貨店池袋店ｽﾀｼﾞｵﾋﾟｯｺｰﾈ・ﾋﾟｯｺｰﾈｸﾗﾌﾞ</v>
      </c>
      <c r="C23" s="74" t="n">
        <f aca="false">IF(LEFT(B23,1)="(",IFERROR(VALUE(MID(B23,2,FIND(")",B23)-2)),""),"")</f>
        <v>32670900</v>
      </c>
      <c r="D23" s="75" t="n">
        <f aca="false">IF($C23="","",N(元データ_PB合計!$B$21))</f>
        <v>5052300</v>
      </c>
      <c r="E23" s="75" t="n">
        <f aca="false">IF($C23="","",N(元データ_PB合計!$C$21))</f>
        <v>5370000</v>
      </c>
      <c r="F23" s="75" t="n">
        <f aca="false">IF($C23="","",N(元データ_PB合計!$F$21))</f>
        <v>5057100</v>
      </c>
      <c r="G23" s="74" t="str">
        <f aca="false">IF($C23="","",IF(COUNTIF(店舗マスタ!$B$5:$B$304,$C23)&gt;0,"登録済","未登録→マスタに追加"))</f>
        <v>登録済</v>
      </c>
      <c r="I23" s="74" t="n">
        <v>21</v>
      </c>
      <c r="J23" s="74" t="str">
        <f aca="false">IF(元データ_P!$A$21="","",元データ_P!$A$21)</f>
        <v>(32571600)ジェイアール名古屋タカシマヤ店アルチビオ</v>
      </c>
      <c r="K23" s="74" t="n">
        <f aca="false">IF(LEFT(J23,1)="(",IFERROR(VALUE(MID(J23,2,FIND(")",J23)-2)),""),"")</f>
        <v>32571600</v>
      </c>
      <c r="L23" s="75" t="n">
        <f aca="false">IF($K23="","",N(元データ_P!$B$21))</f>
        <v>2783500</v>
      </c>
      <c r="M23" s="75" t="n">
        <f aca="false">IF($K23="","",N(元データ_P!$F$21))</f>
        <v>3003000</v>
      </c>
      <c r="N23" s="74" t="str">
        <f aca="false">IF($K23="","",IF(COUNTIF(店舗マスタ!$B$5:$B$304,$K23)&gt;0,"登録済","未登録→マスタに追加"))</f>
        <v>登録済</v>
      </c>
      <c r="P23" s="74" t="n">
        <v>21</v>
      </c>
      <c r="Q23" s="74" t="str">
        <f aca="false">IF(元データ_B!$A$21="","",元データ_B!$A$21)</f>
        <v>(32581000)堀江店アルチビオ</v>
      </c>
      <c r="R23" s="74" t="n">
        <f aca="false">IF(LEFT(Q23,1)="(",IFERROR(VALUE(MID(Q23,2,FIND(")",Q23)-2)),""),"")</f>
        <v>32581000</v>
      </c>
      <c r="S23" s="75" t="n">
        <f aca="false">IF($R23="","",N(元データ_B!$B$21))</f>
        <v>913100</v>
      </c>
      <c r="T23" s="75" t="n">
        <f aca="false">IF($R23="","",N(元データ_B!$F$21))</f>
        <v>1012070</v>
      </c>
      <c r="U23" s="74" t="str">
        <f aca="false">IF($R23="","",IF(COUNTIF(店舗マスタ!$B$5:$B$304,$R23)&gt;0,"登録済","未登録→マスタに追加"))</f>
        <v>登録済</v>
      </c>
    </row>
    <row r="24" customFormat="false" ht="15" hidden="false" customHeight="false" outlineLevel="0" collapsed="false">
      <c r="A24" s="74" t="n">
        <v>22</v>
      </c>
      <c r="B24" s="74" t="str">
        <f aca="false">IF(元データ_PB合計!$A$22="","",元データ_PB合計!$A$22)</f>
        <v>(32573900)近鉄百貨店橿原店スタジオピッコーネ</v>
      </c>
      <c r="C24" s="74" t="n">
        <f aca="false">IF(LEFT(B24,1)="(",IFERROR(VALUE(MID(B24,2,FIND(")",B24)-2)),""),"")</f>
        <v>32573900</v>
      </c>
      <c r="D24" s="75" t="n">
        <f aca="false">IF($C24="","",N(元データ_PB合計!$B$22))</f>
        <v>1744500</v>
      </c>
      <c r="E24" s="75" t="n">
        <f aca="false">IF($C24="","",N(元データ_PB合計!$C$22))</f>
        <v>1880000</v>
      </c>
      <c r="F24" s="75" t="n">
        <f aca="false">IF($C24="","",N(元データ_PB合計!$F$22))</f>
        <v>1846800</v>
      </c>
      <c r="G24" s="74" t="str">
        <f aca="false">IF($C24="","",IF(COUNTIF(店舗マスタ!$B$5:$B$304,$C24)&gt;0,"登録済","未登録→マスタに追加"))</f>
        <v>登録済</v>
      </c>
      <c r="I24" s="74" t="n">
        <v>22</v>
      </c>
      <c r="J24" s="74" t="str">
        <f aca="false">IF(元データ_P!$A$22="","",元データ_P!$A$22)</f>
        <v>(32570200)高島屋大阪店ｽﾀｼﾞｵﾋﾟｯｺｰﾈ・ﾋﾟｯｺｰﾈｸﾗﾌﾞ</v>
      </c>
      <c r="K24" s="74" t="n">
        <f aca="false">IF(LEFT(J24,1)="(",IFERROR(VALUE(MID(J24,2,FIND(")",J24)-2)),""),"")</f>
        <v>32570200</v>
      </c>
      <c r="L24" s="75" t="n">
        <f aca="false">IF($K24="","",N(元データ_P!$B$22))</f>
        <v>3137700</v>
      </c>
      <c r="M24" s="75" t="n">
        <f aca="false">IF($K24="","",N(元データ_P!$F$22))</f>
        <v>4174590</v>
      </c>
      <c r="N24" s="74" t="str">
        <f aca="false">IF($K24="","",IF(COUNTIF(店舗マスタ!$B$5:$B$304,$K24)&gt;0,"登録済","未登録→マスタに追加"))</f>
        <v>登録済</v>
      </c>
      <c r="P24" s="74" t="n">
        <v>22</v>
      </c>
      <c r="Q24" s="74" t="str">
        <f aca="false">IF(元データ_B!$A$22="","",元データ_B!$A$22)</f>
        <v>(32670200)髙島屋横浜店ｽﾀｼﾞｵﾋﾟｯｺｰﾈ・ﾋﾟｯｺｰﾈｸﾗﾌﾞ</v>
      </c>
      <c r="R24" s="74" t="n">
        <f aca="false">IF(LEFT(Q24,1)="(",IFERROR(VALUE(MID(Q24,2,FIND(")",Q24)-2)),""),"")</f>
        <v>32670200</v>
      </c>
      <c r="S24" s="75" t="n">
        <f aca="false">IF($R24="","",N(元データ_B!$B$22))</f>
        <v>16800</v>
      </c>
      <c r="T24" s="75" t="n">
        <f aca="false">IF($R24="","",N(元データ_B!$F$22))</f>
        <v>44100</v>
      </c>
      <c r="U24" s="74" t="str">
        <f aca="false">IF($R24="","",IF(COUNTIF(店舗マスタ!$B$5:$B$304,$R24)&gt;0,"登録済","未登録→マスタに追加"))</f>
        <v>登録済</v>
      </c>
    </row>
    <row r="25" customFormat="false" ht="15" hidden="false" customHeight="false" outlineLevel="0" collapsed="false">
      <c r="A25" s="74" t="n">
        <v>23</v>
      </c>
      <c r="B25" s="74" t="str">
        <f aca="false">IF(元データ_PB合計!$A$23="","",元データ_PB合計!$A$23)</f>
        <v>(32671900)松坂屋上野店ｽﾀｼﾞｵﾋﾟｯｺｰﾈ・ﾋﾟｯｺｰﾈｸﾗﾌﾞ</v>
      </c>
      <c r="C25" s="74" t="n">
        <f aca="false">IF(LEFT(B25,1)="(",IFERROR(VALUE(MID(B25,2,FIND(")",B25)-2)),""),"")</f>
        <v>32671900</v>
      </c>
      <c r="D25" s="75" t="n">
        <f aca="false">IF($C25="","",N(元データ_PB合計!$B$23))</f>
        <v>1841920</v>
      </c>
      <c r="E25" s="75" t="n">
        <f aca="false">IF($C25="","",N(元データ_PB合計!$C$23))</f>
        <v>2050000</v>
      </c>
      <c r="F25" s="75" t="n">
        <f aca="false">IF($C25="","",N(元データ_PB合計!$F$23))</f>
        <v>1940260</v>
      </c>
      <c r="G25" s="74" t="str">
        <f aca="false">IF($C25="","",IF(COUNTIF(店舗マスタ!$B$5:$B$304,$C25)&gt;0,"登録済","未登録→マスタに追加"))</f>
        <v>登録済</v>
      </c>
      <c r="I25" s="74" t="n">
        <v>23</v>
      </c>
      <c r="J25" s="74" t="str">
        <f aca="false">IF(元データ_P!$A$23="","",元データ_P!$A$23)</f>
        <v>(32570800)高島屋京都店アルチビオ・ピッコーネクラブ</v>
      </c>
      <c r="K25" s="74" t="n">
        <f aca="false">IF(LEFT(J25,1)="(",IFERROR(VALUE(MID(J25,2,FIND(")",J25)-2)),""),"")</f>
        <v>32570800</v>
      </c>
      <c r="L25" s="75" t="n">
        <f aca="false">IF($K25="","",N(元データ_P!$B$23))</f>
        <v>1985522</v>
      </c>
      <c r="M25" s="75" t="n">
        <f aca="false">IF($K25="","",N(元データ_P!$F$23))</f>
        <v>1409475</v>
      </c>
      <c r="N25" s="74" t="str">
        <f aca="false">IF($K25="","",IF(COUNTIF(店舗マスタ!$B$5:$B$304,$K25)&gt;0,"登録済","未登録→マスタに追加"))</f>
        <v>登録済</v>
      </c>
      <c r="P25" s="74" t="n">
        <v>23</v>
      </c>
      <c r="Q25" s="74" t="str">
        <f aca="false">IF(元データ_B!$A$23="","",元データ_B!$A$23)</f>
        <v>(32670400)高島屋高崎店ｽﾀｼﾞｵﾋﾟｯｺｰﾈ・ﾋﾟｯｺｰﾈｸﾗﾌﾞ</v>
      </c>
      <c r="R25" s="74" t="n">
        <f aca="false">IF(LEFT(Q25,1)="(",IFERROR(VALUE(MID(Q25,2,FIND(")",Q25)-2)),""),"")</f>
        <v>32670400</v>
      </c>
      <c r="S25" s="75" t="n">
        <f aca="false">IF($R25="","",N(元データ_B!$B$23))</f>
        <v>145000</v>
      </c>
      <c r="T25" s="75" t="n">
        <f aca="false">IF($R25="","",N(元データ_B!$F$23))</f>
        <v>126000</v>
      </c>
      <c r="U25" s="74" t="str">
        <f aca="false">IF($R25="","",IF(COUNTIF(店舗マスタ!$B$5:$B$304,$R25)&gt;0,"登録済","未登録→マスタに追加"))</f>
        <v>登録済</v>
      </c>
    </row>
    <row r="26" customFormat="false" ht="15" hidden="false" customHeight="false" outlineLevel="0" collapsed="false">
      <c r="A26" s="74" t="n">
        <v>24</v>
      </c>
      <c r="B26" s="74" t="str">
        <f aca="false">IF(元データ_PB合計!$A$24="","",元データ_PB合計!$A$24)</f>
        <v>(32673900)高島屋高崎店アルチビオ</v>
      </c>
      <c r="C26" s="74" t="n">
        <f aca="false">IF(LEFT(B26,1)="(",IFERROR(VALUE(MID(B26,2,FIND(")",B26)-2)),""),"")</f>
        <v>32673900</v>
      </c>
      <c r="D26" s="75" t="n">
        <f aca="false">IF($C26="","",N(元データ_PB合計!$B$24))</f>
        <v>1117980</v>
      </c>
      <c r="E26" s="75" t="n">
        <f aca="false">IF($C26="","",N(元データ_PB合計!$C$24))</f>
        <v>1249000</v>
      </c>
      <c r="F26" s="75" t="n">
        <f aca="false">IF($C26="","",N(元データ_PB合計!$F$24))</f>
        <v>1132140</v>
      </c>
      <c r="G26" s="74" t="str">
        <f aca="false">IF($C26="","",IF(COUNTIF(店舗マスタ!$B$5:$B$304,$C26)&gt;0,"登録済","未登録→マスタに追加"))</f>
        <v>登録済</v>
      </c>
      <c r="I26" s="74" t="n">
        <v>24</v>
      </c>
      <c r="J26" s="74" t="str">
        <f aca="false">IF(元データ_P!$A$24="","",元データ_P!$A$24)</f>
        <v>(32673900)高島屋高崎店アルチビオ</v>
      </c>
      <c r="K26" s="74" t="n">
        <f aca="false">IF(LEFT(J26,1)="(",IFERROR(VALUE(MID(J26,2,FIND(")",J26)-2)),""),"")</f>
        <v>32673900</v>
      </c>
      <c r="L26" s="75" t="n">
        <f aca="false">IF($K26="","",N(元データ_P!$B$24))</f>
        <v>880280</v>
      </c>
      <c r="M26" s="75" t="n">
        <f aca="false">IF($K26="","",N(元データ_P!$F$24))</f>
        <v>994940</v>
      </c>
      <c r="N26" s="74" t="str">
        <f aca="false">IF($K26="","",IF(COUNTIF(店舗マスタ!$B$5:$B$304,$K26)&gt;0,"登録済","未登録→マスタに追加"))</f>
        <v>登録済</v>
      </c>
      <c r="P26" s="74" t="n">
        <v>24</v>
      </c>
      <c r="Q26" s="74" t="str">
        <f aca="false">IF(元データ_B!$A$24="","",元データ_B!$A$24)</f>
        <v>(32670600)高島屋新宿店アルチビオ</v>
      </c>
      <c r="R26" s="74" t="n">
        <f aca="false">IF(LEFT(Q26,1)="(",IFERROR(VALUE(MID(Q26,2,FIND(")",Q26)-2)),""),"")</f>
        <v>32670600</v>
      </c>
      <c r="S26" s="75" t="n">
        <f aca="false">IF($R26="","",N(元データ_B!$B$24))</f>
        <v>378400</v>
      </c>
      <c r="T26" s="75" t="n">
        <f aca="false">IF($R26="","",N(元データ_B!$F$24))</f>
        <v>35900</v>
      </c>
      <c r="U26" s="74" t="str">
        <f aca="false">IF($R26="","",IF(COUNTIF(店舗マスタ!$B$5:$B$304,$R26)&gt;0,"登録済","未登録→マスタに追加"))</f>
        <v>登録済</v>
      </c>
    </row>
    <row r="27" customFormat="false" ht="15" hidden="false" customHeight="false" outlineLevel="0" collapsed="false">
      <c r="A27" s="74" t="n">
        <v>25</v>
      </c>
      <c r="B27" s="74" t="str">
        <f aca="false">IF(元データ_PB合計!$A$25="","",元データ_PB合計!$A$25)</f>
        <v>(32571600)ジェイアール名古屋タカシマヤ店アルチビオ</v>
      </c>
      <c r="C27" s="74" t="n">
        <f aca="false">IF(LEFT(B27,1)="(",IFERROR(VALUE(MID(B27,2,FIND(")",B27)-2)),""),"")</f>
        <v>32571600</v>
      </c>
      <c r="D27" s="75" t="n">
        <f aca="false">IF($C27="","",N(元データ_PB合計!$B$25))</f>
        <v>3250690</v>
      </c>
      <c r="E27" s="75" t="n">
        <f aca="false">IF($C27="","",N(元データ_PB合計!$C$25))</f>
        <v>3681000</v>
      </c>
      <c r="F27" s="75" t="n">
        <f aca="false">IF($C27="","",N(元データ_PB合計!$F$25))</f>
        <v>3216380</v>
      </c>
      <c r="G27" s="74" t="str">
        <f aca="false">IF($C27="","",IF(COUNTIF(店舗マスタ!$B$5:$B$304,$C27)&gt;0,"登録済","未登録→マスタに追加"))</f>
        <v>登録済</v>
      </c>
      <c r="I27" s="74" t="n">
        <v>25</v>
      </c>
      <c r="J27" s="74" t="str">
        <f aca="false">IF(元データ_P!$A$25="","",元データ_P!$A$25)</f>
        <v>(32675600)ながの東急百貨店ｽﾀｼﾞｵﾋﾟｯｺｰﾈ・ﾋﾟｯｺｰﾈｸﾗﾌﾞ</v>
      </c>
      <c r="K27" s="74" t="n">
        <f aca="false">IF(LEFT(J27,1)="(",IFERROR(VALUE(MID(J27,2,FIND(")",J27)-2)),""),"")</f>
        <v>32675600</v>
      </c>
      <c r="L27" s="75" t="n">
        <f aca="false">IF($K27="","",N(元データ_P!$B$25))</f>
        <v>2585700</v>
      </c>
      <c r="M27" s="75" t="n">
        <f aca="false">IF($K27="","",N(元データ_P!$F$25))</f>
        <v>3129200</v>
      </c>
      <c r="N27" s="74" t="str">
        <f aca="false">IF($K27="","",IF(COUNTIF(店舗マスタ!$B$5:$B$304,$K27)&gt;0,"登録済","未登録→マスタに追加"))</f>
        <v>登録済</v>
      </c>
      <c r="P27" s="74" t="n">
        <v>25</v>
      </c>
      <c r="Q27" s="74" t="str">
        <f aca="false">IF(元データ_B!$A$25="","",元データ_B!$A$25)</f>
        <v>(32671400)日本橋三越本店ｽﾀｼﾞｵﾋﾟｯｺｰﾈ・ﾋﾟｯｺｰﾈｸﾗﾌﾞ</v>
      </c>
      <c r="R27" s="74" t="n">
        <f aca="false">IF(LEFT(Q27,1)="(",IFERROR(VALUE(MID(Q27,2,FIND(")",Q27)-2)),""),"")</f>
        <v>32671400</v>
      </c>
      <c r="S27" s="75" t="n">
        <f aca="false">IF($R27="","",N(元データ_B!$B$25))</f>
        <v>272100</v>
      </c>
      <c r="T27" s="75" t="n">
        <f aca="false">IF($R27="","",N(元データ_B!$F$25))</f>
        <v>0</v>
      </c>
      <c r="U27" s="74" t="str">
        <f aca="false">IF($R27="","",IF(COUNTIF(店舗マスタ!$B$5:$B$304,$R27)&gt;0,"登録済","未登録→マスタに追加"))</f>
        <v>登録済</v>
      </c>
    </row>
    <row r="28" customFormat="false" ht="15" hidden="false" customHeight="false" outlineLevel="0" collapsed="false">
      <c r="A28" s="74" t="n">
        <v>26</v>
      </c>
      <c r="B28" s="74" t="str">
        <f aca="false">IF(元データ_PB合計!$A$26="","",元データ_PB合計!$A$26)</f>
        <v>(32573200)あべのハルカス近鉄本店スタジオピッコーネ</v>
      </c>
      <c r="C28" s="74" t="n">
        <f aca="false">IF(LEFT(B28,1)="(",IFERROR(VALUE(MID(B28,2,FIND(")",B28)-2)),""),"")</f>
        <v>32573200</v>
      </c>
      <c r="D28" s="75" t="n">
        <f aca="false">IF($C28="","",N(元データ_PB合計!$B$26))</f>
        <v>3507580</v>
      </c>
      <c r="E28" s="75" t="n">
        <f aca="false">IF($C28="","",N(元データ_PB合計!$C$26))</f>
        <v>4120000</v>
      </c>
      <c r="F28" s="75" t="n">
        <f aca="false">IF($C28="","",N(元データ_PB合計!$F$26))</f>
        <v>4003095</v>
      </c>
      <c r="G28" s="74" t="str">
        <f aca="false">IF($C28="","",IF(COUNTIF(店舗マスタ!$B$5:$B$304,$C28)&gt;0,"登録済","未登録→マスタに追加"))</f>
        <v>登録済</v>
      </c>
      <c r="I28" s="74" t="n">
        <v>26</v>
      </c>
      <c r="J28" s="74" t="str">
        <f aca="false">IF(元データ_P!$A$26="","",元データ_P!$A$26)</f>
        <v>(32675700)静岡伊勢丹ｽﾀｼﾞｵﾋﾟｯｺｰﾈ・ﾋﾟｯｺｰﾈｸﾗﾌﾞ</v>
      </c>
      <c r="K28" s="74" t="n">
        <f aca="false">IF(LEFT(J28,1)="(",IFERROR(VALUE(MID(J28,2,FIND(")",J28)-2)),""),"")</f>
        <v>32675700</v>
      </c>
      <c r="L28" s="75" t="n">
        <f aca="false">IF($K28="","",N(元データ_P!$B$26))</f>
        <v>832100</v>
      </c>
      <c r="M28" s="75" t="n">
        <f aca="false">IF($K28="","",N(元データ_P!$F$26))</f>
        <v>724100</v>
      </c>
      <c r="N28" s="74" t="str">
        <f aca="false">IF($K28="","",IF(COUNTIF(店舗マスタ!$B$5:$B$304,$K28)&gt;0,"登録済","未登録→マスタに追加"))</f>
        <v>登録済</v>
      </c>
      <c r="P28" s="74" t="n">
        <v>26</v>
      </c>
      <c r="Q28" s="74" t="str">
        <f aca="false">IF(元データ_B!$A$26="","",元データ_B!$A$26)</f>
        <v>(32671500)札幌三越ピッコーネ・アルチビオ</v>
      </c>
      <c r="R28" s="74" t="n">
        <f aca="false">IF(LEFT(Q28,1)="(",IFERROR(VALUE(MID(Q28,2,FIND(")",Q28)-2)),""),"")</f>
        <v>32671500</v>
      </c>
      <c r="S28" s="75" t="n">
        <f aca="false">IF($R28="","",N(元データ_B!$B$26))</f>
        <v>612970</v>
      </c>
      <c r="T28" s="75" t="n">
        <f aca="false">IF($R28="","",N(元データ_B!$F$26))</f>
        <v>590460</v>
      </c>
      <c r="U28" s="74" t="str">
        <f aca="false">IF($R28="","",IF(COUNTIF(店舗マスタ!$B$5:$B$304,$R28)&gt;0,"登録済","未登録→マスタに追加"))</f>
        <v>登録済</v>
      </c>
    </row>
    <row r="29" customFormat="false" ht="15" hidden="false" customHeight="false" outlineLevel="0" collapsed="false">
      <c r="A29" s="74" t="n">
        <v>27</v>
      </c>
      <c r="B29" s="74" t="str">
        <f aca="false">IF(元データ_PB合計!$A$27="","",元データ_PB合計!$A$27)</f>
        <v>(32673800)高島屋横浜店アルチビオ</v>
      </c>
      <c r="C29" s="74" t="n">
        <f aca="false">IF(LEFT(B29,1)="(",IFERROR(VALUE(MID(B29,2,FIND(")",B29)-2)),""),"")</f>
        <v>32673800</v>
      </c>
      <c r="D29" s="75" t="n">
        <f aca="false">IF($C29="","",N(元データ_PB合計!$B$27))</f>
        <v>1579789</v>
      </c>
      <c r="E29" s="75" t="n">
        <f aca="false">IF($C29="","",N(元データ_PB合計!$C$27))</f>
        <v>1900000</v>
      </c>
      <c r="F29" s="75" t="n">
        <f aca="false">IF($C29="","",N(元データ_PB合計!$F$27))</f>
        <v>1483030</v>
      </c>
      <c r="G29" s="74" t="str">
        <f aca="false">IF($C29="","",IF(COUNTIF(店舗マスタ!$B$5:$B$304,$C29)&gt;0,"登録済","未登録→マスタに追加"))</f>
        <v>登録済</v>
      </c>
      <c r="I29" s="74" t="n">
        <v>27</v>
      </c>
      <c r="J29" s="74" t="str">
        <f aca="false">IF(元データ_P!$A$27="","",元データ_P!$A$27)</f>
        <v>(32675300)ピッコーネ　東急百貨店吉祥寺店</v>
      </c>
      <c r="K29" s="74" t="n">
        <f aca="false">IF(LEFT(J29,1)="(",IFERROR(VALUE(MID(J29,2,FIND(")",J29)-2)),""),"")</f>
        <v>32675300</v>
      </c>
      <c r="L29" s="75" t="n">
        <f aca="false">IF($K29="","",N(元データ_P!$B$27))</f>
        <v>2102845</v>
      </c>
      <c r="M29" s="75" t="n">
        <f aca="false">IF($K29="","",N(元データ_P!$F$27))</f>
        <v>2919305</v>
      </c>
      <c r="N29" s="74" t="str">
        <f aca="false">IF($K29="","",IF(COUNTIF(店舗マスタ!$B$5:$B$304,$K29)&gt;0,"登録済","未登録→マスタに追加"))</f>
        <v>登録済</v>
      </c>
      <c r="P29" s="74" t="n">
        <v>27</v>
      </c>
      <c r="Q29" s="74" t="str">
        <f aca="false">IF(元データ_B!$A$27="","",元データ_B!$A$27)</f>
        <v>(32671900)松坂屋上野店ｽﾀｼﾞｵﾋﾟｯｺｰﾈ・ﾋﾟｯｺｰﾈｸﾗﾌﾞ</v>
      </c>
      <c r="R29" s="74" t="n">
        <f aca="false">IF(LEFT(Q29,1)="(",IFERROR(VALUE(MID(Q29,2,FIND(")",Q29)-2)),""),"")</f>
        <v>32671900</v>
      </c>
      <c r="S29" s="75" t="n">
        <f aca="false">IF($R29="","",N(元データ_B!$B$27))</f>
        <v>44900</v>
      </c>
      <c r="T29" s="75" t="n">
        <f aca="false">IF($R29="","",N(元データ_B!$F$27))</f>
        <v>113400</v>
      </c>
      <c r="U29" s="74" t="str">
        <f aca="false">IF($R29="","",IF(COUNTIF(店舗マスタ!$B$5:$B$304,$R29)&gt;0,"登録済","未登録→マスタに追加"))</f>
        <v>登録済</v>
      </c>
    </row>
    <row r="30" customFormat="false" ht="15" hidden="false" customHeight="false" outlineLevel="0" collapsed="false">
      <c r="A30" s="74" t="n">
        <v>28</v>
      </c>
      <c r="B30" s="74" t="str">
        <f aca="false">IF(元データ_PB合計!$A$28="","",元データ_PB合計!$A$28)</f>
        <v>(32573400)近鉄百貨店和歌山店ｽﾀｼﾞｵﾋﾟｯｺｰﾈ・ﾋﾟｯｺｰﾈｸﾗﾌ</v>
      </c>
      <c r="C30" s="74" t="n">
        <f aca="false">IF(LEFT(B30,1)="(",IFERROR(VALUE(MID(B30,2,FIND(")",B30)-2)),""),"")</f>
        <v>32573400</v>
      </c>
      <c r="D30" s="75" t="n">
        <f aca="false">IF($C30="","",N(元データ_PB合計!$B$28))</f>
        <v>1872645</v>
      </c>
      <c r="E30" s="75" t="n">
        <f aca="false">IF($C30="","",N(元データ_PB合計!$C$28))</f>
        <v>2300000</v>
      </c>
      <c r="F30" s="75" t="n">
        <f aca="false">IF($C30="","",N(元データ_PB合計!$F$28))</f>
        <v>2355195</v>
      </c>
      <c r="G30" s="74" t="str">
        <f aca="false">IF($C30="","",IF(COUNTIF(店舗マスタ!$B$5:$B$304,$C30)&gt;0,"登録済","未登録→マスタに追加"))</f>
        <v>登録済</v>
      </c>
      <c r="I30" s="74" t="n">
        <v>28</v>
      </c>
      <c r="J30" s="74" t="str">
        <f aca="false">IF(元データ_P!$A$28="","",元データ_P!$A$28)</f>
        <v>(32675100)ﾋﾟｯｺｰﾈ　東急百貨店たまﾌﾟﾗｰｻﾞ店</v>
      </c>
      <c r="K30" s="74" t="n">
        <f aca="false">IF(LEFT(J30,1)="(",IFERROR(VALUE(MID(J30,2,FIND(")",J30)-2)),""),"")</f>
        <v>32675100</v>
      </c>
      <c r="L30" s="75" t="n">
        <f aca="false">IF($K30="","",N(元データ_P!$B$28))</f>
        <v>2879800</v>
      </c>
      <c r="M30" s="75" t="n">
        <f aca="false">IF($K30="","",N(元データ_P!$F$28))</f>
        <v>4498600</v>
      </c>
      <c r="N30" s="74" t="str">
        <f aca="false">IF($K30="","",IF(COUNTIF(店舗マスタ!$B$5:$B$304,$K30)&gt;0,"登録済","未登録→マスタに追加"))</f>
        <v>登録済</v>
      </c>
      <c r="P30" s="74" t="n">
        <v>28</v>
      </c>
      <c r="Q30" s="74" t="str">
        <f aca="false">IF(元データ_B!$A$28="","",元データ_B!$A$28)</f>
        <v>(32673300)松屋銀座本店ｽﾀｼﾞｵﾋﾟｯｺｰﾈ・ﾋﾟｯｺｰﾈｸﾗﾌﾞ</v>
      </c>
      <c r="R30" s="74" t="n">
        <f aca="false">IF(LEFT(Q30,1)="(",IFERROR(VALUE(MID(Q30,2,FIND(")",Q30)-2)),""),"")</f>
        <v>32673300</v>
      </c>
      <c r="S30" s="75" t="n">
        <f aca="false">IF($R30="","",N(元データ_B!$B$28))</f>
        <v>67200</v>
      </c>
      <c r="T30" s="75" t="n">
        <f aca="false">IF($R30="","",N(元データ_B!$F$28))</f>
        <v>56900</v>
      </c>
      <c r="U30" s="74" t="str">
        <f aca="false">IF($R30="","",IF(COUNTIF(店舗マスタ!$B$5:$B$304,$R30)&gt;0,"登録済","未登録→マスタに追加"))</f>
        <v>登録済</v>
      </c>
    </row>
    <row r="31" customFormat="false" ht="15" hidden="false" customHeight="false" outlineLevel="0" collapsed="false">
      <c r="A31" s="74" t="n">
        <v>29</v>
      </c>
      <c r="B31" s="74" t="str">
        <f aca="false">IF(元データ_PB合計!$A$29="","",元データ_PB合計!$A$29)</f>
        <v>(32580400)ハービスPLAZA店アルチビオ</v>
      </c>
      <c r="C31" s="74" t="n">
        <f aca="false">IF(LEFT(B31,1)="(",IFERROR(VALUE(MID(B31,2,FIND(")",B31)-2)),""),"")</f>
        <v>32580400</v>
      </c>
      <c r="D31" s="75" t="n">
        <f aca="false">IF($C31="","",N(元データ_PB合計!$B$29))</f>
        <v>2922845</v>
      </c>
      <c r="E31" s="75" t="n">
        <f aca="false">IF($C31="","",N(元データ_PB合計!$C$29))</f>
        <v>3613000</v>
      </c>
      <c r="F31" s="75" t="n">
        <f aca="false">IF($C31="","",N(元データ_PB合計!$F$29))</f>
        <v>3478940</v>
      </c>
      <c r="G31" s="74" t="str">
        <f aca="false">IF($C31="","",IF(COUNTIF(店舗マスタ!$B$5:$B$304,$C31)&gt;0,"登録済","未登録→マスタに追加"))</f>
        <v>登録済</v>
      </c>
      <c r="I31" s="74" t="n">
        <v>29</v>
      </c>
      <c r="J31" s="74" t="str">
        <f aca="false">IF(元データ_P!$A$29="","",元データ_P!$A$29)</f>
        <v>(32673800)高島屋横浜店アルチビオ</v>
      </c>
      <c r="K31" s="74" t="n">
        <f aca="false">IF(LEFT(J31,1)="(",IFERROR(VALUE(MID(J31,2,FIND(")",J31)-2)),""),"")</f>
        <v>32673800</v>
      </c>
      <c r="L31" s="75" t="n">
        <f aca="false">IF($K31="","",N(元データ_P!$B$29))</f>
        <v>1123189</v>
      </c>
      <c r="M31" s="75" t="n">
        <f aca="false">IF($K31="","",N(元データ_P!$F$29))</f>
        <v>1314530</v>
      </c>
      <c r="N31" s="74" t="str">
        <f aca="false">IF($K31="","",IF(COUNTIF(店舗マスタ!$B$5:$B$304,$K31)&gt;0,"登録済","未登録→マスタに追加"))</f>
        <v>登録済</v>
      </c>
      <c r="P31" s="74" t="n">
        <v>29</v>
      </c>
      <c r="Q31" s="74" t="str">
        <f aca="false">IF(元データ_B!$A$29="","",元データ_B!$A$29)</f>
        <v>(32673500)日本橋三越本店アルチビオ</v>
      </c>
      <c r="R31" s="74" t="n">
        <f aca="false">IF(LEFT(Q31,1)="(",IFERROR(VALUE(MID(Q31,2,FIND(")",Q31)-2)),""),"")</f>
        <v>32673500</v>
      </c>
      <c r="S31" s="75" t="n">
        <f aca="false">IF($R31="","",N(元データ_B!$B$29))</f>
        <v>224040</v>
      </c>
      <c r="T31" s="75" t="n">
        <f aca="false">IF($R31="","",N(元データ_B!$F$29))</f>
        <v>27900</v>
      </c>
      <c r="U31" s="74" t="str">
        <f aca="false">IF($R31="","",IF(COUNTIF(店舗マスタ!$B$5:$B$304,$R31)&gt;0,"登録済","未登録→マスタに追加"))</f>
        <v>登録済</v>
      </c>
    </row>
    <row r="32" customFormat="false" ht="15" hidden="false" customHeight="false" outlineLevel="0" collapsed="false">
      <c r="A32" s="74" t="n">
        <v>30</v>
      </c>
      <c r="B32" s="74" t="str">
        <f aca="false">IF(元データ_PB合計!$A$30="","",元データ_PB合計!$A$30)</f>
        <v>(32671500)札幌三越ピッコーネ・アルチビオ</v>
      </c>
      <c r="C32" s="74" t="n">
        <f aca="false">IF(LEFT(B32,1)="(",IFERROR(VALUE(MID(B32,2,FIND(")",B32)-2)),""),"")</f>
        <v>32671500</v>
      </c>
      <c r="D32" s="75" t="n">
        <f aca="false">IF($C32="","",N(元データ_PB合計!$B$30))</f>
        <v>2572970</v>
      </c>
      <c r="E32" s="75" t="n">
        <f aca="false">IF($C32="","",N(元データ_PB合計!$C$30))</f>
        <v>3404000</v>
      </c>
      <c r="F32" s="75" t="n">
        <f aca="false">IF($C32="","",N(元データ_PB合計!$F$30))</f>
        <v>3225660</v>
      </c>
      <c r="G32" s="74" t="str">
        <f aca="false">IF($C32="","",IF(COUNTIF(店舗マスタ!$B$5:$B$304,$C32)&gt;0,"登録済","未登録→マスタに追加"))</f>
        <v>登録済</v>
      </c>
      <c r="I32" s="74" t="n">
        <v>30</v>
      </c>
      <c r="J32" s="74" t="str">
        <f aca="false">IF(元データ_P!$A$30="","",元データ_P!$A$30)</f>
        <v>(32671500)札幌三越ピッコーネ・アルチビオ</v>
      </c>
      <c r="K32" s="74" t="n">
        <f aca="false">IF(LEFT(J32,1)="(",IFERROR(VALUE(MID(J32,2,FIND(")",J32)-2)),""),"")</f>
        <v>32671500</v>
      </c>
      <c r="L32" s="75" t="n">
        <f aca="false">IF($K32="","",N(元データ_P!$B$30))</f>
        <v>1960000</v>
      </c>
      <c r="M32" s="75" t="n">
        <f aca="false">IF($K32="","",N(元データ_P!$F$30))</f>
        <v>2635200</v>
      </c>
      <c r="N32" s="74" t="str">
        <f aca="false">IF($K32="","",IF(COUNTIF(店舗マスタ!$B$5:$B$304,$K32)&gt;0,"登録済","未登録→マスタに追加"))</f>
        <v>登録済</v>
      </c>
      <c r="P32" s="74" t="n">
        <v>30</v>
      </c>
      <c r="Q32" s="74" t="str">
        <f aca="false">IF(元データ_B!$A$30="","",元データ_B!$A$30)</f>
        <v>(32673800)高島屋横浜店アルチビオ</v>
      </c>
      <c r="R32" s="74" t="n">
        <f aca="false">IF(LEFT(Q32,1)="(",IFERROR(VALUE(MID(Q32,2,FIND(")",Q32)-2)),""),"")</f>
        <v>32673800</v>
      </c>
      <c r="S32" s="75" t="n">
        <f aca="false">IF($R32="","",N(元データ_B!$B$30))</f>
        <v>456600</v>
      </c>
      <c r="T32" s="75" t="n">
        <f aca="false">IF($R32="","",N(元データ_B!$F$30))</f>
        <v>168500</v>
      </c>
      <c r="U32" s="74" t="str">
        <f aca="false">IF($R32="","",IF(COUNTIF(店舗マスタ!$B$5:$B$304,$R32)&gt;0,"登録済","未登録→マスタに追加"))</f>
        <v>登録済</v>
      </c>
    </row>
    <row r="33" customFormat="false" ht="15" hidden="false" customHeight="false" outlineLevel="0" collapsed="false">
      <c r="A33" s="74" t="n">
        <v>31</v>
      </c>
      <c r="B33" s="74" t="str">
        <f aca="false">IF(元データ_PB合計!$A$31="","",元データ_PB合計!$A$31)</f>
        <v>(32573300)あべのハルカス近鉄本店アルチビオ・ピッコ</v>
      </c>
      <c r="C33" s="74" t="n">
        <f aca="false">IF(LEFT(B33,1)="(",IFERROR(VALUE(MID(B33,2,FIND(")",B33)-2)),""),"")</f>
        <v>32573300</v>
      </c>
      <c r="D33" s="75" t="n">
        <f aca="false">IF($C33="","",N(元データ_PB合計!$B$31))</f>
        <v>1647880</v>
      </c>
      <c r="E33" s="75" t="n">
        <f aca="false">IF($C33="","",N(元データ_PB合計!$C$31))</f>
        <v>2207000</v>
      </c>
      <c r="F33" s="75" t="n">
        <f aca="false">IF($C33="","",N(元データ_PB合計!$F$31))</f>
        <v>1610900</v>
      </c>
      <c r="G33" s="74" t="str">
        <f aca="false">IF($C33="","",IF(COUNTIF(店舗マスタ!$B$5:$B$304,$C33)&gt;0,"登録済","未登録→マスタに追加"))</f>
        <v>登録済</v>
      </c>
      <c r="I33" s="74" t="n">
        <v>31</v>
      </c>
      <c r="J33" s="74" t="str">
        <f aca="false">IF(元データ_P!$A$31="","",元データ_P!$A$31)</f>
        <v>(32670400)高島屋高崎店ｽﾀｼﾞｵﾋﾟｯｺｰﾈ・ﾋﾟｯｺｰﾈｸﾗﾌﾞ</v>
      </c>
      <c r="K33" s="74" t="n">
        <f aca="false">IF(LEFT(J33,1)="(",IFERROR(VALUE(MID(J33,2,FIND(")",J33)-2)),""),"")</f>
        <v>32670400</v>
      </c>
      <c r="L33" s="75" t="n">
        <f aca="false">IF($K33="","",N(元データ_P!$B$31))</f>
        <v>2495520</v>
      </c>
      <c r="M33" s="75" t="n">
        <f aca="false">IF($K33="","",N(元データ_P!$F$31))</f>
        <v>2858120</v>
      </c>
      <c r="N33" s="74" t="str">
        <f aca="false">IF($K33="","",IF(COUNTIF(店舗マスタ!$B$5:$B$304,$K33)&gt;0,"登録済","未登録→マスタに追加"))</f>
        <v>登録済</v>
      </c>
      <c r="P33" s="74" t="n">
        <v>31</v>
      </c>
      <c r="Q33" s="74" t="str">
        <f aca="false">IF(元データ_B!$A$31="","",元データ_B!$A$31)</f>
        <v>(32673900)高島屋高崎店アルチビオ</v>
      </c>
      <c r="R33" s="74" t="n">
        <f aca="false">IF(LEFT(Q33,1)="(",IFERROR(VALUE(MID(Q33,2,FIND(")",Q33)-2)),""),"")</f>
        <v>32673900</v>
      </c>
      <c r="S33" s="75" t="n">
        <f aca="false">IF($R33="","",N(元データ_B!$B$31))</f>
        <v>237700</v>
      </c>
      <c r="T33" s="75" t="n">
        <f aca="false">IF($R33="","",N(元データ_B!$F$31))</f>
        <v>137200</v>
      </c>
      <c r="U33" s="74" t="str">
        <f aca="false">IF($R33="","",IF(COUNTIF(店舗マスタ!$B$5:$B$304,$R33)&gt;0,"登録済","未登録→マスタに追加"))</f>
        <v>登録済</v>
      </c>
    </row>
    <row r="34" customFormat="false" ht="15" hidden="false" customHeight="false" outlineLevel="0" collapsed="false">
      <c r="A34" s="74" t="n">
        <v>32</v>
      </c>
      <c r="B34" s="74" t="str">
        <f aca="false">IF(元データ_PB合計!$A$32="","",元データ_PB合計!$A$32)</f>
        <v>(32570200)高島屋大阪店ｽﾀｼﾞｵﾋﾟｯｺｰﾈ・ﾋﾟｯｺｰﾈｸﾗﾌﾞ</v>
      </c>
      <c r="C34" s="74" t="n">
        <f aca="false">IF(LEFT(B34,1)="(",IFERROR(VALUE(MID(B34,2,FIND(")",B34)-2)),""),"")</f>
        <v>32570200</v>
      </c>
      <c r="D34" s="75" t="n">
        <f aca="false">IF($C34="","",N(元データ_PB合計!$B$32))</f>
        <v>3137700</v>
      </c>
      <c r="E34" s="75" t="n">
        <f aca="false">IF($C34="","",N(元データ_PB合計!$C$32))</f>
        <v>4320000</v>
      </c>
      <c r="F34" s="75" t="n">
        <f aca="false">IF($C34="","",N(元データ_PB合計!$F$32))</f>
        <v>4174590</v>
      </c>
      <c r="G34" s="74" t="str">
        <f aca="false">IF($C34="","",IF(COUNTIF(店舗マスタ!$B$5:$B$304,$C34)&gt;0,"登録済","未登録→マスタに追加"))</f>
        <v>登録済</v>
      </c>
      <c r="I34" s="74" t="n">
        <v>32</v>
      </c>
      <c r="J34" s="74" t="str">
        <f aca="false">IF(元データ_P!$A$32="","",元データ_P!$A$32)</f>
        <v>(32573900)近鉄百貨店橿原店スタジオピッコーネ</v>
      </c>
      <c r="K34" s="74" t="n">
        <f aca="false">IF(LEFT(J34,1)="(",IFERROR(VALUE(MID(J34,2,FIND(")",J34)-2)),""),"")</f>
        <v>32573900</v>
      </c>
      <c r="L34" s="75" t="n">
        <f aca="false">IF($K34="","",N(元データ_P!$B$32))</f>
        <v>1039100</v>
      </c>
      <c r="M34" s="75" t="n">
        <f aca="false">IF($K34="","",N(元データ_P!$F$32))</f>
        <v>1430400</v>
      </c>
      <c r="N34" s="74" t="str">
        <f aca="false">IF($K34="","",IF(COUNTIF(店舗マスタ!$B$5:$B$304,$K34)&gt;0,"登録済","未登録→マスタに追加"))</f>
        <v>登録済</v>
      </c>
      <c r="P34" s="74" t="n">
        <v>32</v>
      </c>
      <c r="Q34" s="74" t="str">
        <f aca="false">IF(元データ_B!$A$32="","",元データ_B!$A$32)</f>
        <v>(32674100)東武百貨店船橋店ｽﾀｼﾞｵﾋﾟｯｺｰﾈ・ﾋﾟｯｺｰﾈｸﾗﾌﾞ</v>
      </c>
      <c r="R34" s="74" t="n">
        <f aca="false">IF(LEFT(Q34,1)="(",IFERROR(VALUE(MID(Q34,2,FIND(")",Q34)-2)),""),"")</f>
        <v>32674100</v>
      </c>
      <c r="S34" s="75" t="n">
        <f aca="false">IF($R34="","",N(元データ_B!$B$32))</f>
        <v>115500</v>
      </c>
      <c r="T34" s="75" t="n">
        <f aca="false">IF($R34="","",N(元データ_B!$F$32))</f>
        <v>177600</v>
      </c>
      <c r="U34" s="74" t="str">
        <f aca="false">IF($R34="","",IF(COUNTIF(店舗マスタ!$B$5:$B$304,$R34)&gt;0,"登録済","未登録→マスタに追加"))</f>
        <v>登録済</v>
      </c>
    </row>
    <row r="35" customFormat="false" ht="15" hidden="false" customHeight="false" outlineLevel="0" collapsed="false">
      <c r="A35" s="74" t="n">
        <v>33</v>
      </c>
      <c r="B35" s="74" t="str">
        <f aca="false">IF(元データ_PB合計!$A$33="","",元データ_PB合計!$A$33)</f>
        <v>(32574100)広島三越店スタジオピッコーネ</v>
      </c>
      <c r="C35" s="74" t="n">
        <f aca="false">IF(LEFT(B35,1)="(",IFERROR(VALUE(MID(B35,2,FIND(")",B35)-2)),""),"")</f>
        <v>32574100</v>
      </c>
      <c r="D35" s="75" t="n">
        <f aca="false">IF($C35="","",N(元データ_PB合計!$B$33))</f>
        <v>1187800</v>
      </c>
      <c r="E35" s="75" t="n">
        <f aca="false">IF($C35="","",N(元データ_PB合計!$C$33))</f>
        <v>1700000</v>
      </c>
      <c r="F35" s="75" t="n">
        <f aca="false">IF($C35="","",N(元データ_PB合計!$F$33))</f>
        <v>1274700</v>
      </c>
      <c r="G35" s="74" t="str">
        <f aca="false">IF($C35="","",IF(COUNTIF(店舗マスタ!$B$5:$B$304,$C35)&gt;0,"登録済","未登録→マスタに追加"))</f>
        <v>登録済</v>
      </c>
      <c r="I35" s="74" t="n">
        <v>33</v>
      </c>
      <c r="J35" s="74" t="str">
        <f aca="false">IF(元データ_P!$A$33="","",元データ_P!$A$33)</f>
        <v>(32675800)伊勢丹立川店ｽﾀｼﾞｵﾋﾟｯｺｰﾈ・ﾋﾟｯｺｰﾈｸﾗﾌﾞ</v>
      </c>
      <c r="K35" s="74" t="n">
        <f aca="false">IF(LEFT(J35,1)="(",IFERROR(VALUE(MID(J35,2,FIND(")",J35)-2)),""),"")</f>
        <v>32675800</v>
      </c>
      <c r="L35" s="75" t="n">
        <f aca="false">IF($K35="","",N(元データ_P!$B$33))</f>
        <v>1380275</v>
      </c>
      <c r="M35" s="75" t="n">
        <f aca="false">IF($K35="","",N(元データ_P!$F$33))</f>
        <v>2326900</v>
      </c>
      <c r="N35" s="74" t="str">
        <f aca="false">IF($K35="","",IF(COUNTIF(店舗マスタ!$B$5:$B$304,$K35)&gt;0,"登録済","未登録→マスタに追加"))</f>
        <v>登録済</v>
      </c>
      <c r="P35" s="74" t="n">
        <v>33</v>
      </c>
      <c r="Q35" s="74" t="str">
        <f aca="false">IF(元データ_B!$A$33="","",元データ_B!$A$33)</f>
        <v>(32674400)伊勢丹浦和店アルチビオ</v>
      </c>
      <c r="R35" s="74" t="n">
        <f aca="false">IF(LEFT(Q35,1)="(",IFERROR(VALUE(MID(Q35,2,FIND(")",Q35)-2)),""),"")</f>
        <v>32674400</v>
      </c>
      <c r="S35" s="75" t="n">
        <f aca="false">IF($R35="","",N(元データ_B!$B$33))</f>
        <v>262670</v>
      </c>
      <c r="T35" s="75" t="n">
        <f aca="false">IF($R35="","",N(元データ_B!$F$33))</f>
        <v>160000</v>
      </c>
      <c r="U35" s="74" t="str">
        <f aca="false">IF($R35="","",IF(COUNTIF(店舗マスタ!$B$5:$B$304,$R35)&gt;0,"登録済","未登録→マスタに追加"))</f>
        <v>登録済</v>
      </c>
    </row>
    <row r="36" customFormat="false" ht="15" hidden="false" customHeight="false" outlineLevel="0" collapsed="false">
      <c r="A36" s="74" t="n">
        <v>34</v>
      </c>
      <c r="B36" s="74" t="str">
        <f aca="false">IF(元データ_PB合計!$A$34="","",元データ_PB合計!$A$34)</f>
        <v>(32675300)ピッコーネ　東急百貨店吉祥寺店</v>
      </c>
      <c r="C36" s="74" t="n">
        <f aca="false">IF(LEFT(B36,1)="(",IFERROR(VALUE(MID(B36,2,FIND(")",B36)-2)),""),"")</f>
        <v>32675300</v>
      </c>
      <c r="D36" s="75" t="n">
        <f aca="false">IF($C36="","",N(元データ_PB合計!$B$34))</f>
        <v>2224545</v>
      </c>
      <c r="E36" s="75" t="n">
        <f aca="false">IF($C36="","",N(元データ_PB合計!$C$34))</f>
        <v>3200000</v>
      </c>
      <c r="F36" s="75" t="n">
        <f aca="false">IF($C36="","",N(元データ_PB合計!$F$34))</f>
        <v>3080805</v>
      </c>
      <c r="G36" s="74" t="str">
        <f aca="false">IF($C36="","",IF(COUNTIF(店舗マスタ!$B$5:$B$304,$C36)&gt;0,"登録済","未登録→マスタに追加"))</f>
        <v>登録済</v>
      </c>
      <c r="I36" s="74" t="n">
        <v>34</v>
      </c>
      <c r="J36" s="74" t="str">
        <f aca="false">IF(元データ_P!$A$34="","",元データ_P!$A$34)</f>
        <v>(32671400)日本橋三越本店ｽﾀｼﾞｵﾋﾟｯｺｰﾈ・ﾋﾟｯｺｰﾈｸﾗﾌﾞ</v>
      </c>
      <c r="K36" s="74" t="n">
        <f aca="false">IF(LEFT(J36,1)="(",IFERROR(VALUE(MID(J36,2,FIND(")",J36)-2)),""),"")</f>
        <v>32671400</v>
      </c>
      <c r="L36" s="75" t="n">
        <f aca="false">IF($K36="","",N(元データ_P!$B$34))</f>
        <v>4361200</v>
      </c>
      <c r="M36" s="75" t="n">
        <f aca="false">IF($K36="","",N(元データ_P!$F$34))</f>
        <v>5799600</v>
      </c>
      <c r="N36" s="74" t="str">
        <f aca="false">IF($K36="","",IF(COUNTIF(店舗マスタ!$B$5:$B$304,$K36)&gt;0,"登録済","未登録→マスタに追加"))</f>
        <v>登録済</v>
      </c>
      <c r="P36" s="74" t="n">
        <v>34</v>
      </c>
      <c r="Q36" s="74" t="str">
        <f aca="false">IF(元データ_B!$A$34="","",元データ_B!$A$34)</f>
        <v>(32674900)松屋銀座本店アルチビオ</v>
      </c>
      <c r="R36" s="74" t="n">
        <f aca="false">IF(LEFT(Q36,1)="(",IFERROR(VALUE(MID(Q36,2,FIND(")",Q36)-2)),""),"")</f>
        <v>32674900</v>
      </c>
      <c r="S36" s="75" t="n">
        <f aca="false">IF($R36="","",N(元データ_B!$B$34))</f>
        <v>217980</v>
      </c>
      <c r="T36" s="75" t="n">
        <f aca="false">IF($R36="","",N(元データ_B!$F$34))</f>
        <v>44700</v>
      </c>
      <c r="U36" s="74" t="str">
        <f aca="false">IF($R36="","",IF(COUNTIF(店舗マスタ!$B$5:$B$304,$R36)&gt;0,"登録済","未登録→マスタに追加"))</f>
        <v>登録済</v>
      </c>
    </row>
    <row r="37" customFormat="false" ht="15" hidden="false" customHeight="false" outlineLevel="0" collapsed="false">
      <c r="A37" s="74" t="n">
        <v>35</v>
      </c>
      <c r="B37" s="74" t="str">
        <f aca="false">IF(元データ_PB合計!$A$35="","",元データ_PB合計!$A$35)</f>
        <v>(32675600)ながの東急百貨店ｽﾀｼﾞｵﾋﾟｯｺｰﾈ・ﾋﾟｯｺｰﾈｸﾗﾌﾞ</v>
      </c>
      <c r="C37" s="74" t="n">
        <f aca="false">IF(LEFT(B37,1)="(",IFERROR(VALUE(MID(B37,2,FIND(")",B37)-2)),""),"")</f>
        <v>32675600</v>
      </c>
      <c r="D37" s="75" t="n">
        <f aca="false">IF($C37="","",N(元データ_PB合計!$B$35))</f>
        <v>2648700</v>
      </c>
      <c r="E37" s="75" t="n">
        <f aca="false">IF($C37="","",N(元データ_PB合計!$C$35))</f>
        <v>3910000</v>
      </c>
      <c r="F37" s="75" t="n">
        <f aca="false">IF($C37="","",N(元データ_PB合計!$F$35))</f>
        <v>3232800</v>
      </c>
      <c r="G37" s="74" t="str">
        <f aca="false">IF($C37="","",IF(COUNTIF(店舗マスタ!$B$5:$B$304,$C37)&gt;0,"登録済","未登録→マスタに追加"))</f>
        <v>登録済</v>
      </c>
      <c r="I37" s="74" t="n">
        <v>35</v>
      </c>
      <c r="J37" s="74" t="str">
        <f aca="false">IF(元データ_P!$A$35="","",元データ_P!$A$35)</f>
        <v>(32580400)ハービスPLAZA店アルチビオ</v>
      </c>
      <c r="K37" s="74" t="n">
        <f aca="false">IF(LEFT(J37,1)="(",IFERROR(VALUE(MID(J37,2,FIND(")",J37)-2)),""),"")</f>
        <v>32580400</v>
      </c>
      <c r="L37" s="75" t="n">
        <f aca="false">IF($K37="","",N(元データ_P!$B$35))</f>
        <v>1946845</v>
      </c>
      <c r="M37" s="75" t="n">
        <f aca="false">IF($K37="","",N(元データ_P!$F$35))</f>
        <v>1717190</v>
      </c>
      <c r="N37" s="74" t="str">
        <f aca="false">IF($K37="","",IF(COUNTIF(店舗マスタ!$B$5:$B$304,$K37)&gt;0,"登録済","未登録→マスタに追加"))</f>
        <v>登録済</v>
      </c>
      <c r="P37" s="74" t="n">
        <v>35</v>
      </c>
      <c r="Q37" s="74" t="str">
        <f aca="false">IF(元データ_B!$A$35="","",元データ_B!$A$35)</f>
        <v>(32675100)ﾋﾟｯｺｰﾈ　東急百貨店たまﾌﾟﾗｰｻﾞ店</v>
      </c>
      <c r="R37" s="74" t="n">
        <f aca="false">IF(LEFT(Q37,1)="(",IFERROR(VALUE(MID(Q37,2,FIND(")",Q37)-2)),""),"")</f>
        <v>32675100</v>
      </c>
      <c r="S37" s="75" t="n">
        <f aca="false">IF($R37="","",N(元データ_B!$B$35))</f>
        <v>229100</v>
      </c>
      <c r="T37" s="75" t="n">
        <f aca="false">IF($R37="","",N(元データ_B!$F$35))</f>
        <v>353800</v>
      </c>
      <c r="U37" s="74" t="str">
        <f aca="false">IF($R37="","",IF(COUNTIF(店舗マスタ!$B$5:$B$304,$R37)&gt;0,"登録済","未登録→マスタに追加"))</f>
        <v>登録済</v>
      </c>
    </row>
    <row r="38" customFormat="false" ht="15" hidden="false" customHeight="false" outlineLevel="0" collapsed="false">
      <c r="A38" s="74" t="n">
        <v>36</v>
      </c>
      <c r="B38" s="74" t="str">
        <f aca="false">IF(元データ_PB合計!$A$36="","",元データ_PB合計!$A$36)</f>
        <v>(32675100)ﾋﾟｯｺｰﾈ　東急百貨店たまﾌﾟﾗｰｻﾞ店</v>
      </c>
      <c r="C38" s="74" t="n">
        <f aca="false">IF(LEFT(B38,1)="(",IFERROR(VALUE(MID(B38,2,FIND(")",B38)-2)),""),"")</f>
        <v>32675100</v>
      </c>
      <c r="D38" s="75" t="n">
        <f aca="false">IF($C38="","",N(元データ_PB合計!$B$36))</f>
        <v>3108900</v>
      </c>
      <c r="E38" s="75" t="n">
        <f aca="false">IF($C38="","",N(元データ_PB合計!$C$36))</f>
        <v>4800000</v>
      </c>
      <c r="F38" s="75" t="n">
        <f aca="false">IF($C38="","",N(元データ_PB合計!$F$36))</f>
        <v>4852400</v>
      </c>
      <c r="G38" s="74" t="str">
        <f aca="false">IF($C38="","",IF(COUNTIF(店舗マスタ!$B$5:$B$304,$C38)&gt;0,"登録済","未登録→マスタに追加"))</f>
        <v>登録済</v>
      </c>
      <c r="I38" s="74" t="n">
        <v>36</v>
      </c>
      <c r="J38" s="74" t="str">
        <f aca="false">IF(元データ_P!$A$36="","",元データ_P!$A$36)</f>
        <v>(32573300)あべのハルカス近鉄本店アルチビオ・ピッコ</v>
      </c>
      <c r="K38" s="74" t="n">
        <f aca="false">IF(LEFT(J38,1)="(",IFERROR(VALUE(MID(J38,2,FIND(")",J38)-2)),""),"")</f>
        <v>32573300</v>
      </c>
      <c r="L38" s="75" t="n">
        <f aca="false">IF($K38="","",N(元データ_P!$B$36))</f>
        <v>1159540</v>
      </c>
      <c r="M38" s="75" t="n">
        <f aca="false">IF($K38="","",N(元データ_P!$F$36))</f>
        <v>1399900</v>
      </c>
      <c r="N38" s="74" t="str">
        <f aca="false">IF($K38="","",IF(COUNTIF(店舗マスタ!$B$5:$B$304,$K38)&gt;0,"登録済","未登録→マスタに追加"))</f>
        <v>登録済</v>
      </c>
      <c r="P38" s="74" t="n">
        <v>36</v>
      </c>
      <c r="Q38" s="74" t="str">
        <f aca="false">IF(元データ_B!$A$36="","",元データ_B!$A$36)</f>
        <v>(32675300)ピッコーネ　東急百貨店吉祥寺店</v>
      </c>
      <c r="R38" s="74" t="n">
        <f aca="false">IF(LEFT(Q38,1)="(",IFERROR(VALUE(MID(Q38,2,FIND(")",Q38)-2)),""),"")</f>
        <v>32675300</v>
      </c>
      <c r="S38" s="75" t="n">
        <f aca="false">IF($R38="","",N(元データ_B!$B$36))</f>
        <v>121700</v>
      </c>
      <c r="T38" s="75" t="n">
        <f aca="false">IF($R38="","",N(元データ_B!$F$36))</f>
        <v>161500</v>
      </c>
      <c r="U38" s="74" t="str">
        <f aca="false">IF($R38="","",IF(COUNTIF(店舗マスタ!$B$5:$B$304,$R38)&gt;0,"登録済","未登録→マスタに追加"))</f>
        <v>登録済</v>
      </c>
    </row>
    <row r="39" customFormat="false" ht="15" hidden="false" customHeight="false" outlineLevel="0" collapsed="false">
      <c r="A39" s="74" t="n">
        <v>37</v>
      </c>
      <c r="B39" s="74" t="str">
        <f aca="false">IF(元データ_PB合計!$A$37="","",元データ_PB合計!$A$37)</f>
        <v>(32580700)ホテルニューオータニ大阪店ピッコーネ</v>
      </c>
      <c r="C39" s="74" t="n">
        <f aca="false">IF(LEFT(B39,1)="(",IFERROR(VALUE(MID(B39,2,FIND(")",B39)-2)),""),"")</f>
        <v>32580700</v>
      </c>
      <c r="D39" s="75" t="n">
        <f aca="false">IF($C39="","",N(元データ_PB合計!$B$37))</f>
        <v>946100</v>
      </c>
      <c r="E39" s="75" t="n">
        <f aca="false">IF($C39="","",N(元データ_PB合計!$C$37))</f>
        <v>1550000</v>
      </c>
      <c r="F39" s="75" t="n">
        <f aca="false">IF($C39="","",N(元データ_PB合計!$F$37))</f>
        <v>1285696</v>
      </c>
      <c r="G39" s="74" t="str">
        <f aca="false">IF($C39="","",IF(COUNTIF(店舗マスタ!$B$5:$B$304,$C39)&gt;0,"登録済","未登録→マスタに追加"))</f>
        <v>登録済</v>
      </c>
      <c r="I39" s="74" t="n">
        <v>37</v>
      </c>
      <c r="J39" s="74" t="str">
        <f aca="false">IF(元データ_P!$A$37="","",元データ_P!$A$37)</f>
        <v>(32670200)髙島屋横浜店ｽﾀｼﾞｵﾋﾟｯｺｰﾈ・ﾋﾟｯｺｰﾈｸﾗﾌﾞ</v>
      </c>
      <c r="K39" s="74" t="n">
        <f aca="false">IF(LEFT(J39,1)="(",IFERROR(VALUE(MID(J39,2,FIND(")",J39)-2)),""),"")</f>
        <v>32670200</v>
      </c>
      <c r="L39" s="75" t="n">
        <f aca="false">IF($K39="","",N(元データ_P!$B$37))</f>
        <v>3118100</v>
      </c>
      <c r="M39" s="75" t="n">
        <f aca="false">IF($K39="","",N(元データ_P!$F$37))</f>
        <v>3560410</v>
      </c>
      <c r="N39" s="74" t="str">
        <f aca="false">IF($K39="","",IF(COUNTIF(店舗マスタ!$B$5:$B$304,$K39)&gt;0,"登録済","未登録→マスタに追加"))</f>
        <v>登録済</v>
      </c>
      <c r="P39" s="74" t="n">
        <v>37</v>
      </c>
      <c r="Q39" s="74" t="str">
        <f aca="false">IF(元データ_B!$A$37="","",元データ_B!$A$37)</f>
        <v>(32675600)ながの東急百貨店ｽﾀｼﾞｵﾋﾟｯｺｰﾈ・ﾋﾟｯｺｰﾈｸﾗﾌﾞ</v>
      </c>
      <c r="R39" s="74" t="n">
        <f aca="false">IF(LEFT(Q39,1)="(",IFERROR(VALUE(MID(Q39,2,FIND(")",Q39)-2)),""),"")</f>
        <v>32675600</v>
      </c>
      <c r="S39" s="75" t="n">
        <f aca="false">IF($R39="","",N(元データ_B!$B$37))</f>
        <v>63000</v>
      </c>
      <c r="T39" s="75" t="n">
        <f aca="false">IF($R39="","",N(元データ_B!$F$37))</f>
        <v>103600</v>
      </c>
      <c r="U39" s="74" t="str">
        <f aca="false">IF($R39="","",IF(COUNTIF(店舗マスタ!$B$5:$B$304,$R39)&gt;0,"登録済","未登録→マスタに追加"))</f>
        <v>登録済</v>
      </c>
    </row>
    <row r="40" customFormat="false" ht="15" hidden="false" customHeight="false" outlineLevel="0" collapsed="false">
      <c r="A40" s="74" t="n">
        <v>38</v>
      </c>
      <c r="B40" s="74" t="str">
        <f aca="false">IF(元データ_PB合計!$A$38="","",元データ_PB合計!$A$38)</f>
        <v>(32670400)高島屋高崎店ｽﾀｼﾞｵﾋﾟｯｺｰﾈ・ﾋﾟｯｺｰﾈｸﾗﾌﾞ</v>
      </c>
      <c r="C40" s="74" t="n">
        <f aca="false">IF(LEFT(B40,1)="(",IFERROR(VALUE(MID(B40,2,FIND(")",B40)-2)),""),"")</f>
        <v>32670400</v>
      </c>
      <c r="D40" s="75" t="n">
        <f aca="false">IF($C40="","",N(元データ_PB合計!$B$38))</f>
        <v>2640520</v>
      </c>
      <c r="E40" s="75" t="n">
        <f aca="false">IF($C40="","",N(元データ_PB合計!$C$38))</f>
        <v>4410000</v>
      </c>
      <c r="F40" s="75" t="n">
        <f aca="false">IF($C40="","",N(元データ_PB合計!$F$38))</f>
        <v>2984120</v>
      </c>
      <c r="G40" s="74" t="str">
        <f aca="false">IF($C40="","",IF(COUNTIF(店舗マスタ!$B$5:$B$304,$C40)&gt;0,"登録済","未登録→マスタに追加"))</f>
        <v>登録済</v>
      </c>
      <c r="I40" s="74" t="n">
        <v>38</v>
      </c>
      <c r="J40" s="74" t="str">
        <f aca="false">IF(元データ_P!$A$38="","",元データ_P!$A$38)</f>
        <v>(32574100)広島三越店スタジオピッコーネ</v>
      </c>
      <c r="K40" s="74" t="n">
        <f aca="false">IF(LEFT(J40,1)="(",IFERROR(VALUE(MID(J40,2,FIND(")",J40)-2)),""),"")</f>
        <v>32574100</v>
      </c>
      <c r="L40" s="75" t="n">
        <f aca="false">IF($K40="","",N(元データ_P!$B$38))</f>
        <v>819800</v>
      </c>
      <c r="M40" s="75" t="n">
        <f aca="false">IF($K40="","",N(元データ_P!$F$38))</f>
        <v>1158600</v>
      </c>
      <c r="N40" s="74" t="str">
        <f aca="false">IF($K40="","",IF(COUNTIF(店舗マスタ!$B$5:$B$304,$K40)&gt;0,"登録済","未登録→マスタに追加"))</f>
        <v>登録済</v>
      </c>
      <c r="P40" s="74" t="n">
        <v>38</v>
      </c>
      <c r="Q40" s="74" t="str">
        <f aca="false">IF(元データ_B!$A$38="","",元データ_B!$A$38)</f>
        <v>(32675700)静岡伊勢丹ｽﾀｼﾞｵﾋﾟｯｺｰﾈ・ﾋﾟｯｺｰﾈｸﾗﾌﾞ</v>
      </c>
      <c r="R40" s="74" t="n">
        <f aca="false">IF(LEFT(Q40,1)="(",IFERROR(VALUE(MID(Q40,2,FIND(")",Q40)-2)),""),"")</f>
        <v>32675700</v>
      </c>
      <c r="S40" s="75" t="n">
        <f aca="false">IF($R40="","",N(元データ_B!$B$38))</f>
        <v>435200</v>
      </c>
      <c r="T40" s="75" t="n">
        <f aca="false">IF($R40="","",N(元データ_B!$F$38))</f>
        <v>186200</v>
      </c>
      <c r="U40" s="74" t="str">
        <f aca="false">IF($R40="","",IF(COUNTIF(店舗マスタ!$B$5:$B$304,$R40)&gt;0,"登録済","未登録→マスタに追加"))</f>
        <v>登録済</v>
      </c>
    </row>
    <row r="41" customFormat="false" ht="15" hidden="false" customHeight="false" outlineLevel="0" collapsed="false">
      <c r="A41" s="74" t="n">
        <v>39</v>
      </c>
      <c r="B41" s="74" t="str">
        <f aca="false">IF(元データ_PB合計!$A$39="","",元データ_PB合計!$A$39)</f>
        <v>(32572200)松坂屋名古屋店アルチビオ・ピッコーネクラ</v>
      </c>
      <c r="C41" s="74" t="n">
        <f aca="false">IF(LEFT(B41,1)="(",IFERROR(VALUE(MID(B41,2,FIND(")",B41)-2)),""),"")</f>
        <v>32572200</v>
      </c>
      <c r="D41" s="75" t="n">
        <f aca="false">IF($C41="","",N(元データ_PB合計!$B$39))</f>
        <v>3842428</v>
      </c>
      <c r="E41" s="75" t="n">
        <f aca="false">IF($C41="","",N(元データ_PB合計!$C$39))</f>
        <v>6627000</v>
      </c>
      <c r="F41" s="75" t="n">
        <f aca="false">IF($C41="","",N(元データ_PB合計!$F$39))</f>
        <v>6146895</v>
      </c>
      <c r="G41" s="74" t="str">
        <f aca="false">IF($C41="","",IF(COUNTIF(店舗マスタ!$B$5:$B$304,$C41)&gt;0,"登録済","未登録→マスタに追加"))</f>
        <v>登録済</v>
      </c>
      <c r="I41" s="74" t="n">
        <v>39</v>
      </c>
      <c r="J41" s="74" t="str">
        <f aca="false">IF(元データ_P!$A$39="","",元データ_P!$A$39)</f>
        <v>(32674900)松屋銀座本店アルチビオ</v>
      </c>
      <c r="K41" s="74" t="n">
        <f aca="false">IF(LEFT(J41,1)="(",IFERROR(VALUE(MID(J41,2,FIND(")",J41)-2)),""),"")</f>
        <v>32674900</v>
      </c>
      <c r="L41" s="75" t="n">
        <f aca="false">IF($K41="","",N(元データ_P!$B$39))</f>
        <v>1207333</v>
      </c>
      <c r="M41" s="75" t="n">
        <f aca="false">IF($K41="","",N(元データ_P!$F$39))</f>
        <v>1911245</v>
      </c>
      <c r="N41" s="74" t="str">
        <f aca="false">IF($K41="","",IF(COUNTIF(店舗マスタ!$B$5:$B$304,$K41)&gt;0,"登録済","未登録→マスタに追加"))</f>
        <v>登録済</v>
      </c>
      <c r="P41" s="74" t="n">
        <v>39</v>
      </c>
      <c r="Q41" s="74" t="str">
        <f aca="false">IF(元データ_B!$A$39="","",元データ_B!$A$39)</f>
        <v>(32675800)伊勢丹立川店ｽﾀｼﾞｵﾋﾟｯｺｰﾈ・ﾋﾟｯｺｰﾈｸﾗﾌﾞ</v>
      </c>
      <c r="R41" s="74" t="n">
        <f aca="false">IF(LEFT(Q41,1)="(",IFERROR(VALUE(MID(Q41,2,FIND(")",Q41)-2)),""),"")</f>
        <v>32675800</v>
      </c>
      <c r="S41" s="75" t="n">
        <f aca="false">IF($R41="","",N(元データ_B!$B$39))</f>
        <v>38000</v>
      </c>
      <c r="T41" s="75" t="n">
        <f aca="false">IF($R41="","",N(元データ_B!$F$39))</f>
        <v>97500</v>
      </c>
      <c r="U41" s="74" t="str">
        <f aca="false">IF($R41="","",IF(COUNTIF(店舗マスタ!$B$5:$B$304,$R41)&gt;0,"登録済","未登録→マスタに追加"))</f>
        <v>登録済</v>
      </c>
    </row>
    <row r="42" customFormat="false" ht="15" hidden="false" customHeight="false" outlineLevel="0" collapsed="false">
      <c r="A42" s="74" t="n">
        <v>40</v>
      </c>
      <c r="B42" s="74" t="str">
        <f aca="false">IF(元データ_PB合計!$A$40="","",元データ_PB合計!$A$40)</f>
        <v>(32671400)日本橋三越本店ｽﾀｼﾞｵﾋﾟｯｺｰﾈ・ﾋﾟｯｺｰﾈｸﾗﾌﾞ</v>
      </c>
      <c r="C42" s="74" t="n">
        <f aca="false">IF(LEFT(B42,1)="(",IFERROR(VALUE(MID(B42,2,FIND(")",B42)-2)),""),"")</f>
        <v>32671400</v>
      </c>
      <c r="D42" s="75" t="n">
        <f aca="false">IF($C42="","",N(元データ_PB合計!$B$40))</f>
        <v>4633300</v>
      </c>
      <c r="E42" s="75" t="n">
        <f aca="false">IF($C42="","",N(元データ_PB合計!$C$40))</f>
        <v>7990000</v>
      </c>
      <c r="F42" s="75" t="n">
        <f aca="false">IF($C42="","",N(元データ_PB合計!$F$40))</f>
        <v>5799600</v>
      </c>
      <c r="G42" s="74" t="str">
        <f aca="false">IF($C42="","",IF(COUNTIF(店舗マスタ!$B$5:$B$304,$C42)&gt;0,"登録済","未登録→マスタに追加"))</f>
        <v>登録済</v>
      </c>
      <c r="I42" s="74" t="n">
        <v>40</v>
      </c>
      <c r="J42" s="74" t="str">
        <f aca="false">IF(元データ_P!$A$40="","",元データ_P!$A$40)</f>
        <v>(32572200)松坂屋名古屋店アルチビオ・ピッコーネクラ</v>
      </c>
      <c r="K42" s="74" t="n">
        <f aca="false">IF(LEFT(J42,1)="(",IFERROR(VALUE(MID(J42,2,FIND(")",J42)-2)),""),"")</f>
        <v>32572200</v>
      </c>
      <c r="L42" s="75" t="n">
        <f aca="false">IF($K42="","",N(元データ_P!$B$40))</f>
        <v>2779498</v>
      </c>
      <c r="M42" s="75" t="n">
        <f aca="false">IF($K42="","",N(元データ_P!$F$40))</f>
        <v>5135835</v>
      </c>
      <c r="N42" s="74" t="str">
        <f aca="false">IF($K42="","",IF(COUNTIF(店舗マスタ!$B$5:$B$304,$K42)&gt;0,"登録済","未登録→マスタに追加"))</f>
        <v>登録済</v>
      </c>
      <c r="P42" s="74" t="n">
        <v>40</v>
      </c>
      <c r="Q42" s="74" t="str">
        <f aca="false">IF(元データ_B!$A$40="","",元データ_B!$A$40)</f>
        <v>(32676200)東武宇都宮百貨店ｽﾀｼﾞｵﾋﾟｯｺｰﾈ・ﾋﾟｯｺｰﾈｸﾗﾌﾞ</v>
      </c>
      <c r="R42" s="74" t="n">
        <f aca="false">IF(LEFT(Q42,1)="(",IFERROR(VALUE(MID(Q42,2,FIND(")",Q42)-2)),""),"")</f>
        <v>32676200</v>
      </c>
      <c r="S42" s="75" t="n">
        <f aca="false">IF($R42="","",N(元データ_B!$B$40))</f>
        <v>303300</v>
      </c>
      <c r="T42" s="75" t="n">
        <f aca="false">IF($R42="","",N(元データ_B!$F$40))</f>
        <v>191400</v>
      </c>
      <c r="U42" s="74" t="str">
        <f aca="false">IF($R42="","",IF(COUNTIF(店舗マスタ!$B$5:$B$304,$R42)&gt;0,"登録済","未登録→マスタに追加"))</f>
        <v>登録済</v>
      </c>
    </row>
    <row r="43" customFormat="false" ht="15" hidden="false" customHeight="false" outlineLevel="0" collapsed="false">
      <c r="A43" s="74" t="n">
        <v>41</v>
      </c>
      <c r="B43" s="74" t="str">
        <f aca="false">IF(元データ_PB合計!$A$41="","",元データ_PB合計!$A$41)</f>
        <v>(32674900)松屋銀座本店アルチビオ</v>
      </c>
      <c r="C43" s="74" t="n">
        <f aca="false">IF(LEFT(B43,1)="(",IFERROR(VALUE(MID(B43,2,FIND(")",B43)-2)),""),"")</f>
        <v>32674900</v>
      </c>
      <c r="D43" s="75" t="n">
        <f aca="false">IF($C43="","",N(元データ_PB合計!$B$41))</f>
        <v>1425313</v>
      </c>
      <c r="E43" s="75" t="n">
        <f aca="false">IF($C43="","",N(元データ_PB合計!$C$41))</f>
        <v>2512000</v>
      </c>
      <c r="F43" s="75" t="n">
        <f aca="false">IF($C43="","",N(元データ_PB合計!$F$41))</f>
        <v>1955945</v>
      </c>
      <c r="G43" s="74" t="str">
        <f aca="false">IF($C43="","",IF(COUNTIF(店舗マスタ!$B$5:$B$304,$C43)&gt;0,"登録済","未登録→マスタに追加"))</f>
        <v>登録済</v>
      </c>
      <c r="I43" s="74" t="n">
        <v>41</v>
      </c>
      <c r="J43" s="74" t="str">
        <f aca="false">IF(元データ_P!$A$41="","",元データ_P!$A$41)</f>
        <v>(32580700)ホテルニューオータニ大阪店ピッコーネ</v>
      </c>
      <c r="K43" s="74" t="n">
        <f aca="false">IF(LEFT(J43,1)="(",IFERROR(VALUE(MID(J43,2,FIND(")",J43)-2)),""),"")</f>
        <v>32580700</v>
      </c>
      <c r="L43" s="75" t="n">
        <f aca="false">IF($K43="","",N(元データ_P!$B$41))</f>
        <v>621400</v>
      </c>
      <c r="M43" s="75" t="n">
        <f aca="false">IF($K43="","",N(元データ_P!$F$41))</f>
        <v>785950</v>
      </c>
      <c r="N43" s="74" t="str">
        <f aca="false">IF($K43="","",IF(COUNTIF(店舗マスタ!$B$5:$B$304,$K43)&gt;0,"登録済","未登録→マスタに追加"))</f>
        <v>登録済</v>
      </c>
      <c r="P43" s="74" t="n">
        <v>41</v>
      </c>
      <c r="Q43" s="74" t="str">
        <f aca="false">IF(元データ_B!$A$41="","",元データ_B!$A$41)</f>
        <v>(32676700)大宮高島屋ｽﾀｼﾞｵﾋﾟｯｺｰﾈ・ﾋﾟｯｺｰﾈｸﾗﾌﾞ</v>
      </c>
      <c r="R43" s="74" t="n">
        <f aca="false">IF(LEFT(Q43,1)="(",IFERROR(VALUE(MID(Q43,2,FIND(")",Q43)-2)),""),"")</f>
        <v>32676700</v>
      </c>
      <c r="S43" s="75" t="n">
        <f aca="false">IF($R43="","",N(元データ_B!$B$41))</f>
        <v>178200</v>
      </c>
      <c r="T43" s="75" t="n">
        <f aca="false">IF($R43="","",N(元データ_B!$F$41))</f>
        <v>0</v>
      </c>
      <c r="U43" s="74" t="str">
        <f aca="false">IF($R43="","",IF(COUNTIF(店舗マスタ!$B$5:$B$304,$R43)&gt;0,"登録済","未登録→マスタに追加"))</f>
        <v>登録済</v>
      </c>
    </row>
    <row r="44" customFormat="false" ht="15" hidden="false" customHeight="false" outlineLevel="0" collapsed="false">
      <c r="A44" s="74" t="n">
        <v>42</v>
      </c>
      <c r="B44" s="74" t="str">
        <f aca="false">IF(元データ_PB合計!$A$42="","",元データ_PB合計!$A$42)</f>
        <v>(32675800)伊勢丹立川店ｽﾀｼﾞｵﾋﾟｯｺｰﾈ・ﾋﾟｯｺｰﾈｸﾗﾌﾞ</v>
      </c>
      <c r="C44" s="74" t="n">
        <f aca="false">IF(LEFT(B44,1)="(",IFERROR(VALUE(MID(B44,2,FIND(")",B44)-2)),""),"")</f>
        <v>32675800</v>
      </c>
      <c r="D44" s="75" t="n">
        <f aca="false">IF($C44="","",N(元データ_PB合計!$B$42))</f>
        <v>1418275</v>
      </c>
      <c r="E44" s="75" t="n">
        <f aca="false">IF($C44="","",N(元データ_PB合計!$C$42))</f>
        <v>2500000</v>
      </c>
      <c r="F44" s="75" t="n">
        <f aca="false">IF($C44="","",N(元データ_PB合計!$F$42))</f>
        <v>2424400</v>
      </c>
      <c r="G44" s="74" t="str">
        <f aca="false">IF($C44="","",IF(COUNTIF(店舗マスタ!$B$5:$B$304,$C44)&gt;0,"登録済","未登録→マスタに追加"))</f>
        <v>登録済</v>
      </c>
      <c r="I44" s="74" t="n">
        <v>42</v>
      </c>
      <c r="J44" s="74" t="str">
        <f aca="false">IF(元データ_P!$A$42="","",元データ_P!$A$42)</f>
        <v>(32580600)ラポルテ芦屋店ピッコーネ</v>
      </c>
      <c r="K44" s="74" t="n">
        <f aca="false">IF(LEFT(J44,1)="(",IFERROR(VALUE(MID(J44,2,FIND(")",J44)-2)),""),"")</f>
        <v>32580600</v>
      </c>
      <c r="L44" s="75" t="n">
        <f aca="false">IF($K44="","",N(元データ_P!$B$42))</f>
        <v>978750</v>
      </c>
      <c r="M44" s="75" t="n">
        <f aca="false">IF($K44="","",N(元データ_P!$F$42))</f>
        <v>1368371</v>
      </c>
      <c r="N44" s="74" t="str">
        <f aca="false">IF($K44="","",IF(COUNTIF(店舗マスタ!$B$5:$B$304,$K44)&gt;0,"登録済","未登録→マスタに追加"))</f>
        <v>登録済</v>
      </c>
      <c r="P44" s="74" t="n">
        <v>42</v>
      </c>
      <c r="Q44" s="74" t="str">
        <f aca="false">IF(元データ_B!$A$42="","",元データ_B!$A$42)</f>
        <v>(32680600)那須ｶﾞｰﾃﾞﾝｱｳﾄﾚｯﾄ店アルチビオ</v>
      </c>
      <c r="R44" s="74" t="n">
        <f aca="false">IF(LEFT(Q44,1)="(",IFERROR(VALUE(MID(Q44,2,FIND(")",Q44)-2)),""),"")</f>
        <v>32680600</v>
      </c>
      <c r="S44" s="75" t="n">
        <f aca="false">IF($R44="","",N(元データ_B!$B$42))</f>
        <v>1071250</v>
      </c>
      <c r="T44" s="75" t="n">
        <f aca="false">IF($R44="","",N(元データ_B!$F$42))</f>
        <v>1837840</v>
      </c>
      <c r="U44" s="74" t="str">
        <f aca="false">IF($R44="","",IF(COUNTIF(店舗マスタ!$B$5:$B$304,$R44)&gt;0,"登録済","未登録→マスタに追加"))</f>
        <v>登録済</v>
      </c>
    </row>
    <row r="45" customFormat="false" ht="15" hidden="false" customHeight="false" outlineLevel="0" collapsed="false">
      <c r="A45" s="74" t="n">
        <v>43</v>
      </c>
      <c r="B45" s="74" t="str">
        <f aca="false">IF(元データ_PB合計!$A$43="","",元データ_PB合計!$A$43)</f>
        <v>(32581000)堀江店アルチビオ</v>
      </c>
      <c r="C45" s="74" t="n">
        <f aca="false">IF(LEFT(B45,1)="(",IFERROR(VALUE(MID(B45,2,FIND(")",B45)-2)),""),"")</f>
        <v>32581000</v>
      </c>
      <c r="D45" s="75" t="n">
        <f aca="false">IF($C45="","",N(元データ_PB合計!$B$43))</f>
        <v>1572240</v>
      </c>
      <c r="E45" s="75" t="n">
        <f aca="false">IF($C45="","",N(元データ_PB合計!$C$43))</f>
        <v>2787000</v>
      </c>
      <c r="F45" s="75" t="n">
        <f aca="false">IF($C45="","",N(元データ_PB合計!$F$43))</f>
        <v>2688196</v>
      </c>
      <c r="G45" s="74" t="str">
        <f aca="false">IF($C45="","",IF(COUNTIF(店舗マスタ!$B$5:$B$304,$C45)&gt;0,"登録済","未登録→マスタに追加"))</f>
        <v>登録済</v>
      </c>
      <c r="I45" s="74" t="n">
        <v>43</v>
      </c>
      <c r="J45" s="74" t="str">
        <f aca="false">IF(元データ_P!$A$43="","",元データ_P!$A$43)</f>
        <v>(32580900)阪急三番街店ピッコーネ</v>
      </c>
      <c r="K45" s="74" t="n">
        <f aca="false">IF(LEFT(J45,1)="(",IFERROR(VALUE(MID(J45,2,FIND(")",J45)-2)),""),"")</f>
        <v>32580900</v>
      </c>
      <c r="L45" s="75" t="n">
        <f aca="false">IF($K45="","",N(元データ_P!$B$43))</f>
        <v>904121</v>
      </c>
      <c r="M45" s="75" t="n">
        <f aca="false">IF($K45="","",N(元データ_P!$F$43))</f>
        <v>1132287</v>
      </c>
      <c r="N45" s="74" t="str">
        <f aca="false">IF($K45="","",IF(COUNTIF(店舗マスタ!$B$5:$B$304,$K45)&gt;0,"登録済","未登録→マスタに追加"))</f>
        <v>登録済</v>
      </c>
      <c r="P45" s="74" t="n">
        <v>43</v>
      </c>
      <c r="Q45" s="74" t="str">
        <f aca="false">IF(元データ_B!$A$43="","",元データ_B!$A$43)</f>
        <v>合計</v>
      </c>
      <c r="R45" s="74" t="str">
        <f aca="false">IF(LEFT(Q45,1)="(",IFERROR(VALUE(MID(Q45,2,FIND(")",Q45)-2)),""),"")</f>
        <v/>
      </c>
      <c r="S45" s="75" t="str">
        <f aca="false">IF($R45="","",N(元データ_B!$B$43))</f>
        <v/>
      </c>
      <c r="T45" s="75" t="str">
        <f aca="false">IF($R45="","",N(元データ_B!$F$43))</f>
        <v/>
      </c>
      <c r="U45" s="74" t="str">
        <f aca="false">IF($R45="","",IF(COUNTIF(店舗マスタ!$B$5:$B$304,$R45)&gt;0,"登録済","未登録→マスタに追加"))</f>
        <v/>
      </c>
    </row>
    <row r="46" customFormat="false" ht="15" hidden="false" customHeight="false" outlineLevel="0" collapsed="false">
      <c r="A46" s="74" t="n">
        <v>44</v>
      </c>
      <c r="B46" s="74" t="str">
        <f aca="false">IF(元データ_PB合計!$A$44="","",元データ_PB合計!$A$44)</f>
        <v>(32670200)髙島屋横浜店ｽﾀｼﾞｵﾋﾟｯｺｰﾈ・ﾋﾟｯｺｰﾈｸﾗﾌﾞ</v>
      </c>
      <c r="C46" s="74" t="n">
        <f aca="false">IF(LEFT(B46,1)="(",IFERROR(VALUE(MID(B46,2,FIND(")",B46)-2)),""),"")</f>
        <v>32670200</v>
      </c>
      <c r="D46" s="75" t="n">
        <f aca="false">IF($C46="","",N(元データ_PB合計!$B$44))</f>
        <v>3134900</v>
      </c>
      <c r="E46" s="75" t="n">
        <f aca="false">IF($C46="","",N(元データ_PB合計!$C$44))</f>
        <v>6100000</v>
      </c>
      <c r="F46" s="75" t="n">
        <f aca="false">IF($C46="","",N(元データ_PB合計!$F$44))</f>
        <v>3604510</v>
      </c>
      <c r="G46" s="74" t="str">
        <f aca="false">IF($C46="","",IF(COUNTIF(店舗マスタ!$B$5:$B$304,$C46)&gt;0,"登録済","未登録→マスタに追加"))</f>
        <v>登録済</v>
      </c>
      <c r="I46" s="74" t="n">
        <v>44</v>
      </c>
      <c r="J46" s="74" t="str">
        <f aca="false">IF(元データ_P!$A$44="","",元データ_P!$A$44)</f>
        <v>(32676700)大宮高島屋ｽﾀｼﾞｵﾋﾟｯｺｰﾈ・ﾋﾟｯｺｰﾈｸﾗﾌﾞ</v>
      </c>
      <c r="K46" s="74" t="n">
        <f aca="false">IF(LEFT(J46,1)="(",IFERROR(VALUE(MID(J46,2,FIND(")",J46)-2)),""),"")</f>
        <v>32676700</v>
      </c>
      <c r="L46" s="75" t="n">
        <f aca="false">IF($K46="","",N(元データ_P!$B$44))</f>
        <v>449395</v>
      </c>
      <c r="M46" s="75" t="n">
        <f aca="false">IF($K46="","",N(元データ_P!$F$44))</f>
        <v>0</v>
      </c>
      <c r="N46" s="74" t="str">
        <f aca="false">IF($K46="","",IF(COUNTIF(店舗マスタ!$B$5:$B$304,$K46)&gt;0,"登録済","未登録→マスタに追加"))</f>
        <v>登録済</v>
      </c>
      <c r="P46" s="74" t="n">
        <v>44</v>
      </c>
      <c r="Q46" s="74" t="str">
        <f aca="false">IF(元データ_B!$A$44="","",元データ_B!$A$44)</f>
        <v/>
      </c>
      <c r="R46" s="74" t="str">
        <f aca="false">IF(LEFT(Q46,1)="(",IFERROR(VALUE(MID(Q46,2,FIND(")",Q46)-2)),""),"")</f>
        <v/>
      </c>
      <c r="S46" s="75" t="str">
        <f aca="false">IF($R46="","",N(元データ_B!$B$44))</f>
        <v/>
      </c>
      <c r="T46" s="75" t="str">
        <f aca="false">IF($R46="","",N(元データ_B!$F$44))</f>
        <v/>
      </c>
      <c r="U46" s="74" t="str">
        <f aca="false">IF($R46="","",IF(COUNTIF(店舗マスタ!$B$5:$B$304,$R46)&gt;0,"登録済","未登録→マスタに追加"))</f>
        <v/>
      </c>
    </row>
    <row r="47" customFormat="false" ht="15" hidden="false" customHeight="false" outlineLevel="0" collapsed="false">
      <c r="A47" s="74" t="n">
        <v>45</v>
      </c>
      <c r="B47" s="74" t="str">
        <f aca="false">IF(元データ_PB合計!$A$45="","",元データ_PB合計!$A$45)</f>
        <v>(32674400)伊勢丹浦和店アルチビオ</v>
      </c>
      <c r="C47" s="74" t="n">
        <f aca="false">IF(LEFT(B47,1)="(",IFERROR(VALUE(MID(B47,2,FIND(")",B47)-2)),""),"")</f>
        <v>32674400</v>
      </c>
      <c r="D47" s="75" t="n">
        <f aca="false">IF($C47="","",N(元データ_PB合計!$B$45))</f>
        <v>469470</v>
      </c>
      <c r="E47" s="75" t="n">
        <f aca="false">IF($C47="","",N(元データ_PB合計!$C$45))</f>
        <v>1100000</v>
      </c>
      <c r="F47" s="75" t="n">
        <f aca="false">IF($C47="","",N(元データ_PB合計!$F$45))</f>
        <v>1083300</v>
      </c>
      <c r="G47" s="74" t="str">
        <f aca="false">IF($C47="","",IF(COUNTIF(店舗マスタ!$B$5:$B$304,$C47)&gt;0,"登録済","未登録→マスタに追加"))</f>
        <v>登録済</v>
      </c>
      <c r="I47" s="74" t="n">
        <v>45</v>
      </c>
      <c r="J47" s="74" t="str">
        <f aca="false">IF(元データ_P!$A$45="","",元データ_P!$A$45)</f>
        <v>(32581000)堀江店アルチビオ</v>
      </c>
      <c r="K47" s="74" t="n">
        <f aca="false">IF(LEFT(J47,1)="(",IFERROR(VALUE(MID(J47,2,FIND(")",J47)-2)),""),"")</f>
        <v>32581000</v>
      </c>
      <c r="L47" s="75" t="n">
        <f aca="false">IF($K47="","",N(元データ_P!$B$45))</f>
        <v>659140</v>
      </c>
      <c r="M47" s="75" t="n">
        <f aca="false">IF($K47="","",N(元データ_P!$F$45))</f>
        <v>1676126</v>
      </c>
      <c r="N47" s="74" t="str">
        <f aca="false">IF($K47="","",IF(COUNTIF(店舗マスタ!$B$5:$B$304,$K47)&gt;0,"登録済","未登録→マスタに追加"))</f>
        <v>登録済</v>
      </c>
      <c r="P47" s="74" t="n">
        <v>45</v>
      </c>
      <c r="Q47" s="74" t="str">
        <f aca="false">IF(元データ_B!$A$45="","",元データ_B!$A$45)</f>
        <v/>
      </c>
      <c r="R47" s="74" t="str">
        <f aca="false">IF(LEFT(Q47,1)="(",IFERROR(VALUE(MID(Q47,2,FIND(")",Q47)-2)),""),"")</f>
        <v/>
      </c>
      <c r="S47" s="75" t="str">
        <f aca="false">IF($R47="","",N(元データ_B!$B$45))</f>
        <v/>
      </c>
      <c r="T47" s="75" t="str">
        <f aca="false">IF($R47="","",N(元データ_B!$F$45))</f>
        <v/>
      </c>
      <c r="U47" s="74" t="str">
        <f aca="false">IF($R47="","",IF(COUNTIF(店舗マスタ!$B$5:$B$304,$R47)&gt;0,"登録済","未登録→マスタに追加"))</f>
        <v/>
      </c>
    </row>
    <row r="48" customFormat="false" ht="15" hidden="false" customHeight="false" outlineLevel="0" collapsed="false">
      <c r="A48" s="74" t="n">
        <v>46</v>
      </c>
      <c r="B48" s="74" t="str">
        <f aca="false">IF(元データ_PB合計!$A$46="","",元データ_PB合計!$A$46)</f>
        <v>(32680600)那須ｶﾞｰﾃﾞﾝｱｳﾄﾚｯﾄ店アルチビオ</v>
      </c>
      <c r="C48" s="74" t="n">
        <f aca="false">IF(LEFT(B48,1)="(",IFERROR(VALUE(MID(B48,2,FIND(")",B48)-2)),""),"")</f>
        <v>32680600</v>
      </c>
      <c r="D48" s="75" t="n">
        <f aca="false">IF($C48="","",N(元データ_PB合計!$B$46))</f>
        <v>1066595</v>
      </c>
      <c r="E48" s="75" t="n">
        <f aca="false">IF($C48="","",N(元データ_PB合計!$C$46))</f>
        <v>2600000</v>
      </c>
      <c r="F48" s="75" t="n">
        <f aca="false">IF($C48="","",N(元データ_PB合計!$F$46))</f>
        <v>1845195</v>
      </c>
      <c r="G48" s="74" t="str">
        <f aca="false">IF($C48="","",IF(COUNTIF(店舗マスタ!$B$5:$B$304,$C48)&gt;0,"登録済","未登録→マスタに追加"))</f>
        <v>登録済</v>
      </c>
      <c r="I48" s="74" t="n">
        <v>46</v>
      </c>
      <c r="J48" s="74" t="str">
        <f aca="false">IF(元データ_P!$A$46="","",元データ_P!$A$46)</f>
        <v>(32674400)伊勢丹浦和店アルチビオ</v>
      </c>
      <c r="K48" s="74" t="n">
        <f aca="false">IF(LEFT(J48,1)="(",IFERROR(VALUE(MID(J48,2,FIND(")",J48)-2)),""),"")</f>
        <v>32674400</v>
      </c>
      <c r="L48" s="75" t="n">
        <f aca="false">IF($K48="","",N(元データ_P!$B$46))</f>
        <v>206800</v>
      </c>
      <c r="M48" s="75" t="n">
        <f aca="false">IF($K48="","",N(元データ_P!$F$46))</f>
        <v>923300</v>
      </c>
      <c r="N48" s="74" t="str">
        <f aca="false">IF($K48="","",IF(COUNTIF(店舗マスタ!$B$5:$B$304,$K48)&gt;0,"登録済","未登録→マスタに追加"))</f>
        <v>登録済</v>
      </c>
      <c r="P48" s="74" t="n">
        <v>46</v>
      </c>
      <c r="Q48" s="74" t="str">
        <f aca="false">IF(元データ_B!$A$46="","",元データ_B!$A$46)</f>
        <v/>
      </c>
      <c r="R48" s="74" t="str">
        <f aca="false">IF(LEFT(Q48,1)="(",IFERROR(VALUE(MID(Q48,2,FIND(")",Q48)-2)),""),"")</f>
        <v/>
      </c>
      <c r="S48" s="75" t="str">
        <f aca="false">IF($R48="","",N(元データ_B!$B$46))</f>
        <v/>
      </c>
      <c r="T48" s="75" t="str">
        <f aca="false">IF($R48="","",N(元データ_B!$F$46))</f>
        <v/>
      </c>
      <c r="U48" s="74" t="str">
        <f aca="false">IF($R48="","",IF(COUNTIF(店舗マスタ!$B$5:$B$304,$R48)&gt;0,"登録済","未登録→マスタに追加"))</f>
        <v/>
      </c>
    </row>
    <row r="49" customFormat="false" ht="15" hidden="false" customHeight="false" outlineLevel="0" collapsed="false">
      <c r="A49" s="74" t="n">
        <v>47</v>
      </c>
      <c r="B49" s="74" t="str">
        <f aca="false">IF(元データ_PB合計!$A$47="","",元データ_PB合計!$A$47)</f>
        <v>(32676700)大宮高島屋ｽﾀｼﾞｵﾋﾟｯｺｰﾈ・ﾋﾟｯｺｰﾈｸﾗﾌﾞ</v>
      </c>
      <c r="C49" s="74" t="n">
        <f aca="false">IF(LEFT(B49,1)="(",IFERROR(VALUE(MID(B49,2,FIND(")",B49)-2)),""),"")</f>
        <v>32676700</v>
      </c>
      <c r="D49" s="75" t="n">
        <f aca="false">IF($C49="","",N(元データ_PB合計!$B$47))</f>
        <v>627595</v>
      </c>
      <c r="E49" s="75" t="n">
        <f aca="false">IF($C49="","",N(元データ_PB合計!$C$47))</f>
        <v>1800000</v>
      </c>
      <c r="F49" s="75" t="n">
        <f aca="false">IF($C49="","",N(元データ_PB合計!$F$47))</f>
        <v>0</v>
      </c>
      <c r="G49" s="74" t="str">
        <f aca="false">IF($C49="","",IF(COUNTIF(店舗マスタ!$B$5:$B$304,$C49)&gt;0,"登録済","未登録→マスタに追加"))</f>
        <v>登録済</v>
      </c>
      <c r="I49" s="74" t="n">
        <v>47</v>
      </c>
      <c r="J49" s="74" t="str">
        <f aca="false">IF(元データ_P!$A$47="","",元データ_P!$A$47)</f>
        <v>(32680600)那須ｶﾞｰﾃﾞﾝｱｳﾄﾚｯﾄ店アルチビオ</v>
      </c>
      <c r="K49" s="74" t="n">
        <f aca="false">IF(LEFT(J49,1)="(",IFERROR(VALUE(MID(J49,2,FIND(")",J49)-2)),""),"")</f>
        <v>32680600</v>
      </c>
      <c r="L49" s="75" t="n">
        <f aca="false">IF($K49="","",N(元データ_P!$B$47))</f>
        <v>-4655</v>
      </c>
      <c r="M49" s="75" t="n">
        <f aca="false">IF($K49="","",N(元データ_P!$F$47))</f>
        <v>7355</v>
      </c>
      <c r="N49" s="74" t="str">
        <f aca="false">IF($K49="","",IF(COUNTIF(店舗マスタ!$B$5:$B$304,$K49)&gt;0,"登録済","未登録→マスタに追加"))</f>
        <v>登録済</v>
      </c>
      <c r="P49" s="74" t="n">
        <v>47</v>
      </c>
      <c r="Q49" s="74" t="str">
        <f aca="false">IF(元データ_B!$A$47="","",元データ_B!$A$47)</f>
        <v/>
      </c>
      <c r="R49" s="74" t="str">
        <f aca="false">IF(LEFT(Q49,1)="(",IFERROR(VALUE(MID(Q49,2,FIND(")",Q49)-2)),""),"")</f>
        <v/>
      </c>
      <c r="S49" s="75" t="str">
        <f aca="false">IF($R49="","",N(元データ_B!$B$47))</f>
        <v/>
      </c>
      <c r="T49" s="75" t="str">
        <f aca="false">IF($R49="","",N(元データ_B!$F$47))</f>
        <v/>
      </c>
      <c r="U49" s="74" t="str">
        <f aca="false">IF($R49="","",IF(COUNTIF(店舗マスタ!$B$5:$B$304,$R49)&gt;0,"登録済","未登録→マスタに追加"))</f>
        <v/>
      </c>
    </row>
    <row r="50" customFormat="false" ht="15" hidden="false" customHeight="false" outlineLevel="0" collapsed="false">
      <c r="A50" s="74" t="n">
        <v>48</v>
      </c>
      <c r="B50" s="74" t="str">
        <f aca="false">IF(元データ_PB合計!$A$48="","",元データ_PB合計!$A$48)</f>
        <v>合計</v>
      </c>
      <c r="C50" s="74" t="str">
        <f aca="false">IF(LEFT(B50,1)="(",IFERROR(VALUE(MID(B50,2,FIND(")",B50)-2)),""),"")</f>
        <v/>
      </c>
      <c r="D50" s="75" t="str">
        <f aca="false">IF($C50="","",N(元データ_PB合計!$B$48))</f>
        <v/>
      </c>
      <c r="E50" s="75" t="str">
        <f aca="false">IF($C50="","",N(元データ_PB合計!$C$48))</f>
        <v/>
      </c>
      <c r="F50" s="75" t="str">
        <f aca="false">IF($C50="","",N(元データ_PB合計!$F$48))</f>
        <v/>
      </c>
      <c r="G50" s="74" t="str">
        <f aca="false">IF($C50="","",IF(COUNTIF(店舗マスタ!$B$5:$B$304,$C50)&gt;0,"登録済","未登録→マスタに追加"))</f>
        <v/>
      </c>
      <c r="I50" s="74" t="n">
        <v>48</v>
      </c>
      <c r="J50" s="74" t="str">
        <f aca="false">IF(元データ_P!$A$48="","",元データ_P!$A$48)</f>
        <v>合計</v>
      </c>
      <c r="K50" s="74" t="str">
        <f aca="false">IF(LEFT(J50,1)="(",IFERROR(VALUE(MID(J50,2,FIND(")",J50)-2)),""),"")</f>
        <v/>
      </c>
      <c r="L50" s="75" t="str">
        <f aca="false">IF($K50="","",N(元データ_P!$B$48))</f>
        <v/>
      </c>
      <c r="M50" s="75" t="str">
        <f aca="false">IF($K50="","",N(元データ_P!$F$48))</f>
        <v/>
      </c>
      <c r="N50" s="74" t="str">
        <f aca="false">IF($K50="","",IF(COUNTIF(店舗マスタ!$B$5:$B$304,$K50)&gt;0,"登録済","未登録→マスタに追加"))</f>
        <v/>
      </c>
      <c r="P50" s="74" t="n">
        <v>48</v>
      </c>
      <c r="Q50" s="74" t="str">
        <f aca="false">IF(元データ_B!$A$48="","",元データ_B!$A$48)</f>
        <v/>
      </c>
      <c r="R50" s="74" t="str">
        <f aca="false">IF(LEFT(Q50,1)="(",IFERROR(VALUE(MID(Q50,2,FIND(")",Q50)-2)),""),"")</f>
        <v/>
      </c>
      <c r="S50" s="75" t="str">
        <f aca="false">IF($R50="","",N(元データ_B!$B$48))</f>
        <v/>
      </c>
      <c r="T50" s="75" t="str">
        <f aca="false">IF($R50="","",N(元データ_B!$F$48))</f>
        <v/>
      </c>
      <c r="U50" s="74" t="str">
        <f aca="false">IF($R50="","",IF(COUNTIF(店舗マスタ!$B$5:$B$304,$R50)&gt;0,"登録済","未登録→マスタに追加"))</f>
        <v/>
      </c>
    </row>
    <row r="51" customFormat="false" ht="15" hidden="false" customHeight="false" outlineLevel="0" collapsed="false">
      <c r="A51" s="74" t="n">
        <v>49</v>
      </c>
      <c r="B51" s="74" t="str">
        <f aca="false">IF(元データ_PB合計!$A$49="","",元データ_PB合計!$A$49)</f>
        <v/>
      </c>
      <c r="C51" s="74" t="str">
        <f aca="false">IF(LEFT(B51,1)="(",IFERROR(VALUE(MID(B51,2,FIND(")",B51)-2)),""),"")</f>
        <v/>
      </c>
      <c r="D51" s="75" t="str">
        <f aca="false">IF($C51="","",N(元データ_PB合計!$B$49))</f>
        <v/>
      </c>
      <c r="E51" s="75" t="str">
        <f aca="false">IF($C51="","",N(元データ_PB合計!$C$49))</f>
        <v/>
      </c>
      <c r="F51" s="75" t="str">
        <f aca="false">IF($C51="","",N(元データ_PB合計!$F$49))</f>
        <v/>
      </c>
      <c r="G51" s="74" t="str">
        <f aca="false">IF($C51="","",IF(COUNTIF(店舗マスタ!$B$5:$B$304,$C51)&gt;0,"登録済","未登録→マスタに追加"))</f>
        <v/>
      </c>
      <c r="I51" s="74" t="n">
        <v>49</v>
      </c>
      <c r="J51" s="74" t="str">
        <f aca="false">IF(元データ_P!$A$49="","",元データ_P!$A$49)</f>
        <v/>
      </c>
      <c r="K51" s="74" t="str">
        <f aca="false">IF(LEFT(J51,1)="(",IFERROR(VALUE(MID(J51,2,FIND(")",J51)-2)),""),"")</f>
        <v/>
      </c>
      <c r="L51" s="75" t="str">
        <f aca="false">IF($K51="","",N(元データ_P!$B$49))</f>
        <v/>
      </c>
      <c r="M51" s="75" t="str">
        <f aca="false">IF($K51="","",N(元データ_P!$F$49))</f>
        <v/>
      </c>
      <c r="N51" s="74" t="str">
        <f aca="false">IF($K51="","",IF(COUNTIF(店舗マスタ!$B$5:$B$304,$K51)&gt;0,"登録済","未登録→マスタに追加"))</f>
        <v/>
      </c>
      <c r="P51" s="74" t="n">
        <v>49</v>
      </c>
      <c r="Q51" s="74" t="str">
        <f aca="false">IF(元データ_B!$A$49="","",元データ_B!$A$49)</f>
        <v/>
      </c>
      <c r="R51" s="74" t="str">
        <f aca="false">IF(LEFT(Q51,1)="(",IFERROR(VALUE(MID(Q51,2,FIND(")",Q51)-2)),""),"")</f>
        <v/>
      </c>
      <c r="S51" s="75" t="str">
        <f aca="false">IF($R51="","",N(元データ_B!$B$49))</f>
        <v/>
      </c>
      <c r="T51" s="75" t="str">
        <f aca="false">IF($R51="","",N(元データ_B!$F$49))</f>
        <v/>
      </c>
      <c r="U51" s="74" t="str">
        <f aca="false">IF($R51="","",IF(COUNTIF(店舗マスタ!$B$5:$B$304,$R51)&gt;0,"登録済","未登録→マスタに追加"))</f>
        <v/>
      </c>
    </row>
    <row r="52" customFormat="false" ht="15" hidden="false" customHeight="false" outlineLevel="0" collapsed="false">
      <c r="A52" s="74" t="n">
        <v>50</v>
      </c>
      <c r="B52" s="74" t="str">
        <f aca="false">IF(元データ_PB合計!$A$50="","",元データ_PB合計!$A$50)</f>
        <v/>
      </c>
      <c r="C52" s="74" t="str">
        <f aca="false">IF(LEFT(B52,1)="(",IFERROR(VALUE(MID(B52,2,FIND(")",B52)-2)),""),"")</f>
        <v/>
      </c>
      <c r="D52" s="75" t="str">
        <f aca="false">IF($C52="","",N(元データ_PB合計!$B$50))</f>
        <v/>
      </c>
      <c r="E52" s="75" t="str">
        <f aca="false">IF($C52="","",N(元データ_PB合計!$C$50))</f>
        <v/>
      </c>
      <c r="F52" s="75" t="str">
        <f aca="false">IF($C52="","",N(元データ_PB合計!$F$50))</f>
        <v/>
      </c>
      <c r="G52" s="74" t="str">
        <f aca="false">IF($C52="","",IF(COUNTIF(店舗マスタ!$B$5:$B$304,$C52)&gt;0,"登録済","未登録→マスタに追加"))</f>
        <v/>
      </c>
      <c r="I52" s="74" t="n">
        <v>50</v>
      </c>
      <c r="J52" s="74" t="str">
        <f aca="false">IF(元データ_P!$A$50="","",元データ_P!$A$50)</f>
        <v/>
      </c>
      <c r="K52" s="74" t="str">
        <f aca="false">IF(LEFT(J52,1)="(",IFERROR(VALUE(MID(J52,2,FIND(")",J52)-2)),""),"")</f>
        <v/>
      </c>
      <c r="L52" s="75" t="str">
        <f aca="false">IF($K52="","",N(元データ_P!$B$50))</f>
        <v/>
      </c>
      <c r="M52" s="75" t="str">
        <f aca="false">IF($K52="","",N(元データ_P!$F$50))</f>
        <v/>
      </c>
      <c r="N52" s="74" t="str">
        <f aca="false">IF($K52="","",IF(COUNTIF(店舗マスタ!$B$5:$B$304,$K52)&gt;0,"登録済","未登録→マスタに追加"))</f>
        <v/>
      </c>
      <c r="P52" s="74" t="n">
        <v>50</v>
      </c>
      <c r="Q52" s="74" t="str">
        <f aca="false">IF(元データ_B!$A$50="","",元データ_B!$A$50)</f>
        <v/>
      </c>
      <c r="R52" s="74" t="str">
        <f aca="false">IF(LEFT(Q52,1)="(",IFERROR(VALUE(MID(Q52,2,FIND(")",Q52)-2)),""),"")</f>
        <v/>
      </c>
      <c r="S52" s="75" t="str">
        <f aca="false">IF($R52="","",N(元データ_B!$B$50))</f>
        <v/>
      </c>
      <c r="T52" s="75" t="str">
        <f aca="false">IF($R52="","",N(元データ_B!$F$50))</f>
        <v/>
      </c>
      <c r="U52" s="74" t="str">
        <f aca="false">IF($R52="","",IF(COUNTIF(店舗マスタ!$B$5:$B$304,$R52)&gt;0,"登録済","未登録→マスタに追加"))</f>
        <v/>
      </c>
    </row>
    <row r="53" customFormat="false" ht="15" hidden="false" customHeight="false" outlineLevel="0" collapsed="false">
      <c r="A53" s="74" t="n">
        <v>51</v>
      </c>
      <c r="B53" s="74" t="str">
        <f aca="false">IF(元データ_PB合計!$A$51="","",元データ_PB合計!$A$51)</f>
        <v/>
      </c>
      <c r="C53" s="74" t="str">
        <f aca="false">IF(LEFT(B53,1)="(",IFERROR(VALUE(MID(B53,2,FIND(")",B53)-2)),""),"")</f>
        <v/>
      </c>
      <c r="D53" s="75" t="str">
        <f aca="false">IF($C53="","",N(元データ_PB合計!$B$51))</f>
        <v/>
      </c>
      <c r="E53" s="75" t="str">
        <f aca="false">IF($C53="","",N(元データ_PB合計!$C$51))</f>
        <v/>
      </c>
      <c r="F53" s="75" t="str">
        <f aca="false">IF($C53="","",N(元データ_PB合計!$F$51))</f>
        <v/>
      </c>
      <c r="G53" s="74" t="str">
        <f aca="false">IF($C53="","",IF(COUNTIF(店舗マスタ!$B$5:$B$304,$C53)&gt;0,"登録済","未登録→マスタに追加"))</f>
        <v/>
      </c>
      <c r="I53" s="74" t="n">
        <v>51</v>
      </c>
      <c r="J53" s="74" t="str">
        <f aca="false">IF(元データ_P!$A$51="","",元データ_P!$A$51)</f>
        <v/>
      </c>
      <c r="K53" s="74" t="str">
        <f aca="false">IF(LEFT(J53,1)="(",IFERROR(VALUE(MID(J53,2,FIND(")",J53)-2)),""),"")</f>
        <v/>
      </c>
      <c r="L53" s="75" t="str">
        <f aca="false">IF($K53="","",N(元データ_P!$B$51))</f>
        <v/>
      </c>
      <c r="M53" s="75" t="str">
        <f aca="false">IF($K53="","",N(元データ_P!$F$51))</f>
        <v/>
      </c>
      <c r="N53" s="74" t="str">
        <f aca="false">IF($K53="","",IF(COUNTIF(店舗マスタ!$B$5:$B$304,$K53)&gt;0,"登録済","未登録→マスタに追加"))</f>
        <v/>
      </c>
      <c r="P53" s="74" t="n">
        <v>51</v>
      </c>
      <c r="Q53" s="74" t="str">
        <f aca="false">IF(元データ_B!$A$51="","",元データ_B!$A$51)</f>
        <v/>
      </c>
      <c r="R53" s="74" t="str">
        <f aca="false">IF(LEFT(Q53,1)="(",IFERROR(VALUE(MID(Q53,2,FIND(")",Q53)-2)),""),"")</f>
        <v/>
      </c>
      <c r="S53" s="75" t="str">
        <f aca="false">IF($R53="","",N(元データ_B!$B$51))</f>
        <v/>
      </c>
      <c r="T53" s="75" t="str">
        <f aca="false">IF($R53="","",N(元データ_B!$F$51))</f>
        <v/>
      </c>
      <c r="U53" s="74" t="str">
        <f aca="false">IF($R53="","",IF(COUNTIF(店舗マスタ!$B$5:$B$304,$R53)&gt;0,"登録済","未登録→マスタに追加"))</f>
        <v/>
      </c>
    </row>
    <row r="54" customFormat="false" ht="15" hidden="false" customHeight="false" outlineLevel="0" collapsed="false">
      <c r="A54" s="74" t="n">
        <v>52</v>
      </c>
      <c r="B54" s="74" t="str">
        <f aca="false">IF(元データ_PB合計!$A$52="","",元データ_PB合計!$A$52)</f>
        <v/>
      </c>
      <c r="C54" s="74" t="str">
        <f aca="false">IF(LEFT(B54,1)="(",IFERROR(VALUE(MID(B54,2,FIND(")",B54)-2)),""),"")</f>
        <v/>
      </c>
      <c r="D54" s="75" t="str">
        <f aca="false">IF($C54="","",N(元データ_PB合計!$B$52))</f>
        <v/>
      </c>
      <c r="E54" s="75" t="str">
        <f aca="false">IF($C54="","",N(元データ_PB合計!$C$52))</f>
        <v/>
      </c>
      <c r="F54" s="75" t="str">
        <f aca="false">IF($C54="","",N(元データ_PB合計!$F$52))</f>
        <v/>
      </c>
      <c r="G54" s="74" t="str">
        <f aca="false">IF($C54="","",IF(COUNTIF(店舗マスタ!$B$5:$B$304,$C54)&gt;0,"登録済","未登録→マスタに追加"))</f>
        <v/>
      </c>
      <c r="I54" s="74" t="n">
        <v>52</v>
      </c>
      <c r="J54" s="74" t="str">
        <f aca="false">IF(元データ_P!$A$52="","",元データ_P!$A$52)</f>
        <v/>
      </c>
      <c r="K54" s="74" t="str">
        <f aca="false">IF(LEFT(J54,1)="(",IFERROR(VALUE(MID(J54,2,FIND(")",J54)-2)),""),"")</f>
        <v/>
      </c>
      <c r="L54" s="75" t="str">
        <f aca="false">IF($K54="","",N(元データ_P!$B$52))</f>
        <v/>
      </c>
      <c r="M54" s="75" t="str">
        <f aca="false">IF($K54="","",N(元データ_P!$F$52))</f>
        <v/>
      </c>
      <c r="N54" s="74" t="str">
        <f aca="false">IF($K54="","",IF(COUNTIF(店舗マスタ!$B$5:$B$304,$K54)&gt;0,"登録済","未登録→マスタに追加"))</f>
        <v/>
      </c>
      <c r="P54" s="74" t="n">
        <v>52</v>
      </c>
      <c r="Q54" s="74" t="str">
        <f aca="false">IF(元データ_B!$A$52="","",元データ_B!$A$52)</f>
        <v/>
      </c>
      <c r="R54" s="74" t="str">
        <f aca="false">IF(LEFT(Q54,1)="(",IFERROR(VALUE(MID(Q54,2,FIND(")",Q54)-2)),""),"")</f>
        <v/>
      </c>
      <c r="S54" s="75" t="str">
        <f aca="false">IF($R54="","",N(元データ_B!$B$52))</f>
        <v/>
      </c>
      <c r="T54" s="75" t="str">
        <f aca="false">IF($R54="","",N(元データ_B!$F$52))</f>
        <v/>
      </c>
      <c r="U54" s="74" t="str">
        <f aca="false">IF($R54="","",IF(COUNTIF(店舗マスタ!$B$5:$B$304,$R54)&gt;0,"登録済","未登録→マスタに追加"))</f>
        <v/>
      </c>
    </row>
    <row r="55" customFormat="false" ht="15" hidden="false" customHeight="false" outlineLevel="0" collapsed="false">
      <c r="A55" s="74" t="n">
        <v>53</v>
      </c>
      <c r="B55" s="74" t="str">
        <f aca="false">IF(元データ_PB合計!$A$53="","",元データ_PB合計!$A$53)</f>
        <v/>
      </c>
      <c r="C55" s="74" t="str">
        <f aca="false">IF(LEFT(B55,1)="(",IFERROR(VALUE(MID(B55,2,FIND(")",B55)-2)),""),"")</f>
        <v/>
      </c>
      <c r="D55" s="75" t="str">
        <f aca="false">IF($C55="","",N(元データ_PB合計!$B$53))</f>
        <v/>
      </c>
      <c r="E55" s="75" t="str">
        <f aca="false">IF($C55="","",N(元データ_PB合計!$C$53))</f>
        <v/>
      </c>
      <c r="F55" s="75" t="str">
        <f aca="false">IF($C55="","",N(元データ_PB合計!$F$53))</f>
        <v/>
      </c>
      <c r="G55" s="74" t="str">
        <f aca="false">IF($C55="","",IF(COUNTIF(店舗マスタ!$B$5:$B$304,$C55)&gt;0,"登録済","未登録→マスタに追加"))</f>
        <v/>
      </c>
      <c r="I55" s="74" t="n">
        <v>53</v>
      </c>
      <c r="J55" s="74" t="str">
        <f aca="false">IF(元データ_P!$A$53="","",元データ_P!$A$53)</f>
        <v/>
      </c>
      <c r="K55" s="74" t="str">
        <f aca="false">IF(LEFT(J55,1)="(",IFERROR(VALUE(MID(J55,2,FIND(")",J55)-2)),""),"")</f>
        <v/>
      </c>
      <c r="L55" s="75" t="str">
        <f aca="false">IF($K55="","",N(元データ_P!$B$53))</f>
        <v/>
      </c>
      <c r="M55" s="75" t="str">
        <f aca="false">IF($K55="","",N(元データ_P!$F$53))</f>
        <v/>
      </c>
      <c r="N55" s="74" t="str">
        <f aca="false">IF($K55="","",IF(COUNTIF(店舗マスタ!$B$5:$B$304,$K55)&gt;0,"登録済","未登録→マスタに追加"))</f>
        <v/>
      </c>
      <c r="P55" s="74" t="n">
        <v>53</v>
      </c>
      <c r="Q55" s="74" t="str">
        <f aca="false">IF(元データ_B!$A$53="","",元データ_B!$A$53)</f>
        <v/>
      </c>
      <c r="R55" s="74" t="str">
        <f aca="false">IF(LEFT(Q55,1)="(",IFERROR(VALUE(MID(Q55,2,FIND(")",Q55)-2)),""),"")</f>
        <v/>
      </c>
      <c r="S55" s="75" t="str">
        <f aca="false">IF($R55="","",N(元データ_B!$B$53))</f>
        <v/>
      </c>
      <c r="T55" s="75" t="str">
        <f aca="false">IF($R55="","",N(元データ_B!$F$53))</f>
        <v/>
      </c>
      <c r="U55" s="74" t="str">
        <f aca="false">IF($R55="","",IF(COUNTIF(店舗マスタ!$B$5:$B$304,$R55)&gt;0,"登録済","未登録→マスタに追加"))</f>
        <v/>
      </c>
    </row>
    <row r="56" customFormat="false" ht="15" hidden="false" customHeight="false" outlineLevel="0" collapsed="false">
      <c r="A56" s="74" t="n">
        <v>54</v>
      </c>
      <c r="B56" s="74" t="str">
        <f aca="false">IF(元データ_PB合計!$A$54="","",元データ_PB合計!$A$54)</f>
        <v/>
      </c>
      <c r="C56" s="74" t="str">
        <f aca="false">IF(LEFT(B56,1)="(",IFERROR(VALUE(MID(B56,2,FIND(")",B56)-2)),""),"")</f>
        <v/>
      </c>
      <c r="D56" s="75" t="str">
        <f aca="false">IF($C56="","",N(元データ_PB合計!$B$54))</f>
        <v/>
      </c>
      <c r="E56" s="75" t="str">
        <f aca="false">IF($C56="","",N(元データ_PB合計!$C$54))</f>
        <v/>
      </c>
      <c r="F56" s="75" t="str">
        <f aca="false">IF($C56="","",N(元データ_PB合計!$F$54))</f>
        <v/>
      </c>
      <c r="G56" s="74" t="str">
        <f aca="false">IF($C56="","",IF(COUNTIF(店舗マスタ!$B$5:$B$304,$C56)&gt;0,"登録済","未登録→マスタに追加"))</f>
        <v/>
      </c>
      <c r="I56" s="74" t="n">
        <v>54</v>
      </c>
      <c r="J56" s="74" t="str">
        <f aca="false">IF(元データ_P!$A$54="","",元データ_P!$A$54)</f>
        <v/>
      </c>
      <c r="K56" s="74" t="str">
        <f aca="false">IF(LEFT(J56,1)="(",IFERROR(VALUE(MID(J56,2,FIND(")",J56)-2)),""),"")</f>
        <v/>
      </c>
      <c r="L56" s="75" t="str">
        <f aca="false">IF($K56="","",N(元データ_P!$B$54))</f>
        <v/>
      </c>
      <c r="M56" s="75" t="str">
        <f aca="false">IF($K56="","",N(元データ_P!$F$54))</f>
        <v/>
      </c>
      <c r="N56" s="74" t="str">
        <f aca="false">IF($K56="","",IF(COUNTIF(店舗マスタ!$B$5:$B$304,$K56)&gt;0,"登録済","未登録→マスタに追加"))</f>
        <v/>
      </c>
      <c r="P56" s="74" t="n">
        <v>54</v>
      </c>
      <c r="Q56" s="74" t="str">
        <f aca="false">IF(元データ_B!$A$54="","",元データ_B!$A$54)</f>
        <v/>
      </c>
      <c r="R56" s="74" t="str">
        <f aca="false">IF(LEFT(Q56,1)="(",IFERROR(VALUE(MID(Q56,2,FIND(")",Q56)-2)),""),"")</f>
        <v/>
      </c>
      <c r="S56" s="75" t="str">
        <f aca="false">IF($R56="","",N(元データ_B!$B$54))</f>
        <v/>
      </c>
      <c r="T56" s="75" t="str">
        <f aca="false">IF($R56="","",N(元データ_B!$F$54))</f>
        <v/>
      </c>
      <c r="U56" s="74" t="str">
        <f aca="false">IF($R56="","",IF(COUNTIF(店舗マスタ!$B$5:$B$304,$R56)&gt;0,"登録済","未登録→マスタに追加"))</f>
        <v/>
      </c>
    </row>
    <row r="57" customFormat="false" ht="15" hidden="false" customHeight="false" outlineLevel="0" collapsed="false">
      <c r="A57" s="74" t="n">
        <v>55</v>
      </c>
      <c r="B57" s="74" t="str">
        <f aca="false">IF(元データ_PB合計!$A$55="","",元データ_PB合計!$A$55)</f>
        <v/>
      </c>
      <c r="C57" s="74" t="str">
        <f aca="false">IF(LEFT(B57,1)="(",IFERROR(VALUE(MID(B57,2,FIND(")",B57)-2)),""),"")</f>
        <v/>
      </c>
      <c r="D57" s="75" t="str">
        <f aca="false">IF($C57="","",N(元データ_PB合計!$B$55))</f>
        <v/>
      </c>
      <c r="E57" s="75" t="str">
        <f aca="false">IF($C57="","",N(元データ_PB合計!$C$55))</f>
        <v/>
      </c>
      <c r="F57" s="75" t="str">
        <f aca="false">IF($C57="","",N(元データ_PB合計!$F$55))</f>
        <v/>
      </c>
      <c r="G57" s="74" t="str">
        <f aca="false">IF($C57="","",IF(COUNTIF(店舗マスタ!$B$5:$B$304,$C57)&gt;0,"登録済","未登録→マスタに追加"))</f>
        <v/>
      </c>
      <c r="I57" s="74" t="n">
        <v>55</v>
      </c>
      <c r="J57" s="74" t="str">
        <f aca="false">IF(元データ_P!$A$55="","",元データ_P!$A$55)</f>
        <v/>
      </c>
      <c r="K57" s="74" t="str">
        <f aca="false">IF(LEFT(J57,1)="(",IFERROR(VALUE(MID(J57,2,FIND(")",J57)-2)),""),"")</f>
        <v/>
      </c>
      <c r="L57" s="75" t="str">
        <f aca="false">IF($K57="","",N(元データ_P!$B$55))</f>
        <v/>
      </c>
      <c r="M57" s="75" t="str">
        <f aca="false">IF($K57="","",N(元データ_P!$F$55))</f>
        <v/>
      </c>
      <c r="N57" s="74" t="str">
        <f aca="false">IF($K57="","",IF(COUNTIF(店舗マスタ!$B$5:$B$304,$K57)&gt;0,"登録済","未登録→マスタに追加"))</f>
        <v/>
      </c>
      <c r="P57" s="74" t="n">
        <v>55</v>
      </c>
      <c r="Q57" s="74" t="str">
        <f aca="false">IF(元データ_B!$A$55="","",元データ_B!$A$55)</f>
        <v/>
      </c>
      <c r="R57" s="74" t="str">
        <f aca="false">IF(LEFT(Q57,1)="(",IFERROR(VALUE(MID(Q57,2,FIND(")",Q57)-2)),""),"")</f>
        <v/>
      </c>
      <c r="S57" s="75" t="str">
        <f aca="false">IF($R57="","",N(元データ_B!$B$55))</f>
        <v/>
      </c>
      <c r="T57" s="75" t="str">
        <f aca="false">IF($R57="","",N(元データ_B!$F$55))</f>
        <v/>
      </c>
      <c r="U57" s="74" t="str">
        <f aca="false">IF($R57="","",IF(COUNTIF(店舗マスタ!$B$5:$B$304,$R57)&gt;0,"登録済","未登録→マスタに追加"))</f>
        <v/>
      </c>
    </row>
    <row r="58" customFormat="false" ht="15" hidden="false" customHeight="false" outlineLevel="0" collapsed="false">
      <c r="A58" s="74" t="n">
        <v>56</v>
      </c>
      <c r="B58" s="74" t="str">
        <f aca="false">IF(元データ_PB合計!$A$56="","",元データ_PB合計!$A$56)</f>
        <v/>
      </c>
      <c r="C58" s="74" t="str">
        <f aca="false">IF(LEFT(B58,1)="(",IFERROR(VALUE(MID(B58,2,FIND(")",B58)-2)),""),"")</f>
        <v/>
      </c>
      <c r="D58" s="75" t="str">
        <f aca="false">IF($C58="","",N(元データ_PB合計!$B$56))</f>
        <v/>
      </c>
      <c r="E58" s="75" t="str">
        <f aca="false">IF($C58="","",N(元データ_PB合計!$C$56))</f>
        <v/>
      </c>
      <c r="F58" s="75" t="str">
        <f aca="false">IF($C58="","",N(元データ_PB合計!$F$56))</f>
        <v/>
      </c>
      <c r="G58" s="74" t="str">
        <f aca="false">IF($C58="","",IF(COUNTIF(店舗マスタ!$B$5:$B$304,$C58)&gt;0,"登録済","未登録→マスタに追加"))</f>
        <v/>
      </c>
      <c r="I58" s="74" t="n">
        <v>56</v>
      </c>
      <c r="J58" s="74" t="str">
        <f aca="false">IF(元データ_P!$A$56="","",元データ_P!$A$56)</f>
        <v/>
      </c>
      <c r="K58" s="74" t="str">
        <f aca="false">IF(LEFT(J58,1)="(",IFERROR(VALUE(MID(J58,2,FIND(")",J58)-2)),""),"")</f>
        <v/>
      </c>
      <c r="L58" s="75" t="str">
        <f aca="false">IF($K58="","",N(元データ_P!$B$56))</f>
        <v/>
      </c>
      <c r="M58" s="75" t="str">
        <f aca="false">IF($K58="","",N(元データ_P!$F$56))</f>
        <v/>
      </c>
      <c r="N58" s="74" t="str">
        <f aca="false">IF($K58="","",IF(COUNTIF(店舗マスタ!$B$5:$B$304,$K58)&gt;0,"登録済","未登録→マスタに追加"))</f>
        <v/>
      </c>
      <c r="P58" s="74" t="n">
        <v>56</v>
      </c>
      <c r="Q58" s="74" t="str">
        <f aca="false">IF(元データ_B!$A$56="","",元データ_B!$A$56)</f>
        <v/>
      </c>
      <c r="R58" s="74" t="str">
        <f aca="false">IF(LEFT(Q58,1)="(",IFERROR(VALUE(MID(Q58,2,FIND(")",Q58)-2)),""),"")</f>
        <v/>
      </c>
      <c r="S58" s="75" t="str">
        <f aca="false">IF($R58="","",N(元データ_B!$B$56))</f>
        <v/>
      </c>
      <c r="T58" s="75" t="str">
        <f aca="false">IF($R58="","",N(元データ_B!$F$56))</f>
        <v/>
      </c>
      <c r="U58" s="74" t="str">
        <f aca="false">IF($R58="","",IF(COUNTIF(店舗マスタ!$B$5:$B$304,$R58)&gt;0,"登録済","未登録→マスタに追加"))</f>
        <v/>
      </c>
    </row>
    <row r="59" customFormat="false" ht="15" hidden="false" customHeight="false" outlineLevel="0" collapsed="false">
      <c r="A59" s="74" t="n">
        <v>57</v>
      </c>
      <c r="B59" s="74" t="str">
        <f aca="false">IF(元データ_PB合計!$A$57="","",元データ_PB合計!$A$57)</f>
        <v/>
      </c>
      <c r="C59" s="74" t="str">
        <f aca="false">IF(LEFT(B59,1)="(",IFERROR(VALUE(MID(B59,2,FIND(")",B59)-2)),""),"")</f>
        <v/>
      </c>
      <c r="D59" s="75" t="str">
        <f aca="false">IF($C59="","",N(元データ_PB合計!$B$57))</f>
        <v/>
      </c>
      <c r="E59" s="75" t="str">
        <f aca="false">IF($C59="","",N(元データ_PB合計!$C$57))</f>
        <v/>
      </c>
      <c r="F59" s="75" t="str">
        <f aca="false">IF($C59="","",N(元データ_PB合計!$F$57))</f>
        <v/>
      </c>
      <c r="G59" s="74" t="str">
        <f aca="false">IF($C59="","",IF(COUNTIF(店舗マスタ!$B$5:$B$304,$C59)&gt;0,"登録済","未登録→マスタに追加"))</f>
        <v/>
      </c>
      <c r="I59" s="74" t="n">
        <v>57</v>
      </c>
      <c r="J59" s="74" t="str">
        <f aca="false">IF(元データ_P!$A$57="","",元データ_P!$A$57)</f>
        <v/>
      </c>
      <c r="K59" s="74" t="str">
        <f aca="false">IF(LEFT(J59,1)="(",IFERROR(VALUE(MID(J59,2,FIND(")",J59)-2)),""),"")</f>
        <v/>
      </c>
      <c r="L59" s="75" t="str">
        <f aca="false">IF($K59="","",N(元データ_P!$B$57))</f>
        <v/>
      </c>
      <c r="M59" s="75" t="str">
        <f aca="false">IF($K59="","",N(元データ_P!$F$57))</f>
        <v/>
      </c>
      <c r="N59" s="74" t="str">
        <f aca="false">IF($K59="","",IF(COUNTIF(店舗マスタ!$B$5:$B$304,$K59)&gt;0,"登録済","未登録→マスタに追加"))</f>
        <v/>
      </c>
      <c r="P59" s="74" t="n">
        <v>57</v>
      </c>
      <c r="Q59" s="74" t="str">
        <f aca="false">IF(元データ_B!$A$57="","",元データ_B!$A$57)</f>
        <v/>
      </c>
      <c r="R59" s="74" t="str">
        <f aca="false">IF(LEFT(Q59,1)="(",IFERROR(VALUE(MID(Q59,2,FIND(")",Q59)-2)),""),"")</f>
        <v/>
      </c>
      <c r="S59" s="75" t="str">
        <f aca="false">IF($R59="","",N(元データ_B!$B$57))</f>
        <v/>
      </c>
      <c r="T59" s="75" t="str">
        <f aca="false">IF($R59="","",N(元データ_B!$F$57))</f>
        <v/>
      </c>
      <c r="U59" s="74" t="str">
        <f aca="false">IF($R59="","",IF(COUNTIF(店舗マスタ!$B$5:$B$304,$R59)&gt;0,"登録済","未登録→マスタに追加"))</f>
        <v/>
      </c>
    </row>
    <row r="60" customFormat="false" ht="15" hidden="false" customHeight="false" outlineLevel="0" collapsed="false">
      <c r="A60" s="74" t="n">
        <v>58</v>
      </c>
      <c r="B60" s="74" t="str">
        <f aca="false">IF(元データ_PB合計!$A$58="","",元データ_PB合計!$A$58)</f>
        <v/>
      </c>
      <c r="C60" s="74" t="str">
        <f aca="false">IF(LEFT(B60,1)="(",IFERROR(VALUE(MID(B60,2,FIND(")",B60)-2)),""),"")</f>
        <v/>
      </c>
      <c r="D60" s="75" t="str">
        <f aca="false">IF($C60="","",N(元データ_PB合計!$B$58))</f>
        <v/>
      </c>
      <c r="E60" s="75" t="str">
        <f aca="false">IF($C60="","",N(元データ_PB合計!$C$58))</f>
        <v/>
      </c>
      <c r="F60" s="75" t="str">
        <f aca="false">IF($C60="","",N(元データ_PB合計!$F$58))</f>
        <v/>
      </c>
      <c r="G60" s="74" t="str">
        <f aca="false">IF($C60="","",IF(COUNTIF(店舗マスタ!$B$5:$B$304,$C60)&gt;0,"登録済","未登録→マスタに追加"))</f>
        <v/>
      </c>
      <c r="I60" s="74" t="n">
        <v>58</v>
      </c>
      <c r="J60" s="74" t="str">
        <f aca="false">IF(元データ_P!$A$58="","",元データ_P!$A$58)</f>
        <v/>
      </c>
      <c r="K60" s="74" t="str">
        <f aca="false">IF(LEFT(J60,1)="(",IFERROR(VALUE(MID(J60,2,FIND(")",J60)-2)),""),"")</f>
        <v/>
      </c>
      <c r="L60" s="75" t="str">
        <f aca="false">IF($K60="","",N(元データ_P!$B$58))</f>
        <v/>
      </c>
      <c r="M60" s="75" t="str">
        <f aca="false">IF($K60="","",N(元データ_P!$F$58))</f>
        <v/>
      </c>
      <c r="N60" s="74" t="str">
        <f aca="false">IF($K60="","",IF(COUNTIF(店舗マスタ!$B$5:$B$304,$K60)&gt;0,"登録済","未登録→マスタに追加"))</f>
        <v/>
      </c>
      <c r="P60" s="74" t="n">
        <v>58</v>
      </c>
      <c r="Q60" s="74" t="str">
        <f aca="false">IF(元データ_B!$A$58="","",元データ_B!$A$58)</f>
        <v/>
      </c>
      <c r="R60" s="74" t="str">
        <f aca="false">IF(LEFT(Q60,1)="(",IFERROR(VALUE(MID(Q60,2,FIND(")",Q60)-2)),""),"")</f>
        <v/>
      </c>
      <c r="S60" s="75" t="str">
        <f aca="false">IF($R60="","",N(元データ_B!$B$58))</f>
        <v/>
      </c>
      <c r="T60" s="75" t="str">
        <f aca="false">IF($R60="","",N(元データ_B!$F$58))</f>
        <v/>
      </c>
      <c r="U60" s="74" t="str">
        <f aca="false">IF($R60="","",IF(COUNTIF(店舗マスタ!$B$5:$B$304,$R60)&gt;0,"登録済","未登録→マスタに追加"))</f>
        <v/>
      </c>
    </row>
    <row r="61" customFormat="false" ht="15" hidden="false" customHeight="false" outlineLevel="0" collapsed="false">
      <c r="A61" s="74" t="n">
        <v>59</v>
      </c>
      <c r="B61" s="74" t="str">
        <f aca="false">IF(元データ_PB合計!$A$59="","",元データ_PB合計!$A$59)</f>
        <v/>
      </c>
      <c r="C61" s="74" t="str">
        <f aca="false">IF(LEFT(B61,1)="(",IFERROR(VALUE(MID(B61,2,FIND(")",B61)-2)),""),"")</f>
        <v/>
      </c>
      <c r="D61" s="75" t="str">
        <f aca="false">IF($C61="","",N(元データ_PB合計!$B$59))</f>
        <v/>
      </c>
      <c r="E61" s="75" t="str">
        <f aca="false">IF($C61="","",N(元データ_PB合計!$C$59))</f>
        <v/>
      </c>
      <c r="F61" s="75" t="str">
        <f aca="false">IF($C61="","",N(元データ_PB合計!$F$59))</f>
        <v/>
      </c>
      <c r="G61" s="74" t="str">
        <f aca="false">IF($C61="","",IF(COUNTIF(店舗マスタ!$B$5:$B$304,$C61)&gt;0,"登録済","未登録→マスタに追加"))</f>
        <v/>
      </c>
      <c r="I61" s="74" t="n">
        <v>59</v>
      </c>
      <c r="J61" s="74" t="str">
        <f aca="false">IF(元データ_P!$A$59="","",元データ_P!$A$59)</f>
        <v/>
      </c>
      <c r="K61" s="74" t="str">
        <f aca="false">IF(LEFT(J61,1)="(",IFERROR(VALUE(MID(J61,2,FIND(")",J61)-2)),""),"")</f>
        <v/>
      </c>
      <c r="L61" s="75" t="str">
        <f aca="false">IF($K61="","",N(元データ_P!$B$59))</f>
        <v/>
      </c>
      <c r="M61" s="75" t="str">
        <f aca="false">IF($K61="","",N(元データ_P!$F$59))</f>
        <v/>
      </c>
      <c r="N61" s="74" t="str">
        <f aca="false">IF($K61="","",IF(COUNTIF(店舗マスタ!$B$5:$B$304,$K61)&gt;0,"登録済","未登録→マスタに追加"))</f>
        <v/>
      </c>
      <c r="P61" s="74" t="n">
        <v>59</v>
      </c>
      <c r="Q61" s="74" t="str">
        <f aca="false">IF(元データ_B!$A$59="","",元データ_B!$A$59)</f>
        <v/>
      </c>
      <c r="R61" s="74" t="str">
        <f aca="false">IF(LEFT(Q61,1)="(",IFERROR(VALUE(MID(Q61,2,FIND(")",Q61)-2)),""),"")</f>
        <v/>
      </c>
      <c r="S61" s="75" t="str">
        <f aca="false">IF($R61="","",N(元データ_B!$B$59))</f>
        <v/>
      </c>
      <c r="T61" s="75" t="str">
        <f aca="false">IF($R61="","",N(元データ_B!$F$59))</f>
        <v/>
      </c>
      <c r="U61" s="74" t="str">
        <f aca="false">IF($R61="","",IF(COUNTIF(店舗マスタ!$B$5:$B$304,$R61)&gt;0,"登録済","未登録→マスタに追加"))</f>
        <v/>
      </c>
    </row>
    <row r="62" customFormat="false" ht="15" hidden="false" customHeight="false" outlineLevel="0" collapsed="false">
      <c r="A62" s="74" t="n">
        <v>60</v>
      </c>
      <c r="B62" s="74" t="str">
        <f aca="false">IF(元データ_PB合計!$A$60="","",元データ_PB合計!$A$60)</f>
        <v/>
      </c>
      <c r="C62" s="74" t="str">
        <f aca="false">IF(LEFT(B62,1)="(",IFERROR(VALUE(MID(B62,2,FIND(")",B62)-2)),""),"")</f>
        <v/>
      </c>
      <c r="D62" s="75" t="str">
        <f aca="false">IF($C62="","",N(元データ_PB合計!$B$60))</f>
        <v/>
      </c>
      <c r="E62" s="75" t="str">
        <f aca="false">IF($C62="","",N(元データ_PB合計!$C$60))</f>
        <v/>
      </c>
      <c r="F62" s="75" t="str">
        <f aca="false">IF($C62="","",N(元データ_PB合計!$F$60))</f>
        <v/>
      </c>
      <c r="G62" s="74" t="str">
        <f aca="false">IF($C62="","",IF(COUNTIF(店舗マスタ!$B$5:$B$304,$C62)&gt;0,"登録済","未登録→マスタに追加"))</f>
        <v/>
      </c>
      <c r="I62" s="74" t="n">
        <v>60</v>
      </c>
      <c r="J62" s="74" t="str">
        <f aca="false">IF(元データ_P!$A$60="","",元データ_P!$A$60)</f>
        <v/>
      </c>
      <c r="K62" s="74" t="str">
        <f aca="false">IF(LEFT(J62,1)="(",IFERROR(VALUE(MID(J62,2,FIND(")",J62)-2)),""),"")</f>
        <v/>
      </c>
      <c r="L62" s="75" t="str">
        <f aca="false">IF($K62="","",N(元データ_P!$B$60))</f>
        <v/>
      </c>
      <c r="M62" s="75" t="str">
        <f aca="false">IF($K62="","",N(元データ_P!$F$60))</f>
        <v/>
      </c>
      <c r="N62" s="74" t="str">
        <f aca="false">IF($K62="","",IF(COUNTIF(店舗マスタ!$B$5:$B$304,$K62)&gt;0,"登録済","未登録→マスタに追加"))</f>
        <v/>
      </c>
      <c r="P62" s="74" t="n">
        <v>60</v>
      </c>
      <c r="Q62" s="74" t="str">
        <f aca="false">IF(元データ_B!$A$60="","",元データ_B!$A$60)</f>
        <v/>
      </c>
      <c r="R62" s="74" t="str">
        <f aca="false">IF(LEFT(Q62,1)="(",IFERROR(VALUE(MID(Q62,2,FIND(")",Q62)-2)),""),"")</f>
        <v/>
      </c>
      <c r="S62" s="75" t="str">
        <f aca="false">IF($R62="","",N(元データ_B!$B$60))</f>
        <v/>
      </c>
      <c r="T62" s="75" t="str">
        <f aca="false">IF($R62="","",N(元データ_B!$F$60))</f>
        <v/>
      </c>
      <c r="U62" s="74" t="str">
        <f aca="false">IF($R62="","",IF(COUNTIF(店舗マスタ!$B$5:$B$304,$R62)&gt;0,"登録済","未登録→マスタに追加"))</f>
        <v/>
      </c>
    </row>
    <row r="63" customFormat="false" ht="15" hidden="false" customHeight="false" outlineLevel="0" collapsed="false">
      <c r="A63" s="74" t="n">
        <v>61</v>
      </c>
      <c r="B63" s="74" t="str">
        <f aca="false">IF(元データ_PB合計!$A$61="","",元データ_PB合計!$A$61)</f>
        <v/>
      </c>
      <c r="C63" s="74" t="str">
        <f aca="false">IF(LEFT(B63,1)="(",IFERROR(VALUE(MID(B63,2,FIND(")",B63)-2)),""),"")</f>
        <v/>
      </c>
      <c r="D63" s="75" t="str">
        <f aca="false">IF($C63="","",N(元データ_PB合計!$B$61))</f>
        <v/>
      </c>
      <c r="E63" s="75" t="str">
        <f aca="false">IF($C63="","",N(元データ_PB合計!$C$61))</f>
        <v/>
      </c>
      <c r="F63" s="75" t="str">
        <f aca="false">IF($C63="","",N(元データ_PB合計!$F$61))</f>
        <v/>
      </c>
      <c r="G63" s="74" t="str">
        <f aca="false">IF($C63="","",IF(COUNTIF(店舗マスタ!$B$5:$B$304,$C63)&gt;0,"登録済","未登録→マスタに追加"))</f>
        <v/>
      </c>
      <c r="I63" s="74" t="n">
        <v>61</v>
      </c>
      <c r="J63" s="74" t="str">
        <f aca="false">IF(元データ_P!$A$61="","",元データ_P!$A$61)</f>
        <v/>
      </c>
      <c r="K63" s="74" t="str">
        <f aca="false">IF(LEFT(J63,1)="(",IFERROR(VALUE(MID(J63,2,FIND(")",J63)-2)),""),"")</f>
        <v/>
      </c>
      <c r="L63" s="75" t="str">
        <f aca="false">IF($K63="","",N(元データ_P!$B$61))</f>
        <v/>
      </c>
      <c r="M63" s="75" t="str">
        <f aca="false">IF($K63="","",N(元データ_P!$F$61))</f>
        <v/>
      </c>
      <c r="N63" s="74" t="str">
        <f aca="false">IF($K63="","",IF(COUNTIF(店舗マスタ!$B$5:$B$304,$K63)&gt;0,"登録済","未登録→マスタに追加"))</f>
        <v/>
      </c>
      <c r="P63" s="74" t="n">
        <v>61</v>
      </c>
      <c r="Q63" s="74" t="str">
        <f aca="false">IF(元データ_B!$A$61="","",元データ_B!$A$61)</f>
        <v/>
      </c>
      <c r="R63" s="74" t="str">
        <f aca="false">IF(LEFT(Q63,1)="(",IFERROR(VALUE(MID(Q63,2,FIND(")",Q63)-2)),""),"")</f>
        <v/>
      </c>
      <c r="S63" s="75" t="str">
        <f aca="false">IF($R63="","",N(元データ_B!$B$61))</f>
        <v/>
      </c>
      <c r="T63" s="75" t="str">
        <f aca="false">IF($R63="","",N(元データ_B!$F$61))</f>
        <v/>
      </c>
      <c r="U63" s="74" t="str">
        <f aca="false">IF($R63="","",IF(COUNTIF(店舗マスタ!$B$5:$B$304,$R63)&gt;0,"登録済","未登録→マスタに追加"))</f>
        <v/>
      </c>
    </row>
    <row r="64" customFormat="false" ht="15" hidden="false" customHeight="false" outlineLevel="0" collapsed="false">
      <c r="A64" s="74" t="n">
        <v>62</v>
      </c>
      <c r="B64" s="74" t="str">
        <f aca="false">IF(元データ_PB合計!$A$62="","",元データ_PB合計!$A$62)</f>
        <v/>
      </c>
      <c r="C64" s="74" t="str">
        <f aca="false">IF(LEFT(B64,1)="(",IFERROR(VALUE(MID(B64,2,FIND(")",B64)-2)),""),"")</f>
        <v/>
      </c>
      <c r="D64" s="75" t="str">
        <f aca="false">IF($C64="","",N(元データ_PB合計!$B$62))</f>
        <v/>
      </c>
      <c r="E64" s="75" t="str">
        <f aca="false">IF($C64="","",N(元データ_PB合計!$C$62))</f>
        <v/>
      </c>
      <c r="F64" s="75" t="str">
        <f aca="false">IF($C64="","",N(元データ_PB合計!$F$62))</f>
        <v/>
      </c>
      <c r="G64" s="74" t="str">
        <f aca="false">IF($C64="","",IF(COUNTIF(店舗マスタ!$B$5:$B$304,$C64)&gt;0,"登録済","未登録→マスタに追加"))</f>
        <v/>
      </c>
      <c r="I64" s="74" t="n">
        <v>62</v>
      </c>
      <c r="J64" s="74" t="str">
        <f aca="false">IF(元データ_P!$A$62="","",元データ_P!$A$62)</f>
        <v/>
      </c>
      <c r="K64" s="74" t="str">
        <f aca="false">IF(LEFT(J64,1)="(",IFERROR(VALUE(MID(J64,2,FIND(")",J64)-2)),""),"")</f>
        <v/>
      </c>
      <c r="L64" s="75" t="str">
        <f aca="false">IF($K64="","",N(元データ_P!$B$62))</f>
        <v/>
      </c>
      <c r="M64" s="75" t="str">
        <f aca="false">IF($K64="","",N(元データ_P!$F$62))</f>
        <v/>
      </c>
      <c r="N64" s="74" t="str">
        <f aca="false">IF($K64="","",IF(COUNTIF(店舗マスタ!$B$5:$B$304,$K64)&gt;0,"登録済","未登録→マスタに追加"))</f>
        <v/>
      </c>
      <c r="P64" s="74" t="n">
        <v>62</v>
      </c>
      <c r="Q64" s="74" t="str">
        <f aca="false">IF(元データ_B!$A$62="","",元データ_B!$A$62)</f>
        <v/>
      </c>
      <c r="R64" s="74" t="str">
        <f aca="false">IF(LEFT(Q64,1)="(",IFERROR(VALUE(MID(Q64,2,FIND(")",Q64)-2)),""),"")</f>
        <v/>
      </c>
      <c r="S64" s="75" t="str">
        <f aca="false">IF($R64="","",N(元データ_B!$B$62))</f>
        <v/>
      </c>
      <c r="T64" s="75" t="str">
        <f aca="false">IF($R64="","",N(元データ_B!$F$62))</f>
        <v/>
      </c>
      <c r="U64" s="74" t="str">
        <f aca="false">IF($R64="","",IF(COUNTIF(店舗マスタ!$B$5:$B$304,$R64)&gt;0,"登録済","未登録→マスタに追加"))</f>
        <v/>
      </c>
    </row>
    <row r="65" customFormat="false" ht="15" hidden="false" customHeight="false" outlineLevel="0" collapsed="false">
      <c r="A65" s="74" t="n">
        <v>63</v>
      </c>
      <c r="B65" s="74" t="str">
        <f aca="false">IF(元データ_PB合計!$A$63="","",元データ_PB合計!$A$63)</f>
        <v/>
      </c>
      <c r="C65" s="74" t="str">
        <f aca="false">IF(LEFT(B65,1)="(",IFERROR(VALUE(MID(B65,2,FIND(")",B65)-2)),""),"")</f>
        <v/>
      </c>
      <c r="D65" s="75" t="str">
        <f aca="false">IF($C65="","",N(元データ_PB合計!$B$63))</f>
        <v/>
      </c>
      <c r="E65" s="75" t="str">
        <f aca="false">IF($C65="","",N(元データ_PB合計!$C$63))</f>
        <v/>
      </c>
      <c r="F65" s="75" t="str">
        <f aca="false">IF($C65="","",N(元データ_PB合計!$F$63))</f>
        <v/>
      </c>
      <c r="G65" s="74" t="str">
        <f aca="false">IF($C65="","",IF(COUNTIF(店舗マスタ!$B$5:$B$304,$C65)&gt;0,"登録済","未登録→マスタに追加"))</f>
        <v/>
      </c>
      <c r="I65" s="74" t="n">
        <v>63</v>
      </c>
      <c r="J65" s="74" t="str">
        <f aca="false">IF(元データ_P!$A$63="","",元データ_P!$A$63)</f>
        <v/>
      </c>
      <c r="K65" s="74" t="str">
        <f aca="false">IF(LEFT(J65,1)="(",IFERROR(VALUE(MID(J65,2,FIND(")",J65)-2)),""),"")</f>
        <v/>
      </c>
      <c r="L65" s="75" t="str">
        <f aca="false">IF($K65="","",N(元データ_P!$B$63))</f>
        <v/>
      </c>
      <c r="M65" s="75" t="str">
        <f aca="false">IF($K65="","",N(元データ_P!$F$63))</f>
        <v/>
      </c>
      <c r="N65" s="74" t="str">
        <f aca="false">IF($K65="","",IF(COUNTIF(店舗マスタ!$B$5:$B$304,$K65)&gt;0,"登録済","未登録→マスタに追加"))</f>
        <v/>
      </c>
      <c r="P65" s="74" t="n">
        <v>63</v>
      </c>
      <c r="Q65" s="74" t="str">
        <f aca="false">IF(元データ_B!$A$63="","",元データ_B!$A$63)</f>
        <v/>
      </c>
      <c r="R65" s="74" t="str">
        <f aca="false">IF(LEFT(Q65,1)="(",IFERROR(VALUE(MID(Q65,2,FIND(")",Q65)-2)),""),"")</f>
        <v/>
      </c>
      <c r="S65" s="75" t="str">
        <f aca="false">IF($R65="","",N(元データ_B!$B$63))</f>
        <v/>
      </c>
      <c r="T65" s="75" t="str">
        <f aca="false">IF($R65="","",N(元データ_B!$F$63))</f>
        <v/>
      </c>
      <c r="U65" s="74" t="str">
        <f aca="false">IF($R65="","",IF(COUNTIF(店舗マスタ!$B$5:$B$304,$R65)&gt;0,"登録済","未登録→マスタに追加"))</f>
        <v/>
      </c>
    </row>
    <row r="66" customFormat="false" ht="15" hidden="false" customHeight="false" outlineLevel="0" collapsed="false">
      <c r="A66" s="74" t="n">
        <v>64</v>
      </c>
      <c r="B66" s="74" t="str">
        <f aca="false">IF(元データ_PB合計!$A$64="","",元データ_PB合計!$A$64)</f>
        <v/>
      </c>
      <c r="C66" s="74" t="str">
        <f aca="false">IF(LEFT(B66,1)="(",IFERROR(VALUE(MID(B66,2,FIND(")",B66)-2)),""),"")</f>
        <v/>
      </c>
      <c r="D66" s="75" t="str">
        <f aca="false">IF($C66="","",N(元データ_PB合計!$B$64))</f>
        <v/>
      </c>
      <c r="E66" s="75" t="str">
        <f aca="false">IF($C66="","",N(元データ_PB合計!$C$64))</f>
        <v/>
      </c>
      <c r="F66" s="75" t="str">
        <f aca="false">IF($C66="","",N(元データ_PB合計!$F$64))</f>
        <v/>
      </c>
      <c r="G66" s="74" t="str">
        <f aca="false">IF($C66="","",IF(COUNTIF(店舗マスタ!$B$5:$B$304,$C66)&gt;0,"登録済","未登録→マスタに追加"))</f>
        <v/>
      </c>
      <c r="I66" s="74" t="n">
        <v>64</v>
      </c>
      <c r="J66" s="74" t="str">
        <f aca="false">IF(元データ_P!$A$64="","",元データ_P!$A$64)</f>
        <v/>
      </c>
      <c r="K66" s="74" t="str">
        <f aca="false">IF(LEFT(J66,1)="(",IFERROR(VALUE(MID(J66,2,FIND(")",J66)-2)),""),"")</f>
        <v/>
      </c>
      <c r="L66" s="75" t="str">
        <f aca="false">IF($K66="","",N(元データ_P!$B$64))</f>
        <v/>
      </c>
      <c r="M66" s="75" t="str">
        <f aca="false">IF($K66="","",N(元データ_P!$F$64))</f>
        <v/>
      </c>
      <c r="N66" s="74" t="str">
        <f aca="false">IF($K66="","",IF(COUNTIF(店舗マスタ!$B$5:$B$304,$K66)&gt;0,"登録済","未登録→マスタに追加"))</f>
        <v/>
      </c>
      <c r="P66" s="74" t="n">
        <v>64</v>
      </c>
      <c r="Q66" s="74" t="str">
        <f aca="false">IF(元データ_B!$A$64="","",元データ_B!$A$64)</f>
        <v/>
      </c>
      <c r="R66" s="74" t="str">
        <f aca="false">IF(LEFT(Q66,1)="(",IFERROR(VALUE(MID(Q66,2,FIND(")",Q66)-2)),""),"")</f>
        <v/>
      </c>
      <c r="S66" s="75" t="str">
        <f aca="false">IF($R66="","",N(元データ_B!$B$64))</f>
        <v/>
      </c>
      <c r="T66" s="75" t="str">
        <f aca="false">IF($R66="","",N(元データ_B!$F$64))</f>
        <v/>
      </c>
      <c r="U66" s="74" t="str">
        <f aca="false">IF($R66="","",IF(COUNTIF(店舗マスタ!$B$5:$B$304,$R66)&gt;0,"登録済","未登録→マスタに追加"))</f>
        <v/>
      </c>
    </row>
    <row r="67" customFormat="false" ht="15" hidden="false" customHeight="false" outlineLevel="0" collapsed="false">
      <c r="A67" s="74" t="n">
        <v>65</v>
      </c>
      <c r="B67" s="74" t="str">
        <f aca="false">IF(元データ_PB合計!$A$65="","",元データ_PB合計!$A$65)</f>
        <v/>
      </c>
      <c r="C67" s="74" t="str">
        <f aca="false">IF(LEFT(B67,1)="(",IFERROR(VALUE(MID(B67,2,FIND(")",B67)-2)),""),"")</f>
        <v/>
      </c>
      <c r="D67" s="75" t="str">
        <f aca="false">IF($C67="","",N(元データ_PB合計!$B$65))</f>
        <v/>
      </c>
      <c r="E67" s="75" t="str">
        <f aca="false">IF($C67="","",N(元データ_PB合計!$C$65))</f>
        <v/>
      </c>
      <c r="F67" s="75" t="str">
        <f aca="false">IF($C67="","",N(元データ_PB合計!$F$65))</f>
        <v/>
      </c>
      <c r="G67" s="74" t="str">
        <f aca="false">IF($C67="","",IF(COUNTIF(店舗マスタ!$B$5:$B$304,$C67)&gt;0,"登録済","未登録→マスタに追加"))</f>
        <v/>
      </c>
      <c r="I67" s="74" t="n">
        <v>65</v>
      </c>
      <c r="J67" s="74" t="str">
        <f aca="false">IF(元データ_P!$A$65="","",元データ_P!$A$65)</f>
        <v/>
      </c>
      <c r="K67" s="74" t="str">
        <f aca="false">IF(LEFT(J67,1)="(",IFERROR(VALUE(MID(J67,2,FIND(")",J67)-2)),""),"")</f>
        <v/>
      </c>
      <c r="L67" s="75" t="str">
        <f aca="false">IF($K67="","",N(元データ_P!$B$65))</f>
        <v/>
      </c>
      <c r="M67" s="75" t="str">
        <f aca="false">IF($K67="","",N(元データ_P!$F$65))</f>
        <v/>
      </c>
      <c r="N67" s="74" t="str">
        <f aca="false">IF($K67="","",IF(COUNTIF(店舗マスタ!$B$5:$B$304,$K67)&gt;0,"登録済","未登録→マスタに追加"))</f>
        <v/>
      </c>
      <c r="P67" s="74" t="n">
        <v>65</v>
      </c>
      <c r="Q67" s="74" t="str">
        <f aca="false">IF(元データ_B!$A$65="","",元データ_B!$A$65)</f>
        <v/>
      </c>
      <c r="R67" s="74" t="str">
        <f aca="false">IF(LEFT(Q67,1)="(",IFERROR(VALUE(MID(Q67,2,FIND(")",Q67)-2)),""),"")</f>
        <v/>
      </c>
      <c r="S67" s="75" t="str">
        <f aca="false">IF($R67="","",N(元データ_B!$B$65))</f>
        <v/>
      </c>
      <c r="T67" s="75" t="str">
        <f aca="false">IF($R67="","",N(元データ_B!$F$65))</f>
        <v/>
      </c>
      <c r="U67" s="74" t="str">
        <f aca="false">IF($R67="","",IF(COUNTIF(店舗マスタ!$B$5:$B$304,$R67)&gt;0,"登録済","未登録→マスタに追加"))</f>
        <v/>
      </c>
    </row>
    <row r="68" customFormat="false" ht="15" hidden="false" customHeight="false" outlineLevel="0" collapsed="false">
      <c r="A68" s="74" t="n">
        <v>66</v>
      </c>
      <c r="B68" s="74" t="str">
        <f aca="false">IF(元データ_PB合計!$A$66="","",元データ_PB合計!$A$66)</f>
        <v/>
      </c>
      <c r="C68" s="74" t="str">
        <f aca="false">IF(LEFT(B68,1)="(",IFERROR(VALUE(MID(B68,2,FIND(")",B68)-2)),""),"")</f>
        <v/>
      </c>
      <c r="D68" s="75" t="str">
        <f aca="false">IF($C68="","",N(元データ_PB合計!$B$66))</f>
        <v/>
      </c>
      <c r="E68" s="75" t="str">
        <f aca="false">IF($C68="","",N(元データ_PB合計!$C$66))</f>
        <v/>
      </c>
      <c r="F68" s="75" t="str">
        <f aca="false">IF($C68="","",N(元データ_PB合計!$F$66))</f>
        <v/>
      </c>
      <c r="G68" s="74" t="str">
        <f aca="false">IF($C68="","",IF(COUNTIF(店舗マスタ!$B$5:$B$304,$C68)&gt;0,"登録済","未登録→マスタに追加"))</f>
        <v/>
      </c>
      <c r="I68" s="74" t="n">
        <v>66</v>
      </c>
      <c r="J68" s="74" t="str">
        <f aca="false">IF(元データ_P!$A$66="","",元データ_P!$A$66)</f>
        <v/>
      </c>
      <c r="K68" s="74" t="str">
        <f aca="false">IF(LEFT(J68,1)="(",IFERROR(VALUE(MID(J68,2,FIND(")",J68)-2)),""),"")</f>
        <v/>
      </c>
      <c r="L68" s="75" t="str">
        <f aca="false">IF($K68="","",N(元データ_P!$B$66))</f>
        <v/>
      </c>
      <c r="M68" s="75" t="str">
        <f aca="false">IF($K68="","",N(元データ_P!$F$66))</f>
        <v/>
      </c>
      <c r="N68" s="74" t="str">
        <f aca="false">IF($K68="","",IF(COUNTIF(店舗マスタ!$B$5:$B$304,$K68)&gt;0,"登録済","未登録→マスタに追加"))</f>
        <v/>
      </c>
      <c r="P68" s="74" t="n">
        <v>66</v>
      </c>
      <c r="Q68" s="74" t="str">
        <f aca="false">IF(元データ_B!$A$66="","",元データ_B!$A$66)</f>
        <v/>
      </c>
      <c r="R68" s="74" t="str">
        <f aca="false">IF(LEFT(Q68,1)="(",IFERROR(VALUE(MID(Q68,2,FIND(")",Q68)-2)),""),"")</f>
        <v/>
      </c>
      <c r="S68" s="75" t="str">
        <f aca="false">IF($R68="","",N(元データ_B!$B$66))</f>
        <v/>
      </c>
      <c r="T68" s="75" t="str">
        <f aca="false">IF($R68="","",N(元データ_B!$F$66))</f>
        <v/>
      </c>
      <c r="U68" s="74" t="str">
        <f aca="false">IF($R68="","",IF(COUNTIF(店舗マスタ!$B$5:$B$304,$R68)&gt;0,"登録済","未登録→マスタに追加"))</f>
        <v/>
      </c>
    </row>
    <row r="69" customFormat="false" ht="15" hidden="false" customHeight="false" outlineLevel="0" collapsed="false">
      <c r="A69" s="74" t="n">
        <v>67</v>
      </c>
      <c r="B69" s="74" t="str">
        <f aca="false">IF(元データ_PB合計!$A$67="","",元データ_PB合計!$A$67)</f>
        <v/>
      </c>
      <c r="C69" s="74" t="str">
        <f aca="false">IF(LEFT(B69,1)="(",IFERROR(VALUE(MID(B69,2,FIND(")",B69)-2)),""),"")</f>
        <v/>
      </c>
      <c r="D69" s="75" t="str">
        <f aca="false">IF($C69="","",N(元データ_PB合計!$B$67))</f>
        <v/>
      </c>
      <c r="E69" s="75" t="str">
        <f aca="false">IF($C69="","",N(元データ_PB合計!$C$67))</f>
        <v/>
      </c>
      <c r="F69" s="75" t="str">
        <f aca="false">IF($C69="","",N(元データ_PB合計!$F$67))</f>
        <v/>
      </c>
      <c r="G69" s="74" t="str">
        <f aca="false">IF($C69="","",IF(COUNTIF(店舗マスタ!$B$5:$B$304,$C69)&gt;0,"登録済","未登録→マスタに追加"))</f>
        <v/>
      </c>
      <c r="I69" s="74" t="n">
        <v>67</v>
      </c>
      <c r="J69" s="74" t="str">
        <f aca="false">IF(元データ_P!$A$67="","",元データ_P!$A$67)</f>
        <v/>
      </c>
      <c r="K69" s="74" t="str">
        <f aca="false">IF(LEFT(J69,1)="(",IFERROR(VALUE(MID(J69,2,FIND(")",J69)-2)),""),"")</f>
        <v/>
      </c>
      <c r="L69" s="75" t="str">
        <f aca="false">IF($K69="","",N(元データ_P!$B$67))</f>
        <v/>
      </c>
      <c r="M69" s="75" t="str">
        <f aca="false">IF($K69="","",N(元データ_P!$F$67))</f>
        <v/>
      </c>
      <c r="N69" s="74" t="str">
        <f aca="false">IF($K69="","",IF(COUNTIF(店舗マスタ!$B$5:$B$304,$K69)&gt;0,"登録済","未登録→マスタに追加"))</f>
        <v/>
      </c>
      <c r="P69" s="74" t="n">
        <v>67</v>
      </c>
      <c r="Q69" s="74" t="str">
        <f aca="false">IF(元データ_B!$A$67="","",元データ_B!$A$67)</f>
        <v/>
      </c>
      <c r="R69" s="74" t="str">
        <f aca="false">IF(LEFT(Q69,1)="(",IFERROR(VALUE(MID(Q69,2,FIND(")",Q69)-2)),""),"")</f>
        <v/>
      </c>
      <c r="S69" s="75" t="str">
        <f aca="false">IF($R69="","",N(元データ_B!$B$67))</f>
        <v/>
      </c>
      <c r="T69" s="75" t="str">
        <f aca="false">IF($R69="","",N(元データ_B!$F$67))</f>
        <v/>
      </c>
      <c r="U69" s="74" t="str">
        <f aca="false">IF($R69="","",IF(COUNTIF(店舗マスタ!$B$5:$B$304,$R69)&gt;0,"登録済","未登録→マスタに追加"))</f>
        <v/>
      </c>
    </row>
    <row r="70" customFormat="false" ht="15" hidden="false" customHeight="false" outlineLevel="0" collapsed="false">
      <c r="A70" s="74" t="n">
        <v>68</v>
      </c>
      <c r="B70" s="74" t="str">
        <f aca="false">IF(元データ_PB合計!$A$68="","",元データ_PB合計!$A$68)</f>
        <v/>
      </c>
      <c r="C70" s="74" t="str">
        <f aca="false">IF(LEFT(B70,1)="(",IFERROR(VALUE(MID(B70,2,FIND(")",B70)-2)),""),"")</f>
        <v/>
      </c>
      <c r="D70" s="75" t="str">
        <f aca="false">IF($C70="","",N(元データ_PB合計!$B$68))</f>
        <v/>
      </c>
      <c r="E70" s="75" t="str">
        <f aca="false">IF($C70="","",N(元データ_PB合計!$C$68))</f>
        <v/>
      </c>
      <c r="F70" s="75" t="str">
        <f aca="false">IF($C70="","",N(元データ_PB合計!$F$68))</f>
        <v/>
      </c>
      <c r="G70" s="74" t="str">
        <f aca="false">IF($C70="","",IF(COUNTIF(店舗マスタ!$B$5:$B$304,$C70)&gt;0,"登録済","未登録→マスタに追加"))</f>
        <v/>
      </c>
      <c r="I70" s="74" t="n">
        <v>68</v>
      </c>
      <c r="J70" s="74" t="str">
        <f aca="false">IF(元データ_P!$A$68="","",元データ_P!$A$68)</f>
        <v/>
      </c>
      <c r="K70" s="74" t="str">
        <f aca="false">IF(LEFT(J70,1)="(",IFERROR(VALUE(MID(J70,2,FIND(")",J70)-2)),""),"")</f>
        <v/>
      </c>
      <c r="L70" s="75" t="str">
        <f aca="false">IF($K70="","",N(元データ_P!$B$68))</f>
        <v/>
      </c>
      <c r="M70" s="75" t="str">
        <f aca="false">IF($K70="","",N(元データ_P!$F$68))</f>
        <v/>
      </c>
      <c r="N70" s="74" t="str">
        <f aca="false">IF($K70="","",IF(COUNTIF(店舗マスタ!$B$5:$B$304,$K70)&gt;0,"登録済","未登録→マスタに追加"))</f>
        <v/>
      </c>
      <c r="P70" s="74" t="n">
        <v>68</v>
      </c>
      <c r="Q70" s="74" t="str">
        <f aca="false">IF(元データ_B!$A$68="","",元データ_B!$A$68)</f>
        <v/>
      </c>
      <c r="R70" s="74" t="str">
        <f aca="false">IF(LEFT(Q70,1)="(",IFERROR(VALUE(MID(Q70,2,FIND(")",Q70)-2)),""),"")</f>
        <v/>
      </c>
      <c r="S70" s="75" t="str">
        <f aca="false">IF($R70="","",N(元データ_B!$B$68))</f>
        <v/>
      </c>
      <c r="T70" s="75" t="str">
        <f aca="false">IF($R70="","",N(元データ_B!$F$68))</f>
        <v/>
      </c>
      <c r="U70" s="74" t="str">
        <f aca="false">IF($R70="","",IF(COUNTIF(店舗マスタ!$B$5:$B$304,$R70)&gt;0,"登録済","未登録→マスタに追加"))</f>
        <v/>
      </c>
    </row>
    <row r="71" customFormat="false" ht="15" hidden="false" customHeight="false" outlineLevel="0" collapsed="false">
      <c r="A71" s="74" t="n">
        <v>69</v>
      </c>
      <c r="B71" s="74" t="str">
        <f aca="false">IF(元データ_PB合計!$A$69="","",元データ_PB合計!$A$69)</f>
        <v/>
      </c>
      <c r="C71" s="74" t="str">
        <f aca="false">IF(LEFT(B71,1)="(",IFERROR(VALUE(MID(B71,2,FIND(")",B71)-2)),""),"")</f>
        <v/>
      </c>
      <c r="D71" s="75" t="str">
        <f aca="false">IF($C71="","",N(元データ_PB合計!$B$69))</f>
        <v/>
      </c>
      <c r="E71" s="75" t="str">
        <f aca="false">IF($C71="","",N(元データ_PB合計!$C$69))</f>
        <v/>
      </c>
      <c r="F71" s="75" t="str">
        <f aca="false">IF($C71="","",N(元データ_PB合計!$F$69))</f>
        <v/>
      </c>
      <c r="G71" s="74" t="str">
        <f aca="false">IF($C71="","",IF(COUNTIF(店舗マスタ!$B$5:$B$304,$C71)&gt;0,"登録済","未登録→マスタに追加"))</f>
        <v/>
      </c>
      <c r="I71" s="74" t="n">
        <v>69</v>
      </c>
      <c r="J71" s="74" t="str">
        <f aca="false">IF(元データ_P!$A$69="","",元データ_P!$A$69)</f>
        <v/>
      </c>
      <c r="K71" s="74" t="str">
        <f aca="false">IF(LEFT(J71,1)="(",IFERROR(VALUE(MID(J71,2,FIND(")",J71)-2)),""),"")</f>
        <v/>
      </c>
      <c r="L71" s="75" t="str">
        <f aca="false">IF($K71="","",N(元データ_P!$B$69))</f>
        <v/>
      </c>
      <c r="M71" s="75" t="str">
        <f aca="false">IF($K71="","",N(元データ_P!$F$69))</f>
        <v/>
      </c>
      <c r="N71" s="74" t="str">
        <f aca="false">IF($K71="","",IF(COUNTIF(店舗マスタ!$B$5:$B$304,$K71)&gt;0,"登録済","未登録→マスタに追加"))</f>
        <v/>
      </c>
      <c r="P71" s="74" t="n">
        <v>69</v>
      </c>
      <c r="Q71" s="74" t="str">
        <f aca="false">IF(元データ_B!$A$69="","",元データ_B!$A$69)</f>
        <v/>
      </c>
      <c r="R71" s="74" t="str">
        <f aca="false">IF(LEFT(Q71,1)="(",IFERROR(VALUE(MID(Q71,2,FIND(")",Q71)-2)),""),"")</f>
        <v/>
      </c>
      <c r="S71" s="75" t="str">
        <f aca="false">IF($R71="","",N(元データ_B!$B$69))</f>
        <v/>
      </c>
      <c r="T71" s="75" t="str">
        <f aca="false">IF($R71="","",N(元データ_B!$F$69))</f>
        <v/>
      </c>
      <c r="U71" s="74" t="str">
        <f aca="false">IF($R71="","",IF(COUNTIF(店舗マスタ!$B$5:$B$304,$R71)&gt;0,"登録済","未登録→マスタに追加"))</f>
        <v/>
      </c>
    </row>
    <row r="72" customFormat="false" ht="15" hidden="false" customHeight="false" outlineLevel="0" collapsed="false">
      <c r="A72" s="74" t="n">
        <v>70</v>
      </c>
      <c r="B72" s="74" t="str">
        <f aca="false">IF(元データ_PB合計!$A$70="","",元データ_PB合計!$A$70)</f>
        <v/>
      </c>
      <c r="C72" s="74" t="str">
        <f aca="false">IF(LEFT(B72,1)="(",IFERROR(VALUE(MID(B72,2,FIND(")",B72)-2)),""),"")</f>
        <v/>
      </c>
      <c r="D72" s="75" t="str">
        <f aca="false">IF($C72="","",N(元データ_PB合計!$B$70))</f>
        <v/>
      </c>
      <c r="E72" s="75" t="str">
        <f aca="false">IF($C72="","",N(元データ_PB合計!$C$70))</f>
        <v/>
      </c>
      <c r="F72" s="75" t="str">
        <f aca="false">IF($C72="","",N(元データ_PB合計!$F$70))</f>
        <v/>
      </c>
      <c r="G72" s="74" t="str">
        <f aca="false">IF($C72="","",IF(COUNTIF(店舗マスタ!$B$5:$B$304,$C72)&gt;0,"登録済","未登録→マスタに追加"))</f>
        <v/>
      </c>
      <c r="I72" s="74" t="n">
        <v>70</v>
      </c>
      <c r="J72" s="74" t="str">
        <f aca="false">IF(元データ_P!$A$70="","",元データ_P!$A$70)</f>
        <v/>
      </c>
      <c r="K72" s="74" t="str">
        <f aca="false">IF(LEFT(J72,1)="(",IFERROR(VALUE(MID(J72,2,FIND(")",J72)-2)),""),"")</f>
        <v/>
      </c>
      <c r="L72" s="75" t="str">
        <f aca="false">IF($K72="","",N(元データ_P!$B$70))</f>
        <v/>
      </c>
      <c r="M72" s="75" t="str">
        <f aca="false">IF($K72="","",N(元データ_P!$F$70))</f>
        <v/>
      </c>
      <c r="N72" s="74" t="str">
        <f aca="false">IF($K72="","",IF(COUNTIF(店舗マスタ!$B$5:$B$304,$K72)&gt;0,"登録済","未登録→マスタに追加"))</f>
        <v/>
      </c>
      <c r="P72" s="74" t="n">
        <v>70</v>
      </c>
      <c r="Q72" s="74" t="str">
        <f aca="false">IF(元データ_B!$A$70="","",元データ_B!$A$70)</f>
        <v/>
      </c>
      <c r="R72" s="74" t="str">
        <f aca="false">IF(LEFT(Q72,1)="(",IFERROR(VALUE(MID(Q72,2,FIND(")",Q72)-2)),""),"")</f>
        <v/>
      </c>
      <c r="S72" s="75" t="str">
        <f aca="false">IF($R72="","",N(元データ_B!$B$70))</f>
        <v/>
      </c>
      <c r="T72" s="75" t="str">
        <f aca="false">IF($R72="","",N(元データ_B!$F$70))</f>
        <v/>
      </c>
      <c r="U72" s="74" t="str">
        <f aca="false">IF($R72="","",IF(COUNTIF(店舗マスタ!$B$5:$B$304,$R72)&gt;0,"登録済","未登録→マスタに追加"))</f>
        <v/>
      </c>
    </row>
    <row r="73" customFormat="false" ht="15" hidden="false" customHeight="false" outlineLevel="0" collapsed="false">
      <c r="A73" s="74" t="n">
        <v>71</v>
      </c>
      <c r="B73" s="74" t="str">
        <f aca="false">IF(元データ_PB合計!$A$71="","",元データ_PB合計!$A$71)</f>
        <v/>
      </c>
      <c r="C73" s="74" t="str">
        <f aca="false">IF(LEFT(B73,1)="(",IFERROR(VALUE(MID(B73,2,FIND(")",B73)-2)),""),"")</f>
        <v/>
      </c>
      <c r="D73" s="75" t="str">
        <f aca="false">IF($C73="","",N(元データ_PB合計!$B$71))</f>
        <v/>
      </c>
      <c r="E73" s="75" t="str">
        <f aca="false">IF($C73="","",N(元データ_PB合計!$C$71))</f>
        <v/>
      </c>
      <c r="F73" s="75" t="str">
        <f aca="false">IF($C73="","",N(元データ_PB合計!$F$71))</f>
        <v/>
      </c>
      <c r="G73" s="74" t="str">
        <f aca="false">IF($C73="","",IF(COUNTIF(店舗マスタ!$B$5:$B$304,$C73)&gt;0,"登録済","未登録→マスタに追加"))</f>
        <v/>
      </c>
      <c r="I73" s="74" t="n">
        <v>71</v>
      </c>
      <c r="J73" s="74" t="str">
        <f aca="false">IF(元データ_P!$A$71="","",元データ_P!$A$71)</f>
        <v/>
      </c>
      <c r="K73" s="74" t="str">
        <f aca="false">IF(LEFT(J73,1)="(",IFERROR(VALUE(MID(J73,2,FIND(")",J73)-2)),""),"")</f>
        <v/>
      </c>
      <c r="L73" s="75" t="str">
        <f aca="false">IF($K73="","",N(元データ_P!$B$71))</f>
        <v/>
      </c>
      <c r="M73" s="75" t="str">
        <f aca="false">IF($K73="","",N(元データ_P!$F$71))</f>
        <v/>
      </c>
      <c r="N73" s="74" t="str">
        <f aca="false">IF($K73="","",IF(COUNTIF(店舗マスタ!$B$5:$B$304,$K73)&gt;0,"登録済","未登録→マスタに追加"))</f>
        <v/>
      </c>
      <c r="P73" s="74" t="n">
        <v>71</v>
      </c>
      <c r="Q73" s="74" t="str">
        <f aca="false">IF(元データ_B!$A$71="","",元データ_B!$A$71)</f>
        <v/>
      </c>
      <c r="R73" s="74" t="str">
        <f aca="false">IF(LEFT(Q73,1)="(",IFERROR(VALUE(MID(Q73,2,FIND(")",Q73)-2)),""),"")</f>
        <v/>
      </c>
      <c r="S73" s="75" t="str">
        <f aca="false">IF($R73="","",N(元データ_B!$B$71))</f>
        <v/>
      </c>
      <c r="T73" s="75" t="str">
        <f aca="false">IF($R73="","",N(元データ_B!$F$71))</f>
        <v/>
      </c>
      <c r="U73" s="74" t="str">
        <f aca="false">IF($R73="","",IF(COUNTIF(店舗マスタ!$B$5:$B$304,$R73)&gt;0,"登録済","未登録→マスタに追加"))</f>
        <v/>
      </c>
    </row>
    <row r="74" customFormat="false" ht="15" hidden="false" customHeight="false" outlineLevel="0" collapsed="false">
      <c r="A74" s="74" t="n">
        <v>72</v>
      </c>
      <c r="B74" s="74" t="str">
        <f aca="false">IF(元データ_PB合計!$A$72="","",元データ_PB合計!$A$72)</f>
        <v/>
      </c>
      <c r="C74" s="74" t="str">
        <f aca="false">IF(LEFT(B74,1)="(",IFERROR(VALUE(MID(B74,2,FIND(")",B74)-2)),""),"")</f>
        <v/>
      </c>
      <c r="D74" s="75" t="str">
        <f aca="false">IF($C74="","",N(元データ_PB合計!$B$72))</f>
        <v/>
      </c>
      <c r="E74" s="75" t="str">
        <f aca="false">IF($C74="","",N(元データ_PB合計!$C$72))</f>
        <v/>
      </c>
      <c r="F74" s="75" t="str">
        <f aca="false">IF($C74="","",N(元データ_PB合計!$F$72))</f>
        <v/>
      </c>
      <c r="G74" s="74" t="str">
        <f aca="false">IF($C74="","",IF(COUNTIF(店舗マスタ!$B$5:$B$304,$C74)&gt;0,"登録済","未登録→マスタに追加"))</f>
        <v/>
      </c>
      <c r="I74" s="74" t="n">
        <v>72</v>
      </c>
      <c r="J74" s="74" t="str">
        <f aca="false">IF(元データ_P!$A$72="","",元データ_P!$A$72)</f>
        <v/>
      </c>
      <c r="K74" s="74" t="str">
        <f aca="false">IF(LEFT(J74,1)="(",IFERROR(VALUE(MID(J74,2,FIND(")",J74)-2)),""),"")</f>
        <v/>
      </c>
      <c r="L74" s="75" t="str">
        <f aca="false">IF($K74="","",N(元データ_P!$B$72))</f>
        <v/>
      </c>
      <c r="M74" s="75" t="str">
        <f aca="false">IF($K74="","",N(元データ_P!$F$72))</f>
        <v/>
      </c>
      <c r="N74" s="74" t="str">
        <f aca="false">IF($K74="","",IF(COUNTIF(店舗マスタ!$B$5:$B$304,$K74)&gt;0,"登録済","未登録→マスタに追加"))</f>
        <v/>
      </c>
      <c r="P74" s="74" t="n">
        <v>72</v>
      </c>
      <c r="Q74" s="74" t="str">
        <f aca="false">IF(元データ_B!$A$72="","",元データ_B!$A$72)</f>
        <v/>
      </c>
      <c r="R74" s="74" t="str">
        <f aca="false">IF(LEFT(Q74,1)="(",IFERROR(VALUE(MID(Q74,2,FIND(")",Q74)-2)),""),"")</f>
        <v/>
      </c>
      <c r="S74" s="75" t="str">
        <f aca="false">IF($R74="","",N(元データ_B!$B$72))</f>
        <v/>
      </c>
      <c r="T74" s="75" t="str">
        <f aca="false">IF($R74="","",N(元データ_B!$F$72))</f>
        <v/>
      </c>
      <c r="U74" s="74" t="str">
        <f aca="false">IF($R74="","",IF(COUNTIF(店舗マスタ!$B$5:$B$304,$R74)&gt;0,"登録済","未登録→マスタに追加"))</f>
        <v/>
      </c>
    </row>
    <row r="75" customFormat="false" ht="15" hidden="false" customHeight="false" outlineLevel="0" collapsed="false">
      <c r="A75" s="74" t="n">
        <v>73</v>
      </c>
      <c r="B75" s="74" t="str">
        <f aca="false">IF(元データ_PB合計!$A$73="","",元データ_PB合計!$A$73)</f>
        <v/>
      </c>
      <c r="C75" s="74" t="str">
        <f aca="false">IF(LEFT(B75,1)="(",IFERROR(VALUE(MID(B75,2,FIND(")",B75)-2)),""),"")</f>
        <v/>
      </c>
      <c r="D75" s="75" t="str">
        <f aca="false">IF($C75="","",N(元データ_PB合計!$B$73))</f>
        <v/>
      </c>
      <c r="E75" s="75" t="str">
        <f aca="false">IF($C75="","",N(元データ_PB合計!$C$73))</f>
        <v/>
      </c>
      <c r="F75" s="75" t="str">
        <f aca="false">IF($C75="","",N(元データ_PB合計!$F$73))</f>
        <v/>
      </c>
      <c r="G75" s="74" t="str">
        <f aca="false">IF($C75="","",IF(COUNTIF(店舗マスタ!$B$5:$B$304,$C75)&gt;0,"登録済","未登録→マスタに追加"))</f>
        <v/>
      </c>
      <c r="I75" s="74" t="n">
        <v>73</v>
      </c>
      <c r="J75" s="74" t="str">
        <f aca="false">IF(元データ_P!$A$73="","",元データ_P!$A$73)</f>
        <v/>
      </c>
      <c r="K75" s="74" t="str">
        <f aca="false">IF(LEFT(J75,1)="(",IFERROR(VALUE(MID(J75,2,FIND(")",J75)-2)),""),"")</f>
        <v/>
      </c>
      <c r="L75" s="75" t="str">
        <f aca="false">IF($K75="","",N(元データ_P!$B$73))</f>
        <v/>
      </c>
      <c r="M75" s="75" t="str">
        <f aca="false">IF($K75="","",N(元データ_P!$F$73))</f>
        <v/>
      </c>
      <c r="N75" s="74" t="str">
        <f aca="false">IF($K75="","",IF(COUNTIF(店舗マスタ!$B$5:$B$304,$K75)&gt;0,"登録済","未登録→マスタに追加"))</f>
        <v/>
      </c>
      <c r="P75" s="74" t="n">
        <v>73</v>
      </c>
      <c r="Q75" s="74" t="str">
        <f aca="false">IF(元データ_B!$A$73="","",元データ_B!$A$73)</f>
        <v/>
      </c>
      <c r="R75" s="74" t="str">
        <f aca="false">IF(LEFT(Q75,1)="(",IFERROR(VALUE(MID(Q75,2,FIND(")",Q75)-2)),""),"")</f>
        <v/>
      </c>
      <c r="S75" s="75" t="str">
        <f aca="false">IF($R75="","",N(元データ_B!$B$73))</f>
        <v/>
      </c>
      <c r="T75" s="75" t="str">
        <f aca="false">IF($R75="","",N(元データ_B!$F$73))</f>
        <v/>
      </c>
      <c r="U75" s="74" t="str">
        <f aca="false">IF($R75="","",IF(COUNTIF(店舗マスタ!$B$5:$B$304,$R75)&gt;0,"登録済","未登録→マスタに追加"))</f>
        <v/>
      </c>
    </row>
    <row r="76" customFormat="false" ht="15" hidden="false" customHeight="false" outlineLevel="0" collapsed="false">
      <c r="A76" s="74" t="n">
        <v>74</v>
      </c>
      <c r="B76" s="74" t="str">
        <f aca="false">IF(元データ_PB合計!$A$74="","",元データ_PB合計!$A$74)</f>
        <v/>
      </c>
      <c r="C76" s="74" t="str">
        <f aca="false">IF(LEFT(B76,1)="(",IFERROR(VALUE(MID(B76,2,FIND(")",B76)-2)),""),"")</f>
        <v/>
      </c>
      <c r="D76" s="75" t="str">
        <f aca="false">IF($C76="","",N(元データ_PB合計!$B$74))</f>
        <v/>
      </c>
      <c r="E76" s="75" t="str">
        <f aca="false">IF($C76="","",N(元データ_PB合計!$C$74))</f>
        <v/>
      </c>
      <c r="F76" s="75" t="str">
        <f aca="false">IF($C76="","",N(元データ_PB合計!$F$74))</f>
        <v/>
      </c>
      <c r="G76" s="74" t="str">
        <f aca="false">IF($C76="","",IF(COUNTIF(店舗マスタ!$B$5:$B$304,$C76)&gt;0,"登録済","未登録→マスタに追加"))</f>
        <v/>
      </c>
      <c r="I76" s="74" t="n">
        <v>74</v>
      </c>
      <c r="J76" s="74" t="str">
        <f aca="false">IF(元データ_P!$A$74="","",元データ_P!$A$74)</f>
        <v/>
      </c>
      <c r="K76" s="74" t="str">
        <f aca="false">IF(LEFT(J76,1)="(",IFERROR(VALUE(MID(J76,2,FIND(")",J76)-2)),""),"")</f>
        <v/>
      </c>
      <c r="L76" s="75" t="str">
        <f aca="false">IF($K76="","",N(元データ_P!$B$74))</f>
        <v/>
      </c>
      <c r="M76" s="75" t="str">
        <f aca="false">IF($K76="","",N(元データ_P!$F$74))</f>
        <v/>
      </c>
      <c r="N76" s="74" t="str">
        <f aca="false">IF($K76="","",IF(COUNTIF(店舗マスタ!$B$5:$B$304,$K76)&gt;0,"登録済","未登録→マスタに追加"))</f>
        <v/>
      </c>
      <c r="P76" s="74" t="n">
        <v>74</v>
      </c>
      <c r="Q76" s="74" t="str">
        <f aca="false">IF(元データ_B!$A$74="","",元データ_B!$A$74)</f>
        <v/>
      </c>
      <c r="R76" s="74" t="str">
        <f aca="false">IF(LEFT(Q76,1)="(",IFERROR(VALUE(MID(Q76,2,FIND(")",Q76)-2)),""),"")</f>
        <v/>
      </c>
      <c r="S76" s="75" t="str">
        <f aca="false">IF($R76="","",N(元データ_B!$B$74))</f>
        <v/>
      </c>
      <c r="T76" s="75" t="str">
        <f aca="false">IF($R76="","",N(元データ_B!$F$74))</f>
        <v/>
      </c>
      <c r="U76" s="74" t="str">
        <f aca="false">IF($R76="","",IF(COUNTIF(店舗マスタ!$B$5:$B$304,$R76)&gt;0,"登録済","未登録→マスタに追加"))</f>
        <v/>
      </c>
    </row>
    <row r="77" customFormat="false" ht="15" hidden="false" customHeight="false" outlineLevel="0" collapsed="false">
      <c r="A77" s="74" t="n">
        <v>75</v>
      </c>
      <c r="B77" s="74" t="str">
        <f aca="false">IF(元データ_PB合計!$A$75="","",元データ_PB合計!$A$75)</f>
        <v/>
      </c>
      <c r="C77" s="74" t="str">
        <f aca="false">IF(LEFT(B77,1)="(",IFERROR(VALUE(MID(B77,2,FIND(")",B77)-2)),""),"")</f>
        <v/>
      </c>
      <c r="D77" s="75" t="str">
        <f aca="false">IF($C77="","",N(元データ_PB合計!$B$75))</f>
        <v/>
      </c>
      <c r="E77" s="75" t="str">
        <f aca="false">IF($C77="","",N(元データ_PB合計!$C$75))</f>
        <v/>
      </c>
      <c r="F77" s="75" t="str">
        <f aca="false">IF($C77="","",N(元データ_PB合計!$F$75))</f>
        <v/>
      </c>
      <c r="G77" s="74" t="str">
        <f aca="false">IF($C77="","",IF(COUNTIF(店舗マスタ!$B$5:$B$304,$C77)&gt;0,"登録済","未登録→マスタに追加"))</f>
        <v/>
      </c>
      <c r="I77" s="74" t="n">
        <v>75</v>
      </c>
      <c r="J77" s="74" t="str">
        <f aca="false">IF(元データ_P!$A$75="","",元データ_P!$A$75)</f>
        <v/>
      </c>
      <c r="K77" s="74" t="str">
        <f aca="false">IF(LEFT(J77,1)="(",IFERROR(VALUE(MID(J77,2,FIND(")",J77)-2)),""),"")</f>
        <v/>
      </c>
      <c r="L77" s="75" t="str">
        <f aca="false">IF($K77="","",N(元データ_P!$B$75))</f>
        <v/>
      </c>
      <c r="M77" s="75" t="str">
        <f aca="false">IF($K77="","",N(元データ_P!$F$75))</f>
        <v/>
      </c>
      <c r="N77" s="74" t="str">
        <f aca="false">IF($K77="","",IF(COUNTIF(店舗マスタ!$B$5:$B$304,$K77)&gt;0,"登録済","未登録→マスタに追加"))</f>
        <v/>
      </c>
      <c r="P77" s="74" t="n">
        <v>75</v>
      </c>
      <c r="Q77" s="74" t="str">
        <f aca="false">IF(元データ_B!$A$75="","",元データ_B!$A$75)</f>
        <v/>
      </c>
      <c r="R77" s="74" t="str">
        <f aca="false">IF(LEFT(Q77,1)="(",IFERROR(VALUE(MID(Q77,2,FIND(")",Q77)-2)),""),"")</f>
        <v/>
      </c>
      <c r="S77" s="75" t="str">
        <f aca="false">IF($R77="","",N(元データ_B!$B$75))</f>
        <v/>
      </c>
      <c r="T77" s="75" t="str">
        <f aca="false">IF($R77="","",N(元データ_B!$F$75))</f>
        <v/>
      </c>
      <c r="U77" s="74" t="str">
        <f aca="false">IF($R77="","",IF(COUNTIF(店舗マスタ!$B$5:$B$304,$R77)&gt;0,"登録済","未登録→マスタに追加"))</f>
        <v/>
      </c>
    </row>
    <row r="78" customFormat="false" ht="15" hidden="false" customHeight="false" outlineLevel="0" collapsed="false">
      <c r="A78" s="74" t="n">
        <v>76</v>
      </c>
      <c r="B78" s="74" t="str">
        <f aca="false">IF(元データ_PB合計!$A$76="","",元データ_PB合計!$A$76)</f>
        <v/>
      </c>
      <c r="C78" s="74" t="str">
        <f aca="false">IF(LEFT(B78,1)="(",IFERROR(VALUE(MID(B78,2,FIND(")",B78)-2)),""),"")</f>
        <v/>
      </c>
      <c r="D78" s="75" t="str">
        <f aca="false">IF($C78="","",N(元データ_PB合計!$B$76))</f>
        <v/>
      </c>
      <c r="E78" s="75" t="str">
        <f aca="false">IF($C78="","",N(元データ_PB合計!$C$76))</f>
        <v/>
      </c>
      <c r="F78" s="75" t="str">
        <f aca="false">IF($C78="","",N(元データ_PB合計!$F$76))</f>
        <v/>
      </c>
      <c r="G78" s="74" t="str">
        <f aca="false">IF($C78="","",IF(COUNTIF(店舗マスタ!$B$5:$B$304,$C78)&gt;0,"登録済","未登録→マスタに追加"))</f>
        <v/>
      </c>
      <c r="I78" s="74" t="n">
        <v>76</v>
      </c>
      <c r="J78" s="74" t="str">
        <f aca="false">IF(元データ_P!$A$76="","",元データ_P!$A$76)</f>
        <v/>
      </c>
      <c r="K78" s="74" t="str">
        <f aca="false">IF(LEFT(J78,1)="(",IFERROR(VALUE(MID(J78,2,FIND(")",J78)-2)),""),"")</f>
        <v/>
      </c>
      <c r="L78" s="75" t="str">
        <f aca="false">IF($K78="","",N(元データ_P!$B$76))</f>
        <v/>
      </c>
      <c r="M78" s="75" t="str">
        <f aca="false">IF($K78="","",N(元データ_P!$F$76))</f>
        <v/>
      </c>
      <c r="N78" s="74" t="str">
        <f aca="false">IF($K78="","",IF(COUNTIF(店舗マスタ!$B$5:$B$304,$K78)&gt;0,"登録済","未登録→マスタに追加"))</f>
        <v/>
      </c>
      <c r="P78" s="74" t="n">
        <v>76</v>
      </c>
      <c r="Q78" s="74" t="str">
        <f aca="false">IF(元データ_B!$A$76="","",元データ_B!$A$76)</f>
        <v/>
      </c>
      <c r="R78" s="74" t="str">
        <f aca="false">IF(LEFT(Q78,1)="(",IFERROR(VALUE(MID(Q78,2,FIND(")",Q78)-2)),""),"")</f>
        <v/>
      </c>
      <c r="S78" s="75" t="str">
        <f aca="false">IF($R78="","",N(元データ_B!$B$76))</f>
        <v/>
      </c>
      <c r="T78" s="75" t="str">
        <f aca="false">IF($R78="","",N(元データ_B!$F$76))</f>
        <v/>
      </c>
      <c r="U78" s="74" t="str">
        <f aca="false">IF($R78="","",IF(COUNTIF(店舗マスタ!$B$5:$B$304,$R78)&gt;0,"登録済","未登録→マスタに追加"))</f>
        <v/>
      </c>
    </row>
    <row r="79" customFormat="false" ht="15" hidden="false" customHeight="false" outlineLevel="0" collapsed="false">
      <c r="A79" s="74" t="n">
        <v>77</v>
      </c>
      <c r="B79" s="74" t="str">
        <f aca="false">IF(元データ_PB合計!$A$77="","",元データ_PB合計!$A$77)</f>
        <v/>
      </c>
      <c r="C79" s="74" t="str">
        <f aca="false">IF(LEFT(B79,1)="(",IFERROR(VALUE(MID(B79,2,FIND(")",B79)-2)),""),"")</f>
        <v/>
      </c>
      <c r="D79" s="75" t="str">
        <f aca="false">IF($C79="","",N(元データ_PB合計!$B$77))</f>
        <v/>
      </c>
      <c r="E79" s="75" t="str">
        <f aca="false">IF($C79="","",N(元データ_PB合計!$C$77))</f>
        <v/>
      </c>
      <c r="F79" s="75" t="str">
        <f aca="false">IF($C79="","",N(元データ_PB合計!$F$77))</f>
        <v/>
      </c>
      <c r="G79" s="74" t="str">
        <f aca="false">IF($C79="","",IF(COUNTIF(店舗マスタ!$B$5:$B$304,$C79)&gt;0,"登録済","未登録→マスタに追加"))</f>
        <v/>
      </c>
      <c r="I79" s="74" t="n">
        <v>77</v>
      </c>
      <c r="J79" s="74" t="str">
        <f aca="false">IF(元データ_P!$A$77="","",元データ_P!$A$77)</f>
        <v/>
      </c>
      <c r="K79" s="74" t="str">
        <f aca="false">IF(LEFT(J79,1)="(",IFERROR(VALUE(MID(J79,2,FIND(")",J79)-2)),""),"")</f>
        <v/>
      </c>
      <c r="L79" s="75" t="str">
        <f aca="false">IF($K79="","",N(元データ_P!$B$77))</f>
        <v/>
      </c>
      <c r="M79" s="75" t="str">
        <f aca="false">IF($K79="","",N(元データ_P!$F$77))</f>
        <v/>
      </c>
      <c r="N79" s="74" t="str">
        <f aca="false">IF($K79="","",IF(COUNTIF(店舗マスタ!$B$5:$B$304,$K79)&gt;0,"登録済","未登録→マスタに追加"))</f>
        <v/>
      </c>
      <c r="P79" s="74" t="n">
        <v>77</v>
      </c>
      <c r="Q79" s="74" t="str">
        <f aca="false">IF(元データ_B!$A$77="","",元データ_B!$A$77)</f>
        <v/>
      </c>
      <c r="R79" s="74" t="str">
        <f aca="false">IF(LEFT(Q79,1)="(",IFERROR(VALUE(MID(Q79,2,FIND(")",Q79)-2)),""),"")</f>
        <v/>
      </c>
      <c r="S79" s="75" t="str">
        <f aca="false">IF($R79="","",N(元データ_B!$B$77))</f>
        <v/>
      </c>
      <c r="T79" s="75" t="str">
        <f aca="false">IF($R79="","",N(元データ_B!$F$77))</f>
        <v/>
      </c>
      <c r="U79" s="74" t="str">
        <f aca="false">IF($R79="","",IF(COUNTIF(店舗マスタ!$B$5:$B$304,$R79)&gt;0,"登録済","未登録→マスタに追加"))</f>
        <v/>
      </c>
    </row>
    <row r="80" customFormat="false" ht="15" hidden="false" customHeight="false" outlineLevel="0" collapsed="false">
      <c r="A80" s="74" t="n">
        <v>78</v>
      </c>
      <c r="B80" s="74" t="str">
        <f aca="false">IF(元データ_PB合計!$A$78="","",元データ_PB合計!$A$78)</f>
        <v/>
      </c>
      <c r="C80" s="74" t="str">
        <f aca="false">IF(LEFT(B80,1)="(",IFERROR(VALUE(MID(B80,2,FIND(")",B80)-2)),""),"")</f>
        <v/>
      </c>
      <c r="D80" s="75" t="str">
        <f aca="false">IF($C80="","",N(元データ_PB合計!$B$78))</f>
        <v/>
      </c>
      <c r="E80" s="75" t="str">
        <f aca="false">IF($C80="","",N(元データ_PB合計!$C$78))</f>
        <v/>
      </c>
      <c r="F80" s="75" t="str">
        <f aca="false">IF($C80="","",N(元データ_PB合計!$F$78))</f>
        <v/>
      </c>
      <c r="G80" s="74" t="str">
        <f aca="false">IF($C80="","",IF(COUNTIF(店舗マスタ!$B$5:$B$304,$C80)&gt;0,"登録済","未登録→マスタに追加"))</f>
        <v/>
      </c>
      <c r="I80" s="74" t="n">
        <v>78</v>
      </c>
      <c r="J80" s="74" t="str">
        <f aca="false">IF(元データ_P!$A$78="","",元データ_P!$A$78)</f>
        <v/>
      </c>
      <c r="K80" s="74" t="str">
        <f aca="false">IF(LEFT(J80,1)="(",IFERROR(VALUE(MID(J80,2,FIND(")",J80)-2)),""),"")</f>
        <v/>
      </c>
      <c r="L80" s="75" t="str">
        <f aca="false">IF($K80="","",N(元データ_P!$B$78))</f>
        <v/>
      </c>
      <c r="M80" s="75" t="str">
        <f aca="false">IF($K80="","",N(元データ_P!$F$78))</f>
        <v/>
      </c>
      <c r="N80" s="74" t="str">
        <f aca="false">IF($K80="","",IF(COUNTIF(店舗マスタ!$B$5:$B$304,$K80)&gt;0,"登録済","未登録→マスタに追加"))</f>
        <v/>
      </c>
      <c r="P80" s="74" t="n">
        <v>78</v>
      </c>
      <c r="Q80" s="74" t="str">
        <f aca="false">IF(元データ_B!$A$78="","",元データ_B!$A$78)</f>
        <v/>
      </c>
      <c r="R80" s="74" t="str">
        <f aca="false">IF(LEFT(Q80,1)="(",IFERROR(VALUE(MID(Q80,2,FIND(")",Q80)-2)),""),"")</f>
        <v/>
      </c>
      <c r="S80" s="75" t="str">
        <f aca="false">IF($R80="","",N(元データ_B!$B$78))</f>
        <v/>
      </c>
      <c r="T80" s="75" t="str">
        <f aca="false">IF($R80="","",N(元データ_B!$F$78))</f>
        <v/>
      </c>
      <c r="U80" s="74" t="str">
        <f aca="false">IF($R80="","",IF(COUNTIF(店舗マスタ!$B$5:$B$304,$R80)&gt;0,"登録済","未登録→マスタに追加"))</f>
        <v/>
      </c>
    </row>
    <row r="81" customFormat="false" ht="15" hidden="false" customHeight="false" outlineLevel="0" collapsed="false">
      <c r="A81" s="74" t="n">
        <v>79</v>
      </c>
      <c r="B81" s="74" t="str">
        <f aca="false">IF(元データ_PB合計!$A$79="","",元データ_PB合計!$A$79)</f>
        <v/>
      </c>
      <c r="C81" s="74" t="str">
        <f aca="false">IF(LEFT(B81,1)="(",IFERROR(VALUE(MID(B81,2,FIND(")",B81)-2)),""),"")</f>
        <v/>
      </c>
      <c r="D81" s="75" t="str">
        <f aca="false">IF($C81="","",N(元データ_PB合計!$B$79))</f>
        <v/>
      </c>
      <c r="E81" s="75" t="str">
        <f aca="false">IF($C81="","",N(元データ_PB合計!$C$79))</f>
        <v/>
      </c>
      <c r="F81" s="75" t="str">
        <f aca="false">IF($C81="","",N(元データ_PB合計!$F$79))</f>
        <v/>
      </c>
      <c r="G81" s="74" t="str">
        <f aca="false">IF($C81="","",IF(COUNTIF(店舗マスタ!$B$5:$B$304,$C81)&gt;0,"登録済","未登録→マスタに追加"))</f>
        <v/>
      </c>
      <c r="I81" s="74" t="n">
        <v>79</v>
      </c>
      <c r="J81" s="74" t="str">
        <f aca="false">IF(元データ_P!$A$79="","",元データ_P!$A$79)</f>
        <v/>
      </c>
      <c r="K81" s="74" t="str">
        <f aca="false">IF(LEFT(J81,1)="(",IFERROR(VALUE(MID(J81,2,FIND(")",J81)-2)),""),"")</f>
        <v/>
      </c>
      <c r="L81" s="75" t="str">
        <f aca="false">IF($K81="","",N(元データ_P!$B$79))</f>
        <v/>
      </c>
      <c r="M81" s="75" t="str">
        <f aca="false">IF($K81="","",N(元データ_P!$F$79))</f>
        <v/>
      </c>
      <c r="N81" s="74" t="str">
        <f aca="false">IF($K81="","",IF(COUNTIF(店舗マスタ!$B$5:$B$304,$K81)&gt;0,"登録済","未登録→マスタに追加"))</f>
        <v/>
      </c>
      <c r="P81" s="74" t="n">
        <v>79</v>
      </c>
      <c r="Q81" s="74" t="str">
        <f aca="false">IF(元データ_B!$A$79="","",元データ_B!$A$79)</f>
        <v/>
      </c>
      <c r="R81" s="74" t="str">
        <f aca="false">IF(LEFT(Q81,1)="(",IFERROR(VALUE(MID(Q81,2,FIND(")",Q81)-2)),""),"")</f>
        <v/>
      </c>
      <c r="S81" s="75" t="str">
        <f aca="false">IF($R81="","",N(元データ_B!$B$79))</f>
        <v/>
      </c>
      <c r="T81" s="75" t="str">
        <f aca="false">IF($R81="","",N(元データ_B!$F$79))</f>
        <v/>
      </c>
      <c r="U81" s="74" t="str">
        <f aca="false">IF($R81="","",IF(COUNTIF(店舗マスタ!$B$5:$B$304,$R81)&gt;0,"登録済","未登録→マスタに追加"))</f>
        <v/>
      </c>
    </row>
    <row r="82" customFormat="false" ht="15" hidden="false" customHeight="false" outlineLevel="0" collapsed="false">
      <c r="A82" s="74" t="n">
        <v>80</v>
      </c>
      <c r="B82" s="74" t="str">
        <f aca="false">IF(元データ_PB合計!$A$80="","",元データ_PB合計!$A$80)</f>
        <v/>
      </c>
      <c r="C82" s="74" t="str">
        <f aca="false">IF(LEFT(B82,1)="(",IFERROR(VALUE(MID(B82,2,FIND(")",B82)-2)),""),"")</f>
        <v/>
      </c>
      <c r="D82" s="75" t="str">
        <f aca="false">IF($C82="","",N(元データ_PB合計!$B$80))</f>
        <v/>
      </c>
      <c r="E82" s="75" t="str">
        <f aca="false">IF($C82="","",N(元データ_PB合計!$C$80))</f>
        <v/>
      </c>
      <c r="F82" s="75" t="str">
        <f aca="false">IF($C82="","",N(元データ_PB合計!$F$80))</f>
        <v/>
      </c>
      <c r="G82" s="74" t="str">
        <f aca="false">IF($C82="","",IF(COUNTIF(店舗マスタ!$B$5:$B$304,$C82)&gt;0,"登録済","未登録→マスタに追加"))</f>
        <v/>
      </c>
      <c r="I82" s="74" t="n">
        <v>80</v>
      </c>
      <c r="J82" s="74" t="str">
        <f aca="false">IF(元データ_P!$A$80="","",元データ_P!$A$80)</f>
        <v/>
      </c>
      <c r="K82" s="74" t="str">
        <f aca="false">IF(LEFT(J82,1)="(",IFERROR(VALUE(MID(J82,2,FIND(")",J82)-2)),""),"")</f>
        <v/>
      </c>
      <c r="L82" s="75" t="str">
        <f aca="false">IF($K82="","",N(元データ_P!$B$80))</f>
        <v/>
      </c>
      <c r="M82" s="75" t="str">
        <f aca="false">IF($K82="","",N(元データ_P!$F$80))</f>
        <v/>
      </c>
      <c r="N82" s="74" t="str">
        <f aca="false">IF($K82="","",IF(COUNTIF(店舗マスタ!$B$5:$B$304,$K82)&gt;0,"登録済","未登録→マスタに追加"))</f>
        <v/>
      </c>
      <c r="P82" s="74" t="n">
        <v>80</v>
      </c>
      <c r="Q82" s="74" t="str">
        <f aca="false">IF(元データ_B!$A$80="","",元データ_B!$A$80)</f>
        <v/>
      </c>
      <c r="R82" s="74" t="str">
        <f aca="false">IF(LEFT(Q82,1)="(",IFERROR(VALUE(MID(Q82,2,FIND(")",Q82)-2)),""),"")</f>
        <v/>
      </c>
      <c r="S82" s="75" t="str">
        <f aca="false">IF($R82="","",N(元データ_B!$B$80))</f>
        <v/>
      </c>
      <c r="T82" s="75" t="str">
        <f aca="false">IF($R82="","",N(元データ_B!$F$80))</f>
        <v/>
      </c>
      <c r="U82" s="74" t="str">
        <f aca="false">IF($R82="","",IF(COUNTIF(店舗マスタ!$B$5:$B$304,$R82)&gt;0,"登録済","未登録→マスタに追加"))</f>
        <v/>
      </c>
    </row>
    <row r="83" customFormat="false" ht="15" hidden="false" customHeight="false" outlineLevel="0" collapsed="false">
      <c r="A83" s="74" t="n">
        <v>81</v>
      </c>
      <c r="B83" s="74" t="str">
        <f aca="false">IF(元データ_PB合計!$A$81="","",元データ_PB合計!$A$81)</f>
        <v/>
      </c>
      <c r="C83" s="74" t="str">
        <f aca="false">IF(LEFT(B83,1)="(",IFERROR(VALUE(MID(B83,2,FIND(")",B83)-2)),""),"")</f>
        <v/>
      </c>
      <c r="D83" s="75" t="str">
        <f aca="false">IF($C83="","",N(元データ_PB合計!$B$81))</f>
        <v/>
      </c>
      <c r="E83" s="75" t="str">
        <f aca="false">IF($C83="","",N(元データ_PB合計!$C$81))</f>
        <v/>
      </c>
      <c r="F83" s="75" t="str">
        <f aca="false">IF($C83="","",N(元データ_PB合計!$F$81))</f>
        <v/>
      </c>
      <c r="G83" s="74" t="str">
        <f aca="false">IF($C83="","",IF(COUNTIF(店舗マスタ!$B$5:$B$304,$C83)&gt;0,"登録済","未登録→マスタに追加"))</f>
        <v/>
      </c>
      <c r="I83" s="74" t="n">
        <v>81</v>
      </c>
      <c r="J83" s="74" t="str">
        <f aca="false">IF(元データ_P!$A$81="","",元データ_P!$A$81)</f>
        <v/>
      </c>
      <c r="K83" s="74" t="str">
        <f aca="false">IF(LEFT(J83,1)="(",IFERROR(VALUE(MID(J83,2,FIND(")",J83)-2)),""),"")</f>
        <v/>
      </c>
      <c r="L83" s="75" t="str">
        <f aca="false">IF($K83="","",N(元データ_P!$B$81))</f>
        <v/>
      </c>
      <c r="M83" s="75" t="str">
        <f aca="false">IF($K83="","",N(元データ_P!$F$81))</f>
        <v/>
      </c>
      <c r="N83" s="74" t="str">
        <f aca="false">IF($K83="","",IF(COUNTIF(店舗マスタ!$B$5:$B$304,$K83)&gt;0,"登録済","未登録→マスタに追加"))</f>
        <v/>
      </c>
      <c r="P83" s="74" t="n">
        <v>81</v>
      </c>
      <c r="Q83" s="74" t="str">
        <f aca="false">IF(元データ_B!$A$81="","",元データ_B!$A$81)</f>
        <v/>
      </c>
      <c r="R83" s="74" t="str">
        <f aca="false">IF(LEFT(Q83,1)="(",IFERROR(VALUE(MID(Q83,2,FIND(")",Q83)-2)),""),"")</f>
        <v/>
      </c>
      <c r="S83" s="75" t="str">
        <f aca="false">IF($R83="","",N(元データ_B!$B$81))</f>
        <v/>
      </c>
      <c r="T83" s="75" t="str">
        <f aca="false">IF($R83="","",N(元データ_B!$F$81))</f>
        <v/>
      </c>
      <c r="U83" s="74" t="str">
        <f aca="false">IF($R83="","",IF(COUNTIF(店舗マスタ!$B$5:$B$304,$R83)&gt;0,"登録済","未登録→マスタに追加"))</f>
        <v/>
      </c>
    </row>
    <row r="84" customFormat="false" ht="15" hidden="false" customHeight="false" outlineLevel="0" collapsed="false">
      <c r="A84" s="74" t="n">
        <v>82</v>
      </c>
      <c r="B84" s="74" t="str">
        <f aca="false">IF(元データ_PB合計!$A$82="","",元データ_PB合計!$A$82)</f>
        <v/>
      </c>
      <c r="C84" s="74" t="str">
        <f aca="false">IF(LEFT(B84,1)="(",IFERROR(VALUE(MID(B84,2,FIND(")",B84)-2)),""),"")</f>
        <v/>
      </c>
      <c r="D84" s="75" t="str">
        <f aca="false">IF($C84="","",N(元データ_PB合計!$B$82))</f>
        <v/>
      </c>
      <c r="E84" s="75" t="str">
        <f aca="false">IF($C84="","",N(元データ_PB合計!$C$82))</f>
        <v/>
      </c>
      <c r="F84" s="75" t="str">
        <f aca="false">IF($C84="","",N(元データ_PB合計!$F$82))</f>
        <v/>
      </c>
      <c r="G84" s="74" t="str">
        <f aca="false">IF($C84="","",IF(COUNTIF(店舗マスタ!$B$5:$B$304,$C84)&gt;0,"登録済","未登録→マスタに追加"))</f>
        <v/>
      </c>
      <c r="I84" s="74" t="n">
        <v>82</v>
      </c>
      <c r="J84" s="74" t="str">
        <f aca="false">IF(元データ_P!$A$82="","",元データ_P!$A$82)</f>
        <v/>
      </c>
      <c r="K84" s="74" t="str">
        <f aca="false">IF(LEFT(J84,1)="(",IFERROR(VALUE(MID(J84,2,FIND(")",J84)-2)),""),"")</f>
        <v/>
      </c>
      <c r="L84" s="75" t="str">
        <f aca="false">IF($K84="","",N(元データ_P!$B$82))</f>
        <v/>
      </c>
      <c r="M84" s="75" t="str">
        <f aca="false">IF($K84="","",N(元データ_P!$F$82))</f>
        <v/>
      </c>
      <c r="N84" s="74" t="str">
        <f aca="false">IF($K84="","",IF(COUNTIF(店舗マスタ!$B$5:$B$304,$K84)&gt;0,"登録済","未登録→マスタに追加"))</f>
        <v/>
      </c>
      <c r="P84" s="74" t="n">
        <v>82</v>
      </c>
      <c r="Q84" s="74" t="str">
        <f aca="false">IF(元データ_B!$A$82="","",元データ_B!$A$82)</f>
        <v/>
      </c>
      <c r="R84" s="74" t="str">
        <f aca="false">IF(LEFT(Q84,1)="(",IFERROR(VALUE(MID(Q84,2,FIND(")",Q84)-2)),""),"")</f>
        <v/>
      </c>
      <c r="S84" s="75" t="str">
        <f aca="false">IF($R84="","",N(元データ_B!$B$82))</f>
        <v/>
      </c>
      <c r="T84" s="75" t="str">
        <f aca="false">IF($R84="","",N(元データ_B!$F$82))</f>
        <v/>
      </c>
      <c r="U84" s="74" t="str">
        <f aca="false">IF($R84="","",IF(COUNTIF(店舗マスタ!$B$5:$B$304,$R84)&gt;0,"登録済","未登録→マスタに追加"))</f>
        <v/>
      </c>
    </row>
    <row r="85" customFormat="false" ht="15" hidden="false" customHeight="false" outlineLevel="0" collapsed="false">
      <c r="A85" s="74" t="n">
        <v>83</v>
      </c>
      <c r="B85" s="74" t="str">
        <f aca="false">IF(元データ_PB合計!$A$83="","",元データ_PB合計!$A$83)</f>
        <v/>
      </c>
      <c r="C85" s="74" t="str">
        <f aca="false">IF(LEFT(B85,1)="(",IFERROR(VALUE(MID(B85,2,FIND(")",B85)-2)),""),"")</f>
        <v/>
      </c>
      <c r="D85" s="75" t="str">
        <f aca="false">IF($C85="","",N(元データ_PB合計!$B$83))</f>
        <v/>
      </c>
      <c r="E85" s="75" t="str">
        <f aca="false">IF($C85="","",N(元データ_PB合計!$C$83))</f>
        <v/>
      </c>
      <c r="F85" s="75" t="str">
        <f aca="false">IF($C85="","",N(元データ_PB合計!$F$83))</f>
        <v/>
      </c>
      <c r="G85" s="74" t="str">
        <f aca="false">IF($C85="","",IF(COUNTIF(店舗マスタ!$B$5:$B$304,$C85)&gt;0,"登録済","未登録→マスタに追加"))</f>
        <v/>
      </c>
      <c r="I85" s="74" t="n">
        <v>83</v>
      </c>
      <c r="J85" s="74" t="str">
        <f aca="false">IF(元データ_P!$A$83="","",元データ_P!$A$83)</f>
        <v/>
      </c>
      <c r="K85" s="74" t="str">
        <f aca="false">IF(LEFT(J85,1)="(",IFERROR(VALUE(MID(J85,2,FIND(")",J85)-2)),""),"")</f>
        <v/>
      </c>
      <c r="L85" s="75" t="str">
        <f aca="false">IF($K85="","",N(元データ_P!$B$83))</f>
        <v/>
      </c>
      <c r="M85" s="75" t="str">
        <f aca="false">IF($K85="","",N(元データ_P!$F$83))</f>
        <v/>
      </c>
      <c r="N85" s="74" t="str">
        <f aca="false">IF($K85="","",IF(COUNTIF(店舗マスタ!$B$5:$B$304,$K85)&gt;0,"登録済","未登録→マスタに追加"))</f>
        <v/>
      </c>
      <c r="P85" s="74" t="n">
        <v>83</v>
      </c>
      <c r="Q85" s="74" t="str">
        <f aca="false">IF(元データ_B!$A$83="","",元データ_B!$A$83)</f>
        <v/>
      </c>
      <c r="R85" s="74" t="str">
        <f aca="false">IF(LEFT(Q85,1)="(",IFERROR(VALUE(MID(Q85,2,FIND(")",Q85)-2)),""),"")</f>
        <v/>
      </c>
      <c r="S85" s="75" t="str">
        <f aca="false">IF($R85="","",N(元データ_B!$B$83))</f>
        <v/>
      </c>
      <c r="T85" s="75" t="str">
        <f aca="false">IF($R85="","",N(元データ_B!$F$83))</f>
        <v/>
      </c>
      <c r="U85" s="74" t="str">
        <f aca="false">IF($R85="","",IF(COUNTIF(店舗マスタ!$B$5:$B$304,$R85)&gt;0,"登録済","未登録→マスタに追加"))</f>
        <v/>
      </c>
    </row>
    <row r="86" customFormat="false" ht="15" hidden="false" customHeight="false" outlineLevel="0" collapsed="false">
      <c r="A86" s="74" t="n">
        <v>84</v>
      </c>
      <c r="B86" s="74" t="str">
        <f aca="false">IF(元データ_PB合計!$A$84="","",元データ_PB合計!$A$84)</f>
        <v/>
      </c>
      <c r="C86" s="74" t="str">
        <f aca="false">IF(LEFT(B86,1)="(",IFERROR(VALUE(MID(B86,2,FIND(")",B86)-2)),""),"")</f>
        <v/>
      </c>
      <c r="D86" s="75" t="str">
        <f aca="false">IF($C86="","",N(元データ_PB合計!$B$84))</f>
        <v/>
      </c>
      <c r="E86" s="75" t="str">
        <f aca="false">IF($C86="","",N(元データ_PB合計!$C$84))</f>
        <v/>
      </c>
      <c r="F86" s="75" t="str">
        <f aca="false">IF($C86="","",N(元データ_PB合計!$F$84))</f>
        <v/>
      </c>
      <c r="G86" s="74" t="str">
        <f aca="false">IF($C86="","",IF(COUNTIF(店舗マスタ!$B$5:$B$304,$C86)&gt;0,"登録済","未登録→マスタに追加"))</f>
        <v/>
      </c>
      <c r="I86" s="74" t="n">
        <v>84</v>
      </c>
      <c r="J86" s="74" t="str">
        <f aca="false">IF(元データ_P!$A$84="","",元データ_P!$A$84)</f>
        <v/>
      </c>
      <c r="K86" s="74" t="str">
        <f aca="false">IF(LEFT(J86,1)="(",IFERROR(VALUE(MID(J86,2,FIND(")",J86)-2)),""),"")</f>
        <v/>
      </c>
      <c r="L86" s="75" t="str">
        <f aca="false">IF($K86="","",N(元データ_P!$B$84))</f>
        <v/>
      </c>
      <c r="M86" s="75" t="str">
        <f aca="false">IF($K86="","",N(元データ_P!$F$84))</f>
        <v/>
      </c>
      <c r="N86" s="74" t="str">
        <f aca="false">IF($K86="","",IF(COUNTIF(店舗マスタ!$B$5:$B$304,$K86)&gt;0,"登録済","未登録→マスタに追加"))</f>
        <v/>
      </c>
      <c r="P86" s="74" t="n">
        <v>84</v>
      </c>
      <c r="Q86" s="74" t="str">
        <f aca="false">IF(元データ_B!$A$84="","",元データ_B!$A$84)</f>
        <v/>
      </c>
      <c r="R86" s="74" t="str">
        <f aca="false">IF(LEFT(Q86,1)="(",IFERROR(VALUE(MID(Q86,2,FIND(")",Q86)-2)),""),"")</f>
        <v/>
      </c>
      <c r="S86" s="75" t="str">
        <f aca="false">IF($R86="","",N(元データ_B!$B$84))</f>
        <v/>
      </c>
      <c r="T86" s="75" t="str">
        <f aca="false">IF($R86="","",N(元データ_B!$F$84))</f>
        <v/>
      </c>
      <c r="U86" s="74" t="str">
        <f aca="false">IF($R86="","",IF(COUNTIF(店舗マスタ!$B$5:$B$304,$R86)&gt;0,"登録済","未登録→マスタに追加"))</f>
        <v/>
      </c>
    </row>
    <row r="87" customFormat="false" ht="15" hidden="false" customHeight="false" outlineLevel="0" collapsed="false">
      <c r="A87" s="74" t="n">
        <v>85</v>
      </c>
      <c r="B87" s="74" t="str">
        <f aca="false">IF(元データ_PB合計!$A$85="","",元データ_PB合計!$A$85)</f>
        <v/>
      </c>
      <c r="C87" s="74" t="str">
        <f aca="false">IF(LEFT(B87,1)="(",IFERROR(VALUE(MID(B87,2,FIND(")",B87)-2)),""),"")</f>
        <v/>
      </c>
      <c r="D87" s="75" t="str">
        <f aca="false">IF($C87="","",N(元データ_PB合計!$B$85))</f>
        <v/>
      </c>
      <c r="E87" s="75" t="str">
        <f aca="false">IF($C87="","",N(元データ_PB合計!$C$85))</f>
        <v/>
      </c>
      <c r="F87" s="75" t="str">
        <f aca="false">IF($C87="","",N(元データ_PB合計!$F$85))</f>
        <v/>
      </c>
      <c r="G87" s="74" t="str">
        <f aca="false">IF($C87="","",IF(COUNTIF(店舗マスタ!$B$5:$B$304,$C87)&gt;0,"登録済","未登録→マスタに追加"))</f>
        <v/>
      </c>
      <c r="I87" s="74" t="n">
        <v>85</v>
      </c>
      <c r="J87" s="74" t="str">
        <f aca="false">IF(元データ_P!$A$85="","",元データ_P!$A$85)</f>
        <v/>
      </c>
      <c r="K87" s="74" t="str">
        <f aca="false">IF(LEFT(J87,1)="(",IFERROR(VALUE(MID(J87,2,FIND(")",J87)-2)),""),"")</f>
        <v/>
      </c>
      <c r="L87" s="75" t="str">
        <f aca="false">IF($K87="","",N(元データ_P!$B$85))</f>
        <v/>
      </c>
      <c r="M87" s="75" t="str">
        <f aca="false">IF($K87="","",N(元データ_P!$F$85))</f>
        <v/>
      </c>
      <c r="N87" s="74" t="str">
        <f aca="false">IF($K87="","",IF(COUNTIF(店舗マスタ!$B$5:$B$304,$K87)&gt;0,"登録済","未登録→マスタに追加"))</f>
        <v/>
      </c>
      <c r="P87" s="74" t="n">
        <v>85</v>
      </c>
      <c r="Q87" s="74" t="str">
        <f aca="false">IF(元データ_B!$A$85="","",元データ_B!$A$85)</f>
        <v/>
      </c>
      <c r="R87" s="74" t="str">
        <f aca="false">IF(LEFT(Q87,1)="(",IFERROR(VALUE(MID(Q87,2,FIND(")",Q87)-2)),""),"")</f>
        <v/>
      </c>
      <c r="S87" s="75" t="str">
        <f aca="false">IF($R87="","",N(元データ_B!$B$85))</f>
        <v/>
      </c>
      <c r="T87" s="75" t="str">
        <f aca="false">IF($R87="","",N(元データ_B!$F$85))</f>
        <v/>
      </c>
      <c r="U87" s="74" t="str">
        <f aca="false">IF($R87="","",IF(COUNTIF(店舗マスタ!$B$5:$B$304,$R87)&gt;0,"登録済","未登録→マスタに追加"))</f>
        <v/>
      </c>
    </row>
    <row r="88" customFormat="false" ht="15" hidden="false" customHeight="false" outlineLevel="0" collapsed="false">
      <c r="A88" s="74" t="n">
        <v>86</v>
      </c>
      <c r="B88" s="74" t="str">
        <f aca="false">IF(元データ_PB合計!$A$86="","",元データ_PB合計!$A$86)</f>
        <v/>
      </c>
      <c r="C88" s="74" t="str">
        <f aca="false">IF(LEFT(B88,1)="(",IFERROR(VALUE(MID(B88,2,FIND(")",B88)-2)),""),"")</f>
        <v/>
      </c>
      <c r="D88" s="75" t="str">
        <f aca="false">IF($C88="","",N(元データ_PB合計!$B$86))</f>
        <v/>
      </c>
      <c r="E88" s="75" t="str">
        <f aca="false">IF($C88="","",N(元データ_PB合計!$C$86))</f>
        <v/>
      </c>
      <c r="F88" s="75" t="str">
        <f aca="false">IF($C88="","",N(元データ_PB合計!$F$86))</f>
        <v/>
      </c>
      <c r="G88" s="74" t="str">
        <f aca="false">IF($C88="","",IF(COUNTIF(店舗マスタ!$B$5:$B$304,$C88)&gt;0,"登録済","未登録→マスタに追加"))</f>
        <v/>
      </c>
      <c r="I88" s="74" t="n">
        <v>86</v>
      </c>
      <c r="J88" s="74" t="str">
        <f aca="false">IF(元データ_P!$A$86="","",元データ_P!$A$86)</f>
        <v/>
      </c>
      <c r="K88" s="74" t="str">
        <f aca="false">IF(LEFT(J88,1)="(",IFERROR(VALUE(MID(J88,2,FIND(")",J88)-2)),""),"")</f>
        <v/>
      </c>
      <c r="L88" s="75" t="str">
        <f aca="false">IF($K88="","",N(元データ_P!$B$86))</f>
        <v/>
      </c>
      <c r="M88" s="75" t="str">
        <f aca="false">IF($K88="","",N(元データ_P!$F$86))</f>
        <v/>
      </c>
      <c r="N88" s="74" t="str">
        <f aca="false">IF($K88="","",IF(COUNTIF(店舗マスタ!$B$5:$B$304,$K88)&gt;0,"登録済","未登録→マスタに追加"))</f>
        <v/>
      </c>
      <c r="P88" s="74" t="n">
        <v>86</v>
      </c>
      <c r="Q88" s="74" t="str">
        <f aca="false">IF(元データ_B!$A$86="","",元データ_B!$A$86)</f>
        <v/>
      </c>
      <c r="R88" s="74" t="str">
        <f aca="false">IF(LEFT(Q88,1)="(",IFERROR(VALUE(MID(Q88,2,FIND(")",Q88)-2)),""),"")</f>
        <v/>
      </c>
      <c r="S88" s="75" t="str">
        <f aca="false">IF($R88="","",N(元データ_B!$B$86))</f>
        <v/>
      </c>
      <c r="T88" s="75" t="str">
        <f aca="false">IF($R88="","",N(元データ_B!$F$86))</f>
        <v/>
      </c>
      <c r="U88" s="74" t="str">
        <f aca="false">IF($R88="","",IF(COUNTIF(店舗マスタ!$B$5:$B$304,$R88)&gt;0,"登録済","未登録→マスタに追加"))</f>
        <v/>
      </c>
    </row>
    <row r="89" customFormat="false" ht="15" hidden="false" customHeight="false" outlineLevel="0" collapsed="false">
      <c r="A89" s="74" t="n">
        <v>87</v>
      </c>
      <c r="B89" s="74" t="str">
        <f aca="false">IF(元データ_PB合計!$A$87="","",元データ_PB合計!$A$87)</f>
        <v/>
      </c>
      <c r="C89" s="74" t="str">
        <f aca="false">IF(LEFT(B89,1)="(",IFERROR(VALUE(MID(B89,2,FIND(")",B89)-2)),""),"")</f>
        <v/>
      </c>
      <c r="D89" s="75" t="str">
        <f aca="false">IF($C89="","",N(元データ_PB合計!$B$87))</f>
        <v/>
      </c>
      <c r="E89" s="75" t="str">
        <f aca="false">IF($C89="","",N(元データ_PB合計!$C$87))</f>
        <v/>
      </c>
      <c r="F89" s="75" t="str">
        <f aca="false">IF($C89="","",N(元データ_PB合計!$F$87))</f>
        <v/>
      </c>
      <c r="G89" s="74" t="str">
        <f aca="false">IF($C89="","",IF(COUNTIF(店舗マスタ!$B$5:$B$304,$C89)&gt;0,"登録済","未登録→マスタに追加"))</f>
        <v/>
      </c>
      <c r="I89" s="74" t="n">
        <v>87</v>
      </c>
      <c r="J89" s="74" t="str">
        <f aca="false">IF(元データ_P!$A$87="","",元データ_P!$A$87)</f>
        <v/>
      </c>
      <c r="K89" s="74" t="str">
        <f aca="false">IF(LEFT(J89,1)="(",IFERROR(VALUE(MID(J89,2,FIND(")",J89)-2)),""),"")</f>
        <v/>
      </c>
      <c r="L89" s="75" t="str">
        <f aca="false">IF($K89="","",N(元データ_P!$B$87))</f>
        <v/>
      </c>
      <c r="M89" s="75" t="str">
        <f aca="false">IF($K89="","",N(元データ_P!$F$87))</f>
        <v/>
      </c>
      <c r="N89" s="74" t="str">
        <f aca="false">IF($K89="","",IF(COUNTIF(店舗マスタ!$B$5:$B$304,$K89)&gt;0,"登録済","未登録→マスタに追加"))</f>
        <v/>
      </c>
      <c r="P89" s="74" t="n">
        <v>87</v>
      </c>
      <c r="Q89" s="74" t="str">
        <f aca="false">IF(元データ_B!$A$87="","",元データ_B!$A$87)</f>
        <v/>
      </c>
      <c r="R89" s="74" t="str">
        <f aca="false">IF(LEFT(Q89,1)="(",IFERROR(VALUE(MID(Q89,2,FIND(")",Q89)-2)),""),"")</f>
        <v/>
      </c>
      <c r="S89" s="75" t="str">
        <f aca="false">IF($R89="","",N(元データ_B!$B$87))</f>
        <v/>
      </c>
      <c r="T89" s="75" t="str">
        <f aca="false">IF($R89="","",N(元データ_B!$F$87))</f>
        <v/>
      </c>
      <c r="U89" s="74" t="str">
        <f aca="false">IF($R89="","",IF(COUNTIF(店舗マスタ!$B$5:$B$304,$R89)&gt;0,"登録済","未登録→マスタに追加"))</f>
        <v/>
      </c>
    </row>
    <row r="90" customFormat="false" ht="15" hidden="false" customHeight="false" outlineLevel="0" collapsed="false">
      <c r="A90" s="74" t="n">
        <v>88</v>
      </c>
      <c r="B90" s="74" t="str">
        <f aca="false">IF(元データ_PB合計!$A$88="","",元データ_PB合計!$A$88)</f>
        <v/>
      </c>
      <c r="C90" s="74" t="str">
        <f aca="false">IF(LEFT(B90,1)="(",IFERROR(VALUE(MID(B90,2,FIND(")",B90)-2)),""),"")</f>
        <v/>
      </c>
      <c r="D90" s="75" t="str">
        <f aca="false">IF($C90="","",N(元データ_PB合計!$B$88))</f>
        <v/>
      </c>
      <c r="E90" s="75" t="str">
        <f aca="false">IF($C90="","",N(元データ_PB合計!$C$88))</f>
        <v/>
      </c>
      <c r="F90" s="75" t="str">
        <f aca="false">IF($C90="","",N(元データ_PB合計!$F$88))</f>
        <v/>
      </c>
      <c r="G90" s="74" t="str">
        <f aca="false">IF($C90="","",IF(COUNTIF(店舗マスタ!$B$5:$B$304,$C90)&gt;0,"登録済","未登録→マスタに追加"))</f>
        <v/>
      </c>
      <c r="I90" s="74" t="n">
        <v>88</v>
      </c>
      <c r="J90" s="74" t="str">
        <f aca="false">IF(元データ_P!$A$88="","",元データ_P!$A$88)</f>
        <v/>
      </c>
      <c r="K90" s="74" t="str">
        <f aca="false">IF(LEFT(J90,1)="(",IFERROR(VALUE(MID(J90,2,FIND(")",J90)-2)),""),"")</f>
        <v/>
      </c>
      <c r="L90" s="75" t="str">
        <f aca="false">IF($K90="","",N(元データ_P!$B$88))</f>
        <v/>
      </c>
      <c r="M90" s="75" t="str">
        <f aca="false">IF($K90="","",N(元データ_P!$F$88))</f>
        <v/>
      </c>
      <c r="N90" s="74" t="str">
        <f aca="false">IF($K90="","",IF(COUNTIF(店舗マスタ!$B$5:$B$304,$K90)&gt;0,"登録済","未登録→マスタに追加"))</f>
        <v/>
      </c>
      <c r="P90" s="74" t="n">
        <v>88</v>
      </c>
      <c r="Q90" s="74" t="str">
        <f aca="false">IF(元データ_B!$A$88="","",元データ_B!$A$88)</f>
        <v/>
      </c>
      <c r="R90" s="74" t="str">
        <f aca="false">IF(LEFT(Q90,1)="(",IFERROR(VALUE(MID(Q90,2,FIND(")",Q90)-2)),""),"")</f>
        <v/>
      </c>
      <c r="S90" s="75" t="str">
        <f aca="false">IF($R90="","",N(元データ_B!$B$88))</f>
        <v/>
      </c>
      <c r="T90" s="75" t="str">
        <f aca="false">IF($R90="","",N(元データ_B!$F$88))</f>
        <v/>
      </c>
      <c r="U90" s="74" t="str">
        <f aca="false">IF($R90="","",IF(COUNTIF(店舗マスタ!$B$5:$B$304,$R90)&gt;0,"登録済","未登録→マスタに追加"))</f>
        <v/>
      </c>
    </row>
    <row r="91" customFormat="false" ht="15" hidden="false" customHeight="false" outlineLevel="0" collapsed="false">
      <c r="A91" s="74" t="n">
        <v>89</v>
      </c>
      <c r="B91" s="74" t="str">
        <f aca="false">IF(元データ_PB合計!$A$89="","",元データ_PB合計!$A$89)</f>
        <v/>
      </c>
      <c r="C91" s="74" t="str">
        <f aca="false">IF(LEFT(B91,1)="(",IFERROR(VALUE(MID(B91,2,FIND(")",B91)-2)),""),"")</f>
        <v/>
      </c>
      <c r="D91" s="75" t="str">
        <f aca="false">IF($C91="","",N(元データ_PB合計!$B$89))</f>
        <v/>
      </c>
      <c r="E91" s="75" t="str">
        <f aca="false">IF($C91="","",N(元データ_PB合計!$C$89))</f>
        <v/>
      </c>
      <c r="F91" s="75" t="str">
        <f aca="false">IF($C91="","",N(元データ_PB合計!$F$89))</f>
        <v/>
      </c>
      <c r="G91" s="74" t="str">
        <f aca="false">IF($C91="","",IF(COUNTIF(店舗マスタ!$B$5:$B$304,$C91)&gt;0,"登録済","未登録→マスタに追加"))</f>
        <v/>
      </c>
      <c r="I91" s="74" t="n">
        <v>89</v>
      </c>
      <c r="J91" s="74" t="str">
        <f aca="false">IF(元データ_P!$A$89="","",元データ_P!$A$89)</f>
        <v/>
      </c>
      <c r="K91" s="74" t="str">
        <f aca="false">IF(LEFT(J91,1)="(",IFERROR(VALUE(MID(J91,2,FIND(")",J91)-2)),""),"")</f>
        <v/>
      </c>
      <c r="L91" s="75" t="str">
        <f aca="false">IF($K91="","",N(元データ_P!$B$89))</f>
        <v/>
      </c>
      <c r="M91" s="75" t="str">
        <f aca="false">IF($K91="","",N(元データ_P!$F$89))</f>
        <v/>
      </c>
      <c r="N91" s="74" t="str">
        <f aca="false">IF($K91="","",IF(COUNTIF(店舗マスタ!$B$5:$B$304,$K91)&gt;0,"登録済","未登録→マスタに追加"))</f>
        <v/>
      </c>
      <c r="P91" s="74" t="n">
        <v>89</v>
      </c>
      <c r="Q91" s="74" t="str">
        <f aca="false">IF(元データ_B!$A$89="","",元データ_B!$A$89)</f>
        <v/>
      </c>
      <c r="R91" s="74" t="str">
        <f aca="false">IF(LEFT(Q91,1)="(",IFERROR(VALUE(MID(Q91,2,FIND(")",Q91)-2)),""),"")</f>
        <v/>
      </c>
      <c r="S91" s="75" t="str">
        <f aca="false">IF($R91="","",N(元データ_B!$B$89))</f>
        <v/>
      </c>
      <c r="T91" s="75" t="str">
        <f aca="false">IF($R91="","",N(元データ_B!$F$89))</f>
        <v/>
      </c>
      <c r="U91" s="74" t="str">
        <f aca="false">IF($R91="","",IF(COUNTIF(店舗マスタ!$B$5:$B$304,$R91)&gt;0,"登録済","未登録→マスタに追加"))</f>
        <v/>
      </c>
    </row>
    <row r="92" customFormat="false" ht="15" hidden="false" customHeight="false" outlineLevel="0" collapsed="false">
      <c r="A92" s="74" t="n">
        <v>90</v>
      </c>
      <c r="B92" s="74" t="str">
        <f aca="false">IF(元データ_PB合計!$A$90="","",元データ_PB合計!$A$90)</f>
        <v/>
      </c>
      <c r="C92" s="74" t="str">
        <f aca="false">IF(LEFT(B92,1)="(",IFERROR(VALUE(MID(B92,2,FIND(")",B92)-2)),""),"")</f>
        <v/>
      </c>
      <c r="D92" s="75" t="str">
        <f aca="false">IF($C92="","",N(元データ_PB合計!$B$90))</f>
        <v/>
      </c>
      <c r="E92" s="75" t="str">
        <f aca="false">IF($C92="","",N(元データ_PB合計!$C$90))</f>
        <v/>
      </c>
      <c r="F92" s="75" t="str">
        <f aca="false">IF($C92="","",N(元データ_PB合計!$F$90))</f>
        <v/>
      </c>
      <c r="G92" s="74" t="str">
        <f aca="false">IF($C92="","",IF(COUNTIF(店舗マスタ!$B$5:$B$304,$C92)&gt;0,"登録済","未登録→マスタに追加"))</f>
        <v/>
      </c>
      <c r="I92" s="74" t="n">
        <v>90</v>
      </c>
      <c r="J92" s="74" t="str">
        <f aca="false">IF(元データ_P!$A$90="","",元データ_P!$A$90)</f>
        <v/>
      </c>
      <c r="K92" s="74" t="str">
        <f aca="false">IF(LEFT(J92,1)="(",IFERROR(VALUE(MID(J92,2,FIND(")",J92)-2)),""),"")</f>
        <v/>
      </c>
      <c r="L92" s="75" t="str">
        <f aca="false">IF($K92="","",N(元データ_P!$B$90))</f>
        <v/>
      </c>
      <c r="M92" s="75" t="str">
        <f aca="false">IF($K92="","",N(元データ_P!$F$90))</f>
        <v/>
      </c>
      <c r="N92" s="74" t="str">
        <f aca="false">IF($K92="","",IF(COUNTIF(店舗マスタ!$B$5:$B$304,$K92)&gt;0,"登録済","未登録→マスタに追加"))</f>
        <v/>
      </c>
      <c r="P92" s="74" t="n">
        <v>90</v>
      </c>
      <c r="Q92" s="74" t="str">
        <f aca="false">IF(元データ_B!$A$90="","",元データ_B!$A$90)</f>
        <v/>
      </c>
      <c r="R92" s="74" t="str">
        <f aca="false">IF(LEFT(Q92,1)="(",IFERROR(VALUE(MID(Q92,2,FIND(")",Q92)-2)),""),"")</f>
        <v/>
      </c>
      <c r="S92" s="75" t="str">
        <f aca="false">IF($R92="","",N(元データ_B!$B$90))</f>
        <v/>
      </c>
      <c r="T92" s="75" t="str">
        <f aca="false">IF($R92="","",N(元データ_B!$F$90))</f>
        <v/>
      </c>
      <c r="U92" s="74" t="str">
        <f aca="false">IF($R92="","",IF(COUNTIF(店舗マスタ!$B$5:$B$304,$R92)&gt;0,"登録済","未登録→マスタに追加"))</f>
        <v/>
      </c>
    </row>
    <row r="93" customFormat="false" ht="15" hidden="false" customHeight="false" outlineLevel="0" collapsed="false">
      <c r="A93" s="74" t="n">
        <v>91</v>
      </c>
      <c r="B93" s="74" t="str">
        <f aca="false">IF(元データ_PB合計!$A$91="","",元データ_PB合計!$A$91)</f>
        <v/>
      </c>
      <c r="C93" s="74" t="str">
        <f aca="false">IF(LEFT(B93,1)="(",IFERROR(VALUE(MID(B93,2,FIND(")",B93)-2)),""),"")</f>
        <v/>
      </c>
      <c r="D93" s="75" t="str">
        <f aca="false">IF($C93="","",N(元データ_PB合計!$B$91))</f>
        <v/>
      </c>
      <c r="E93" s="75" t="str">
        <f aca="false">IF($C93="","",N(元データ_PB合計!$C$91))</f>
        <v/>
      </c>
      <c r="F93" s="75" t="str">
        <f aca="false">IF($C93="","",N(元データ_PB合計!$F$91))</f>
        <v/>
      </c>
      <c r="G93" s="74" t="str">
        <f aca="false">IF($C93="","",IF(COUNTIF(店舗マスタ!$B$5:$B$304,$C93)&gt;0,"登録済","未登録→マスタに追加"))</f>
        <v/>
      </c>
      <c r="I93" s="74" t="n">
        <v>91</v>
      </c>
      <c r="J93" s="74" t="str">
        <f aca="false">IF(元データ_P!$A$91="","",元データ_P!$A$91)</f>
        <v/>
      </c>
      <c r="K93" s="74" t="str">
        <f aca="false">IF(LEFT(J93,1)="(",IFERROR(VALUE(MID(J93,2,FIND(")",J93)-2)),""),"")</f>
        <v/>
      </c>
      <c r="L93" s="75" t="str">
        <f aca="false">IF($K93="","",N(元データ_P!$B$91))</f>
        <v/>
      </c>
      <c r="M93" s="75" t="str">
        <f aca="false">IF($K93="","",N(元データ_P!$F$91))</f>
        <v/>
      </c>
      <c r="N93" s="74" t="str">
        <f aca="false">IF($K93="","",IF(COUNTIF(店舗マスタ!$B$5:$B$304,$K93)&gt;0,"登録済","未登録→マスタに追加"))</f>
        <v/>
      </c>
      <c r="P93" s="74" t="n">
        <v>91</v>
      </c>
      <c r="Q93" s="74" t="str">
        <f aca="false">IF(元データ_B!$A$91="","",元データ_B!$A$91)</f>
        <v/>
      </c>
      <c r="R93" s="74" t="str">
        <f aca="false">IF(LEFT(Q93,1)="(",IFERROR(VALUE(MID(Q93,2,FIND(")",Q93)-2)),""),"")</f>
        <v/>
      </c>
      <c r="S93" s="75" t="str">
        <f aca="false">IF($R93="","",N(元データ_B!$B$91))</f>
        <v/>
      </c>
      <c r="T93" s="75" t="str">
        <f aca="false">IF($R93="","",N(元データ_B!$F$91))</f>
        <v/>
      </c>
      <c r="U93" s="74" t="str">
        <f aca="false">IF($R93="","",IF(COUNTIF(店舗マスタ!$B$5:$B$304,$R93)&gt;0,"登録済","未登録→マスタに追加"))</f>
        <v/>
      </c>
    </row>
    <row r="94" customFormat="false" ht="15" hidden="false" customHeight="false" outlineLevel="0" collapsed="false">
      <c r="A94" s="74" t="n">
        <v>92</v>
      </c>
      <c r="B94" s="74" t="str">
        <f aca="false">IF(元データ_PB合計!$A$92="","",元データ_PB合計!$A$92)</f>
        <v/>
      </c>
      <c r="C94" s="74" t="str">
        <f aca="false">IF(LEFT(B94,1)="(",IFERROR(VALUE(MID(B94,2,FIND(")",B94)-2)),""),"")</f>
        <v/>
      </c>
      <c r="D94" s="75" t="str">
        <f aca="false">IF($C94="","",N(元データ_PB合計!$B$92))</f>
        <v/>
      </c>
      <c r="E94" s="75" t="str">
        <f aca="false">IF($C94="","",N(元データ_PB合計!$C$92))</f>
        <v/>
      </c>
      <c r="F94" s="75" t="str">
        <f aca="false">IF($C94="","",N(元データ_PB合計!$F$92))</f>
        <v/>
      </c>
      <c r="G94" s="74" t="str">
        <f aca="false">IF($C94="","",IF(COUNTIF(店舗マスタ!$B$5:$B$304,$C94)&gt;0,"登録済","未登録→マスタに追加"))</f>
        <v/>
      </c>
      <c r="I94" s="74" t="n">
        <v>92</v>
      </c>
      <c r="J94" s="74" t="str">
        <f aca="false">IF(元データ_P!$A$92="","",元データ_P!$A$92)</f>
        <v/>
      </c>
      <c r="K94" s="74" t="str">
        <f aca="false">IF(LEFT(J94,1)="(",IFERROR(VALUE(MID(J94,2,FIND(")",J94)-2)),""),"")</f>
        <v/>
      </c>
      <c r="L94" s="75" t="str">
        <f aca="false">IF($K94="","",N(元データ_P!$B$92))</f>
        <v/>
      </c>
      <c r="M94" s="75" t="str">
        <f aca="false">IF($K94="","",N(元データ_P!$F$92))</f>
        <v/>
      </c>
      <c r="N94" s="74" t="str">
        <f aca="false">IF($K94="","",IF(COUNTIF(店舗マスタ!$B$5:$B$304,$K94)&gt;0,"登録済","未登録→マスタに追加"))</f>
        <v/>
      </c>
      <c r="P94" s="74" t="n">
        <v>92</v>
      </c>
      <c r="Q94" s="74" t="str">
        <f aca="false">IF(元データ_B!$A$92="","",元データ_B!$A$92)</f>
        <v/>
      </c>
      <c r="R94" s="74" t="str">
        <f aca="false">IF(LEFT(Q94,1)="(",IFERROR(VALUE(MID(Q94,2,FIND(")",Q94)-2)),""),"")</f>
        <v/>
      </c>
      <c r="S94" s="75" t="str">
        <f aca="false">IF($R94="","",N(元データ_B!$B$92))</f>
        <v/>
      </c>
      <c r="T94" s="75" t="str">
        <f aca="false">IF($R94="","",N(元データ_B!$F$92))</f>
        <v/>
      </c>
      <c r="U94" s="74" t="str">
        <f aca="false">IF($R94="","",IF(COUNTIF(店舗マスタ!$B$5:$B$304,$R94)&gt;0,"登録済","未登録→マスタに追加"))</f>
        <v/>
      </c>
    </row>
    <row r="95" customFormat="false" ht="15" hidden="false" customHeight="false" outlineLevel="0" collapsed="false">
      <c r="A95" s="74" t="n">
        <v>93</v>
      </c>
      <c r="B95" s="74" t="str">
        <f aca="false">IF(元データ_PB合計!$A$93="","",元データ_PB合計!$A$93)</f>
        <v/>
      </c>
      <c r="C95" s="74" t="str">
        <f aca="false">IF(LEFT(B95,1)="(",IFERROR(VALUE(MID(B95,2,FIND(")",B95)-2)),""),"")</f>
        <v/>
      </c>
      <c r="D95" s="75" t="str">
        <f aca="false">IF($C95="","",N(元データ_PB合計!$B$93))</f>
        <v/>
      </c>
      <c r="E95" s="75" t="str">
        <f aca="false">IF($C95="","",N(元データ_PB合計!$C$93))</f>
        <v/>
      </c>
      <c r="F95" s="75" t="str">
        <f aca="false">IF($C95="","",N(元データ_PB合計!$F$93))</f>
        <v/>
      </c>
      <c r="G95" s="74" t="str">
        <f aca="false">IF($C95="","",IF(COUNTIF(店舗マスタ!$B$5:$B$304,$C95)&gt;0,"登録済","未登録→マスタに追加"))</f>
        <v/>
      </c>
      <c r="I95" s="74" t="n">
        <v>93</v>
      </c>
      <c r="J95" s="74" t="str">
        <f aca="false">IF(元データ_P!$A$93="","",元データ_P!$A$93)</f>
        <v/>
      </c>
      <c r="K95" s="74" t="str">
        <f aca="false">IF(LEFT(J95,1)="(",IFERROR(VALUE(MID(J95,2,FIND(")",J95)-2)),""),"")</f>
        <v/>
      </c>
      <c r="L95" s="75" t="str">
        <f aca="false">IF($K95="","",N(元データ_P!$B$93))</f>
        <v/>
      </c>
      <c r="M95" s="75" t="str">
        <f aca="false">IF($K95="","",N(元データ_P!$F$93))</f>
        <v/>
      </c>
      <c r="N95" s="74" t="str">
        <f aca="false">IF($K95="","",IF(COUNTIF(店舗マスタ!$B$5:$B$304,$K95)&gt;0,"登録済","未登録→マスタに追加"))</f>
        <v/>
      </c>
      <c r="P95" s="74" t="n">
        <v>93</v>
      </c>
      <c r="Q95" s="74" t="str">
        <f aca="false">IF(元データ_B!$A$93="","",元データ_B!$A$93)</f>
        <v/>
      </c>
      <c r="R95" s="74" t="str">
        <f aca="false">IF(LEFT(Q95,1)="(",IFERROR(VALUE(MID(Q95,2,FIND(")",Q95)-2)),""),"")</f>
        <v/>
      </c>
      <c r="S95" s="75" t="str">
        <f aca="false">IF($R95="","",N(元データ_B!$B$93))</f>
        <v/>
      </c>
      <c r="T95" s="75" t="str">
        <f aca="false">IF($R95="","",N(元データ_B!$F$93))</f>
        <v/>
      </c>
      <c r="U95" s="74" t="str">
        <f aca="false">IF($R95="","",IF(COUNTIF(店舗マスタ!$B$5:$B$304,$R95)&gt;0,"登録済","未登録→マスタに追加"))</f>
        <v/>
      </c>
    </row>
    <row r="96" customFormat="false" ht="15" hidden="false" customHeight="false" outlineLevel="0" collapsed="false">
      <c r="A96" s="74" t="n">
        <v>94</v>
      </c>
      <c r="B96" s="74" t="str">
        <f aca="false">IF(元データ_PB合計!$A$94="","",元データ_PB合計!$A$94)</f>
        <v/>
      </c>
      <c r="C96" s="74" t="str">
        <f aca="false">IF(LEFT(B96,1)="(",IFERROR(VALUE(MID(B96,2,FIND(")",B96)-2)),""),"")</f>
        <v/>
      </c>
      <c r="D96" s="75" t="str">
        <f aca="false">IF($C96="","",N(元データ_PB合計!$B$94))</f>
        <v/>
      </c>
      <c r="E96" s="75" t="str">
        <f aca="false">IF($C96="","",N(元データ_PB合計!$C$94))</f>
        <v/>
      </c>
      <c r="F96" s="75" t="str">
        <f aca="false">IF($C96="","",N(元データ_PB合計!$F$94))</f>
        <v/>
      </c>
      <c r="G96" s="74" t="str">
        <f aca="false">IF($C96="","",IF(COUNTIF(店舗マスタ!$B$5:$B$304,$C96)&gt;0,"登録済","未登録→マスタに追加"))</f>
        <v/>
      </c>
      <c r="I96" s="74" t="n">
        <v>94</v>
      </c>
      <c r="J96" s="74" t="str">
        <f aca="false">IF(元データ_P!$A$94="","",元データ_P!$A$94)</f>
        <v/>
      </c>
      <c r="K96" s="74" t="str">
        <f aca="false">IF(LEFT(J96,1)="(",IFERROR(VALUE(MID(J96,2,FIND(")",J96)-2)),""),"")</f>
        <v/>
      </c>
      <c r="L96" s="75" t="str">
        <f aca="false">IF($K96="","",N(元データ_P!$B$94))</f>
        <v/>
      </c>
      <c r="M96" s="75" t="str">
        <f aca="false">IF($K96="","",N(元データ_P!$F$94))</f>
        <v/>
      </c>
      <c r="N96" s="74" t="str">
        <f aca="false">IF($K96="","",IF(COUNTIF(店舗マスタ!$B$5:$B$304,$K96)&gt;0,"登録済","未登録→マスタに追加"))</f>
        <v/>
      </c>
      <c r="P96" s="74" t="n">
        <v>94</v>
      </c>
      <c r="Q96" s="74" t="str">
        <f aca="false">IF(元データ_B!$A$94="","",元データ_B!$A$94)</f>
        <v/>
      </c>
      <c r="R96" s="74" t="str">
        <f aca="false">IF(LEFT(Q96,1)="(",IFERROR(VALUE(MID(Q96,2,FIND(")",Q96)-2)),""),"")</f>
        <v/>
      </c>
      <c r="S96" s="75" t="str">
        <f aca="false">IF($R96="","",N(元データ_B!$B$94))</f>
        <v/>
      </c>
      <c r="T96" s="75" t="str">
        <f aca="false">IF($R96="","",N(元データ_B!$F$94))</f>
        <v/>
      </c>
      <c r="U96" s="74" t="str">
        <f aca="false">IF($R96="","",IF(COUNTIF(店舗マスタ!$B$5:$B$304,$R96)&gt;0,"登録済","未登録→マスタに追加"))</f>
        <v/>
      </c>
    </row>
    <row r="97" customFormat="false" ht="15" hidden="false" customHeight="false" outlineLevel="0" collapsed="false">
      <c r="A97" s="74" t="n">
        <v>95</v>
      </c>
      <c r="B97" s="74" t="str">
        <f aca="false">IF(元データ_PB合計!$A$95="","",元データ_PB合計!$A$95)</f>
        <v/>
      </c>
      <c r="C97" s="74" t="str">
        <f aca="false">IF(LEFT(B97,1)="(",IFERROR(VALUE(MID(B97,2,FIND(")",B97)-2)),""),"")</f>
        <v/>
      </c>
      <c r="D97" s="75" t="str">
        <f aca="false">IF($C97="","",N(元データ_PB合計!$B$95))</f>
        <v/>
      </c>
      <c r="E97" s="75" t="str">
        <f aca="false">IF($C97="","",N(元データ_PB合計!$C$95))</f>
        <v/>
      </c>
      <c r="F97" s="75" t="str">
        <f aca="false">IF($C97="","",N(元データ_PB合計!$F$95))</f>
        <v/>
      </c>
      <c r="G97" s="74" t="str">
        <f aca="false">IF($C97="","",IF(COUNTIF(店舗マスタ!$B$5:$B$304,$C97)&gt;0,"登録済","未登録→マスタに追加"))</f>
        <v/>
      </c>
      <c r="I97" s="74" t="n">
        <v>95</v>
      </c>
      <c r="J97" s="74" t="str">
        <f aca="false">IF(元データ_P!$A$95="","",元データ_P!$A$95)</f>
        <v/>
      </c>
      <c r="K97" s="74" t="str">
        <f aca="false">IF(LEFT(J97,1)="(",IFERROR(VALUE(MID(J97,2,FIND(")",J97)-2)),""),"")</f>
        <v/>
      </c>
      <c r="L97" s="75" t="str">
        <f aca="false">IF($K97="","",N(元データ_P!$B$95))</f>
        <v/>
      </c>
      <c r="M97" s="75" t="str">
        <f aca="false">IF($K97="","",N(元データ_P!$F$95))</f>
        <v/>
      </c>
      <c r="N97" s="74" t="str">
        <f aca="false">IF($K97="","",IF(COUNTIF(店舗マスタ!$B$5:$B$304,$K97)&gt;0,"登録済","未登録→マスタに追加"))</f>
        <v/>
      </c>
      <c r="P97" s="74" t="n">
        <v>95</v>
      </c>
      <c r="Q97" s="74" t="str">
        <f aca="false">IF(元データ_B!$A$95="","",元データ_B!$A$95)</f>
        <v/>
      </c>
      <c r="R97" s="74" t="str">
        <f aca="false">IF(LEFT(Q97,1)="(",IFERROR(VALUE(MID(Q97,2,FIND(")",Q97)-2)),""),"")</f>
        <v/>
      </c>
      <c r="S97" s="75" t="str">
        <f aca="false">IF($R97="","",N(元データ_B!$B$95))</f>
        <v/>
      </c>
      <c r="T97" s="75" t="str">
        <f aca="false">IF($R97="","",N(元データ_B!$F$95))</f>
        <v/>
      </c>
      <c r="U97" s="74" t="str">
        <f aca="false">IF($R97="","",IF(COUNTIF(店舗マスタ!$B$5:$B$304,$R97)&gt;0,"登録済","未登録→マスタに追加"))</f>
        <v/>
      </c>
    </row>
    <row r="98" customFormat="false" ht="15" hidden="false" customHeight="false" outlineLevel="0" collapsed="false">
      <c r="A98" s="74" t="n">
        <v>96</v>
      </c>
      <c r="B98" s="74" t="str">
        <f aca="false">IF(元データ_PB合計!$A$96="","",元データ_PB合計!$A$96)</f>
        <v/>
      </c>
      <c r="C98" s="74" t="str">
        <f aca="false">IF(LEFT(B98,1)="(",IFERROR(VALUE(MID(B98,2,FIND(")",B98)-2)),""),"")</f>
        <v/>
      </c>
      <c r="D98" s="75" t="str">
        <f aca="false">IF($C98="","",N(元データ_PB合計!$B$96))</f>
        <v/>
      </c>
      <c r="E98" s="75" t="str">
        <f aca="false">IF($C98="","",N(元データ_PB合計!$C$96))</f>
        <v/>
      </c>
      <c r="F98" s="75" t="str">
        <f aca="false">IF($C98="","",N(元データ_PB合計!$F$96))</f>
        <v/>
      </c>
      <c r="G98" s="74" t="str">
        <f aca="false">IF($C98="","",IF(COUNTIF(店舗マスタ!$B$5:$B$304,$C98)&gt;0,"登録済","未登録→マスタに追加"))</f>
        <v/>
      </c>
      <c r="I98" s="74" t="n">
        <v>96</v>
      </c>
      <c r="J98" s="74" t="str">
        <f aca="false">IF(元データ_P!$A$96="","",元データ_P!$A$96)</f>
        <v/>
      </c>
      <c r="K98" s="74" t="str">
        <f aca="false">IF(LEFT(J98,1)="(",IFERROR(VALUE(MID(J98,2,FIND(")",J98)-2)),""),"")</f>
        <v/>
      </c>
      <c r="L98" s="75" t="str">
        <f aca="false">IF($K98="","",N(元データ_P!$B$96))</f>
        <v/>
      </c>
      <c r="M98" s="75" t="str">
        <f aca="false">IF($K98="","",N(元データ_P!$F$96))</f>
        <v/>
      </c>
      <c r="N98" s="74" t="str">
        <f aca="false">IF($K98="","",IF(COUNTIF(店舗マスタ!$B$5:$B$304,$K98)&gt;0,"登録済","未登録→マスタに追加"))</f>
        <v/>
      </c>
      <c r="P98" s="74" t="n">
        <v>96</v>
      </c>
      <c r="Q98" s="74" t="str">
        <f aca="false">IF(元データ_B!$A$96="","",元データ_B!$A$96)</f>
        <v/>
      </c>
      <c r="R98" s="74" t="str">
        <f aca="false">IF(LEFT(Q98,1)="(",IFERROR(VALUE(MID(Q98,2,FIND(")",Q98)-2)),""),"")</f>
        <v/>
      </c>
      <c r="S98" s="75" t="str">
        <f aca="false">IF($R98="","",N(元データ_B!$B$96))</f>
        <v/>
      </c>
      <c r="T98" s="75" t="str">
        <f aca="false">IF($R98="","",N(元データ_B!$F$96))</f>
        <v/>
      </c>
      <c r="U98" s="74" t="str">
        <f aca="false">IF($R98="","",IF(COUNTIF(店舗マスタ!$B$5:$B$304,$R98)&gt;0,"登録済","未登録→マスタに追加"))</f>
        <v/>
      </c>
    </row>
    <row r="99" customFormat="false" ht="15" hidden="false" customHeight="false" outlineLevel="0" collapsed="false">
      <c r="A99" s="74" t="n">
        <v>97</v>
      </c>
      <c r="B99" s="74" t="str">
        <f aca="false">IF(元データ_PB合計!$A$97="","",元データ_PB合計!$A$97)</f>
        <v/>
      </c>
      <c r="C99" s="74" t="str">
        <f aca="false">IF(LEFT(B99,1)="(",IFERROR(VALUE(MID(B99,2,FIND(")",B99)-2)),""),"")</f>
        <v/>
      </c>
      <c r="D99" s="75" t="str">
        <f aca="false">IF($C99="","",N(元データ_PB合計!$B$97))</f>
        <v/>
      </c>
      <c r="E99" s="75" t="str">
        <f aca="false">IF($C99="","",N(元データ_PB合計!$C$97))</f>
        <v/>
      </c>
      <c r="F99" s="75" t="str">
        <f aca="false">IF($C99="","",N(元データ_PB合計!$F$97))</f>
        <v/>
      </c>
      <c r="G99" s="74" t="str">
        <f aca="false">IF($C99="","",IF(COUNTIF(店舗マスタ!$B$5:$B$304,$C99)&gt;0,"登録済","未登録→マスタに追加"))</f>
        <v/>
      </c>
      <c r="I99" s="74" t="n">
        <v>97</v>
      </c>
      <c r="J99" s="74" t="str">
        <f aca="false">IF(元データ_P!$A$97="","",元データ_P!$A$97)</f>
        <v/>
      </c>
      <c r="K99" s="74" t="str">
        <f aca="false">IF(LEFT(J99,1)="(",IFERROR(VALUE(MID(J99,2,FIND(")",J99)-2)),""),"")</f>
        <v/>
      </c>
      <c r="L99" s="75" t="str">
        <f aca="false">IF($K99="","",N(元データ_P!$B$97))</f>
        <v/>
      </c>
      <c r="M99" s="75" t="str">
        <f aca="false">IF($K99="","",N(元データ_P!$F$97))</f>
        <v/>
      </c>
      <c r="N99" s="74" t="str">
        <f aca="false">IF($K99="","",IF(COUNTIF(店舗マスタ!$B$5:$B$304,$K99)&gt;0,"登録済","未登録→マスタに追加"))</f>
        <v/>
      </c>
      <c r="P99" s="74" t="n">
        <v>97</v>
      </c>
      <c r="Q99" s="74" t="str">
        <f aca="false">IF(元データ_B!$A$97="","",元データ_B!$A$97)</f>
        <v/>
      </c>
      <c r="R99" s="74" t="str">
        <f aca="false">IF(LEFT(Q99,1)="(",IFERROR(VALUE(MID(Q99,2,FIND(")",Q99)-2)),""),"")</f>
        <v/>
      </c>
      <c r="S99" s="75" t="str">
        <f aca="false">IF($R99="","",N(元データ_B!$B$97))</f>
        <v/>
      </c>
      <c r="T99" s="75" t="str">
        <f aca="false">IF($R99="","",N(元データ_B!$F$97))</f>
        <v/>
      </c>
      <c r="U99" s="74" t="str">
        <f aca="false">IF($R99="","",IF(COUNTIF(店舗マスタ!$B$5:$B$304,$R99)&gt;0,"登録済","未登録→マスタに追加"))</f>
        <v/>
      </c>
    </row>
    <row r="100" customFormat="false" ht="15" hidden="false" customHeight="false" outlineLevel="0" collapsed="false">
      <c r="A100" s="74" t="n">
        <v>98</v>
      </c>
      <c r="B100" s="74" t="str">
        <f aca="false">IF(元データ_PB合計!$A$98="","",元データ_PB合計!$A$98)</f>
        <v/>
      </c>
      <c r="C100" s="74" t="str">
        <f aca="false">IF(LEFT(B100,1)="(",IFERROR(VALUE(MID(B100,2,FIND(")",B100)-2)),""),"")</f>
        <v/>
      </c>
      <c r="D100" s="75" t="str">
        <f aca="false">IF($C100="","",N(元データ_PB合計!$B$98))</f>
        <v/>
      </c>
      <c r="E100" s="75" t="str">
        <f aca="false">IF($C100="","",N(元データ_PB合計!$C$98))</f>
        <v/>
      </c>
      <c r="F100" s="75" t="str">
        <f aca="false">IF($C100="","",N(元データ_PB合計!$F$98))</f>
        <v/>
      </c>
      <c r="G100" s="74" t="str">
        <f aca="false">IF($C100="","",IF(COUNTIF(店舗マスタ!$B$5:$B$304,$C100)&gt;0,"登録済","未登録→マスタに追加"))</f>
        <v/>
      </c>
      <c r="I100" s="74" t="n">
        <v>98</v>
      </c>
      <c r="J100" s="74" t="str">
        <f aca="false">IF(元データ_P!$A$98="","",元データ_P!$A$98)</f>
        <v/>
      </c>
      <c r="K100" s="74" t="str">
        <f aca="false">IF(LEFT(J100,1)="(",IFERROR(VALUE(MID(J100,2,FIND(")",J100)-2)),""),"")</f>
        <v/>
      </c>
      <c r="L100" s="75" t="str">
        <f aca="false">IF($K100="","",N(元データ_P!$B$98))</f>
        <v/>
      </c>
      <c r="M100" s="75" t="str">
        <f aca="false">IF($K100="","",N(元データ_P!$F$98))</f>
        <v/>
      </c>
      <c r="N100" s="74" t="str">
        <f aca="false">IF($K100="","",IF(COUNTIF(店舗マスタ!$B$5:$B$304,$K100)&gt;0,"登録済","未登録→マスタに追加"))</f>
        <v/>
      </c>
      <c r="P100" s="74" t="n">
        <v>98</v>
      </c>
      <c r="Q100" s="74" t="str">
        <f aca="false">IF(元データ_B!$A$98="","",元データ_B!$A$98)</f>
        <v/>
      </c>
      <c r="R100" s="74" t="str">
        <f aca="false">IF(LEFT(Q100,1)="(",IFERROR(VALUE(MID(Q100,2,FIND(")",Q100)-2)),""),"")</f>
        <v/>
      </c>
      <c r="S100" s="75" t="str">
        <f aca="false">IF($R100="","",N(元データ_B!$B$98))</f>
        <v/>
      </c>
      <c r="T100" s="75" t="str">
        <f aca="false">IF($R100="","",N(元データ_B!$F$98))</f>
        <v/>
      </c>
      <c r="U100" s="74" t="str">
        <f aca="false">IF($R100="","",IF(COUNTIF(店舗マスタ!$B$5:$B$304,$R100)&gt;0,"登録済","未登録→マスタに追加"))</f>
        <v/>
      </c>
    </row>
    <row r="101" customFormat="false" ht="15" hidden="false" customHeight="false" outlineLevel="0" collapsed="false">
      <c r="A101" s="74" t="n">
        <v>99</v>
      </c>
      <c r="B101" s="74" t="str">
        <f aca="false">IF(元データ_PB合計!$A$99="","",元データ_PB合計!$A$99)</f>
        <v/>
      </c>
      <c r="C101" s="74" t="str">
        <f aca="false">IF(LEFT(B101,1)="(",IFERROR(VALUE(MID(B101,2,FIND(")",B101)-2)),""),"")</f>
        <v/>
      </c>
      <c r="D101" s="75" t="str">
        <f aca="false">IF($C101="","",N(元データ_PB合計!$B$99))</f>
        <v/>
      </c>
      <c r="E101" s="75" t="str">
        <f aca="false">IF($C101="","",N(元データ_PB合計!$C$99))</f>
        <v/>
      </c>
      <c r="F101" s="75" t="str">
        <f aca="false">IF($C101="","",N(元データ_PB合計!$F$99))</f>
        <v/>
      </c>
      <c r="G101" s="74" t="str">
        <f aca="false">IF($C101="","",IF(COUNTIF(店舗マスタ!$B$5:$B$304,$C101)&gt;0,"登録済","未登録→マスタに追加"))</f>
        <v/>
      </c>
      <c r="I101" s="74" t="n">
        <v>99</v>
      </c>
      <c r="J101" s="74" t="str">
        <f aca="false">IF(元データ_P!$A$99="","",元データ_P!$A$99)</f>
        <v/>
      </c>
      <c r="K101" s="74" t="str">
        <f aca="false">IF(LEFT(J101,1)="(",IFERROR(VALUE(MID(J101,2,FIND(")",J101)-2)),""),"")</f>
        <v/>
      </c>
      <c r="L101" s="75" t="str">
        <f aca="false">IF($K101="","",N(元データ_P!$B$99))</f>
        <v/>
      </c>
      <c r="M101" s="75" t="str">
        <f aca="false">IF($K101="","",N(元データ_P!$F$99))</f>
        <v/>
      </c>
      <c r="N101" s="74" t="str">
        <f aca="false">IF($K101="","",IF(COUNTIF(店舗マスタ!$B$5:$B$304,$K101)&gt;0,"登録済","未登録→マスタに追加"))</f>
        <v/>
      </c>
      <c r="P101" s="74" t="n">
        <v>99</v>
      </c>
      <c r="Q101" s="74" t="str">
        <f aca="false">IF(元データ_B!$A$99="","",元データ_B!$A$99)</f>
        <v/>
      </c>
      <c r="R101" s="74" t="str">
        <f aca="false">IF(LEFT(Q101,1)="(",IFERROR(VALUE(MID(Q101,2,FIND(")",Q101)-2)),""),"")</f>
        <v/>
      </c>
      <c r="S101" s="75" t="str">
        <f aca="false">IF($R101="","",N(元データ_B!$B$99))</f>
        <v/>
      </c>
      <c r="T101" s="75" t="str">
        <f aca="false">IF($R101="","",N(元データ_B!$F$99))</f>
        <v/>
      </c>
      <c r="U101" s="74" t="str">
        <f aca="false">IF($R101="","",IF(COUNTIF(店舗マスタ!$B$5:$B$304,$R101)&gt;0,"登録済","未登録→マスタに追加"))</f>
        <v/>
      </c>
    </row>
    <row r="102" customFormat="false" ht="15" hidden="false" customHeight="false" outlineLevel="0" collapsed="false">
      <c r="A102" s="74" t="n">
        <v>100</v>
      </c>
      <c r="B102" s="74" t="str">
        <f aca="false">IF(元データ_PB合計!$A$100="","",元データ_PB合計!$A$100)</f>
        <v/>
      </c>
      <c r="C102" s="74" t="str">
        <f aca="false">IF(LEFT(B102,1)="(",IFERROR(VALUE(MID(B102,2,FIND(")",B102)-2)),""),"")</f>
        <v/>
      </c>
      <c r="D102" s="75" t="str">
        <f aca="false">IF($C102="","",N(元データ_PB合計!$B$100))</f>
        <v/>
      </c>
      <c r="E102" s="75" t="str">
        <f aca="false">IF($C102="","",N(元データ_PB合計!$C$100))</f>
        <v/>
      </c>
      <c r="F102" s="75" t="str">
        <f aca="false">IF($C102="","",N(元データ_PB合計!$F$100))</f>
        <v/>
      </c>
      <c r="G102" s="74" t="str">
        <f aca="false">IF($C102="","",IF(COUNTIF(店舗マスタ!$B$5:$B$304,$C102)&gt;0,"登録済","未登録→マスタに追加"))</f>
        <v/>
      </c>
      <c r="I102" s="74" t="n">
        <v>100</v>
      </c>
      <c r="J102" s="74" t="str">
        <f aca="false">IF(元データ_P!$A$100="","",元データ_P!$A$100)</f>
        <v/>
      </c>
      <c r="K102" s="74" t="str">
        <f aca="false">IF(LEFT(J102,1)="(",IFERROR(VALUE(MID(J102,2,FIND(")",J102)-2)),""),"")</f>
        <v/>
      </c>
      <c r="L102" s="75" t="str">
        <f aca="false">IF($K102="","",N(元データ_P!$B$100))</f>
        <v/>
      </c>
      <c r="M102" s="75" t="str">
        <f aca="false">IF($K102="","",N(元データ_P!$F$100))</f>
        <v/>
      </c>
      <c r="N102" s="74" t="str">
        <f aca="false">IF($K102="","",IF(COUNTIF(店舗マスタ!$B$5:$B$304,$K102)&gt;0,"登録済","未登録→マスタに追加"))</f>
        <v/>
      </c>
      <c r="P102" s="74" t="n">
        <v>100</v>
      </c>
      <c r="Q102" s="74" t="str">
        <f aca="false">IF(元データ_B!$A$100="","",元データ_B!$A$100)</f>
        <v/>
      </c>
      <c r="R102" s="74" t="str">
        <f aca="false">IF(LEFT(Q102,1)="(",IFERROR(VALUE(MID(Q102,2,FIND(")",Q102)-2)),""),"")</f>
        <v/>
      </c>
      <c r="S102" s="75" t="str">
        <f aca="false">IF($R102="","",N(元データ_B!$B$100))</f>
        <v/>
      </c>
      <c r="T102" s="75" t="str">
        <f aca="false">IF($R102="","",N(元データ_B!$F$100))</f>
        <v/>
      </c>
      <c r="U102" s="74" t="str">
        <f aca="false">IF($R102="","",IF(COUNTIF(店舗マスタ!$B$5:$B$304,$R102)&gt;0,"登録済","未登録→マスタに追加"))</f>
        <v/>
      </c>
    </row>
    <row r="103" customFormat="false" ht="15" hidden="false" customHeight="false" outlineLevel="0" collapsed="false">
      <c r="A103" s="74" t="n">
        <v>101</v>
      </c>
      <c r="B103" s="74" t="str">
        <f aca="false">IF(元データ_PB合計!$A$101="","",元データ_PB合計!$A$101)</f>
        <v/>
      </c>
      <c r="C103" s="74" t="str">
        <f aca="false">IF(LEFT(B103,1)="(",IFERROR(VALUE(MID(B103,2,FIND(")",B103)-2)),""),"")</f>
        <v/>
      </c>
      <c r="D103" s="75" t="str">
        <f aca="false">IF($C103="","",N(元データ_PB合計!$B$101))</f>
        <v/>
      </c>
      <c r="E103" s="75" t="str">
        <f aca="false">IF($C103="","",N(元データ_PB合計!$C$101))</f>
        <v/>
      </c>
      <c r="F103" s="75" t="str">
        <f aca="false">IF($C103="","",N(元データ_PB合計!$F$101))</f>
        <v/>
      </c>
      <c r="G103" s="74" t="str">
        <f aca="false">IF($C103="","",IF(COUNTIF(店舗マスタ!$B$5:$B$304,$C103)&gt;0,"登録済","未登録→マスタに追加"))</f>
        <v/>
      </c>
      <c r="I103" s="74" t="n">
        <v>101</v>
      </c>
      <c r="J103" s="74" t="str">
        <f aca="false">IF(元データ_P!$A$101="","",元データ_P!$A$101)</f>
        <v/>
      </c>
      <c r="K103" s="74" t="str">
        <f aca="false">IF(LEFT(J103,1)="(",IFERROR(VALUE(MID(J103,2,FIND(")",J103)-2)),""),"")</f>
        <v/>
      </c>
      <c r="L103" s="75" t="str">
        <f aca="false">IF($K103="","",N(元データ_P!$B$101))</f>
        <v/>
      </c>
      <c r="M103" s="75" t="str">
        <f aca="false">IF($K103="","",N(元データ_P!$F$101))</f>
        <v/>
      </c>
      <c r="N103" s="74" t="str">
        <f aca="false">IF($K103="","",IF(COUNTIF(店舗マスタ!$B$5:$B$304,$K103)&gt;0,"登録済","未登録→マスタに追加"))</f>
        <v/>
      </c>
      <c r="P103" s="74" t="n">
        <v>101</v>
      </c>
      <c r="Q103" s="74" t="str">
        <f aca="false">IF(元データ_B!$A$101="","",元データ_B!$A$101)</f>
        <v/>
      </c>
      <c r="R103" s="74" t="str">
        <f aca="false">IF(LEFT(Q103,1)="(",IFERROR(VALUE(MID(Q103,2,FIND(")",Q103)-2)),""),"")</f>
        <v/>
      </c>
      <c r="S103" s="75" t="str">
        <f aca="false">IF($R103="","",N(元データ_B!$B$101))</f>
        <v/>
      </c>
      <c r="T103" s="75" t="str">
        <f aca="false">IF($R103="","",N(元データ_B!$F$101))</f>
        <v/>
      </c>
      <c r="U103" s="74" t="str">
        <f aca="false">IF($R103="","",IF(COUNTIF(店舗マスタ!$B$5:$B$304,$R103)&gt;0,"登録済","未登録→マスタに追加"))</f>
        <v/>
      </c>
    </row>
    <row r="104" customFormat="false" ht="15" hidden="false" customHeight="false" outlineLevel="0" collapsed="false">
      <c r="A104" s="74" t="n">
        <v>102</v>
      </c>
      <c r="B104" s="74" t="str">
        <f aca="false">IF(元データ_PB合計!$A$102="","",元データ_PB合計!$A$102)</f>
        <v/>
      </c>
      <c r="C104" s="74" t="str">
        <f aca="false">IF(LEFT(B104,1)="(",IFERROR(VALUE(MID(B104,2,FIND(")",B104)-2)),""),"")</f>
        <v/>
      </c>
      <c r="D104" s="75" t="str">
        <f aca="false">IF($C104="","",N(元データ_PB合計!$B$102))</f>
        <v/>
      </c>
      <c r="E104" s="75" t="str">
        <f aca="false">IF($C104="","",N(元データ_PB合計!$C$102))</f>
        <v/>
      </c>
      <c r="F104" s="75" t="str">
        <f aca="false">IF($C104="","",N(元データ_PB合計!$F$102))</f>
        <v/>
      </c>
      <c r="G104" s="74" t="str">
        <f aca="false">IF($C104="","",IF(COUNTIF(店舗マスタ!$B$5:$B$304,$C104)&gt;0,"登録済","未登録→マスタに追加"))</f>
        <v/>
      </c>
      <c r="I104" s="74" t="n">
        <v>102</v>
      </c>
      <c r="J104" s="74" t="str">
        <f aca="false">IF(元データ_P!$A$102="","",元データ_P!$A$102)</f>
        <v/>
      </c>
      <c r="K104" s="74" t="str">
        <f aca="false">IF(LEFT(J104,1)="(",IFERROR(VALUE(MID(J104,2,FIND(")",J104)-2)),""),"")</f>
        <v/>
      </c>
      <c r="L104" s="75" t="str">
        <f aca="false">IF($K104="","",N(元データ_P!$B$102))</f>
        <v/>
      </c>
      <c r="M104" s="75" t="str">
        <f aca="false">IF($K104="","",N(元データ_P!$F$102))</f>
        <v/>
      </c>
      <c r="N104" s="74" t="str">
        <f aca="false">IF($K104="","",IF(COUNTIF(店舗マスタ!$B$5:$B$304,$K104)&gt;0,"登録済","未登録→マスタに追加"))</f>
        <v/>
      </c>
      <c r="P104" s="74" t="n">
        <v>102</v>
      </c>
      <c r="Q104" s="74" t="str">
        <f aca="false">IF(元データ_B!$A$102="","",元データ_B!$A$102)</f>
        <v/>
      </c>
      <c r="R104" s="74" t="str">
        <f aca="false">IF(LEFT(Q104,1)="(",IFERROR(VALUE(MID(Q104,2,FIND(")",Q104)-2)),""),"")</f>
        <v/>
      </c>
      <c r="S104" s="75" t="str">
        <f aca="false">IF($R104="","",N(元データ_B!$B$102))</f>
        <v/>
      </c>
      <c r="T104" s="75" t="str">
        <f aca="false">IF($R104="","",N(元データ_B!$F$102))</f>
        <v/>
      </c>
      <c r="U104" s="74" t="str">
        <f aca="false">IF($R104="","",IF(COUNTIF(店舗マスタ!$B$5:$B$304,$R104)&gt;0,"登録済","未登録→マスタに追加"))</f>
        <v/>
      </c>
    </row>
    <row r="105" customFormat="false" ht="15" hidden="false" customHeight="false" outlineLevel="0" collapsed="false">
      <c r="A105" s="74" t="n">
        <v>103</v>
      </c>
      <c r="B105" s="74" t="str">
        <f aca="false">IF(元データ_PB合計!$A$103="","",元データ_PB合計!$A$103)</f>
        <v/>
      </c>
      <c r="C105" s="74" t="str">
        <f aca="false">IF(LEFT(B105,1)="(",IFERROR(VALUE(MID(B105,2,FIND(")",B105)-2)),""),"")</f>
        <v/>
      </c>
      <c r="D105" s="75" t="str">
        <f aca="false">IF($C105="","",N(元データ_PB合計!$B$103))</f>
        <v/>
      </c>
      <c r="E105" s="75" t="str">
        <f aca="false">IF($C105="","",N(元データ_PB合計!$C$103))</f>
        <v/>
      </c>
      <c r="F105" s="75" t="str">
        <f aca="false">IF($C105="","",N(元データ_PB合計!$F$103))</f>
        <v/>
      </c>
      <c r="G105" s="74" t="str">
        <f aca="false">IF($C105="","",IF(COUNTIF(店舗マスタ!$B$5:$B$304,$C105)&gt;0,"登録済","未登録→マスタに追加"))</f>
        <v/>
      </c>
      <c r="I105" s="74" t="n">
        <v>103</v>
      </c>
      <c r="J105" s="74" t="str">
        <f aca="false">IF(元データ_P!$A$103="","",元データ_P!$A$103)</f>
        <v/>
      </c>
      <c r="K105" s="74" t="str">
        <f aca="false">IF(LEFT(J105,1)="(",IFERROR(VALUE(MID(J105,2,FIND(")",J105)-2)),""),"")</f>
        <v/>
      </c>
      <c r="L105" s="75" t="str">
        <f aca="false">IF($K105="","",N(元データ_P!$B$103))</f>
        <v/>
      </c>
      <c r="M105" s="75" t="str">
        <f aca="false">IF($K105="","",N(元データ_P!$F$103))</f>
        <v/>
      </c>
      <c r="N105" s="74" t="str">
        <f aca="false">IF($K105="","",IF(COUNTIF(店舗マスタ!$B$5:$B$304,$K105)&gt;0,"登録済","未登録→マスタに追加"))</f>
        <v/>
      </c>
      <c r="P105" s="74" t="n">
        <v>103</v>
      </c>
      <c r="Q105" s="74" t="str">
        <f aca="false">IF(元データ_B!$A$103="","",元データ_B!$A$103)</f>
        <v/>
      </c>
      <c r="R105" s="74" t="str">
        <f aca="false">IF(LEFT(Q105,1)="(",IFERROR(VALUE(MID(Q105,2,FIND(")",Q105)-2)),""),"")</f>
        <v/>
      </c>
      <c r="S105" s="75" t="str">
        <f aca="false">IF($R105="","",N(元データ_B!$B$103))</f>
        <v/>
      </c>
      <c r="T105" s="75" t="str">
        <f aca="false">IF($R105="","",N(元データ_B!$F$103))</f>
        <v/>
      </c>
      <c r="U105" s="74" t="str">
        <f aca="false">IF($R105="","",IF(COUNTIF(店舗マスタ!$B$5:$B$304,$R105)&gt;0,"登録済","未登録→マスタに追加"))</f>
        <v/>
      </c>
    </row>
    <row r="106" customFormat="false" ht="15" hidden="false" customHeight="false" outlineLevel="0" collapsed="false">
      <c r="A106" s="74" t="n">
        <v>104</v>
      </c>
      <c r="B106" s="74" t="str">
        <f aca="false">IF(元データ_PB合計!$A$104="","",元データ_PB合計!$A$104)</f>
        <v/>
      </c>
      <c r="C106" s="74" t="str">
        <f aca="false">IF(LEFT(B106,1)="(",IFERROR(VALUE(MID(B106,2,FIND(")",B106)-2)),""),"")</f>
        <v/>
      </c>
      <c r="D106" s="75" t="str">
        <f aca="false">IF($C106="","",N(元データ_PB合計!$B$104))</f>
        <v/>
      </c>
      <c r="E106" s="75" t="str">
        <f aca="false">IF($C106="","",N(元データ_PB合計!$C$104))</f>
        <v/>
      </c>
      <c r="F106" s="75" t="str">
        <f aca="false">IF($C106="","",N(元データ_PB合計!$F$104))</f>
        <v/>
      </c>
      <c r="G106" s="74" t="str">
        <f aca="false">IF($C106="","",IF(COUNTIF(店舗マスタ!$B$5:$B$304,$C106)&gt;0,"登録済","未登録→マスタに追加"))</f>
        <v/>
      </c>
      <c r="I106" s="74" t="n">
        <v>104</v>
      </c>
      <c r="J106" s="74" t="str">
        <f aca="false">IF(元データ_P!$A$104="","",元データ_P!$A$104)</f>
        <v/>
      </c>
      <c r="K106" s="74" t="str">
        <f aca="false">IF(LEFT(J106,1)="(",IFERROR(VALUE(MID(J106,2,FIND(")",J106)-2)),""),"")</f>
        <v/>
      </c>
      <c r="L106" s="75" t="str">
        <f aca="false">IF($K106="","",N(元データ_P!$B$104))</f>
        <v/>
      </c>
      <c r="M106" s="75" t="str">
        <f aca="false">IF($K106="","",N(元データ_P!$F$104))</f>
        <v/>
      </c>
      <c r="N106" s="74" t="str">
        <f aca="false">IF($K106="","",IF(COUNTIF(店舗マスタ!$B$5:$B$304,$K106)&gt;0,"登録済","未登録→マスタに追加"))</f>
        <v/>
      </c>
      <c r="P106" s="74" t="n">
        <v>104</v>
      </c>
      <c r="Q106" s="74" t="str">
        <f aca="false">IF(元データ_B!$A$104="","",元データ_B!$A$104)</f>
        <v/>
      </c>
      <c r="R106" s="74" t="str">
        <f aca="false">IF(LEFT(Q106,1)="(",IFERROR(VALUE(MID(Q106,2,FIND(")",Q106)-2)),""),"")</f>
        <v/>
      </c>
      <c r="S106" s="75" t="str">
        <f aca="false">IF($R106="","",N(元データ_B!$B$104))</f>
        <v/>
      </c>
      <c r="T106" s="75" t="str">
        <f aca="false">IF($R106="","",N(元データ_B!$F$104))</f>
        <v/>
      </c>
      <c r="U106" s="74" t="str">
        <f aca="false">IF($R106="","",IF(COUNTIF(店舗マスタ!$B$5:$B$304,$R106)&gt;0,"登録済","未登録→マスタに追加"))</f>
        <v/>
      </c>
    </row>
    <row r="107" customFormat="false" ht="15" hidden="false" customHeight="false" outlineLevel="0" collapsed="false">
      <c r="A107" s="74" t="n">
        <v>105</v>
      </c>
      <c r="B107" s="74" t="str">
        <f aca="false">IF(元データ_PB合計!$A$105="","",元データ_PB合計!$A$105)</f>
        <v/>
      </c>
      <c r="C107" s="74" t="str">
        <f aca="false">IF(LEFT(B107,1)="(",IFERROR(VALUE(MID(B107,2,FIND(")",B107)-2)),""),"")</f>
        <v/>
      </c>
      <c r="D107" s="75" t="str">
        <f aca="false">IF($C107="","",N(元データ_PB合計!$B$105))</f>
        <v/>
      </c>
      <c r="E107" s="75" t="str">
        <f aca="false">IF($C107="","",N(元データ_PB合計!$C$105))</f>
        <v/>
      </c>
      <c r="F107" s="75" t="str">
        <f aca="false">IF($C107="","",N(元データ_PB合計!$F$105))</f>
        <v/>
      </c>
      <c r="G107" s="74" t="str">
        <f aca="false">IF($C107="","",IF(COUNTIF(店舗マスタ!$B$5:$B$304,$C107)&gt;0,"登録済","未登録→マスタに追加"))</f>
        <v/>
      </c>
      <c r="I107" s="74" t="n">
        <v>105</v>
      </c>
      <c r="J107" s="74" t="str">
        <f aca="false">IF(元データ_P!$A$105="","",元データ_P!$A$105)</f>
        <v/>
      </c>
      <c r="K107" s="74" t="str">
        <f aca="false">IF(LEFT(J107,1)="(",IFERROR(VALUE(MID(J107,2,FIND(")",J107)-2)),""),"")</f>
        <v/>
      </c>
      <c r="L107" s="75" t="str">
        <f aca="false">IF($K107="","",N(元データ_P!$B$105))</f>
        <v/>
      </c>
      <c r="M107" s="75" t="str">
        <f aca="false">IF($K107="","",N(元データ_P!$F$105))</f>
        <v/>
      </c>
      <c r="N107" s="74" t="str">
        <f aca="false">IF($K107="","",IF(COUNTIF(店舗マスタ!$B$5:$B$304,$K107)&gt;0,"登録済","未登録→マスタに追加"))</f>
        <v/>
      </c>
      <c r="P107" s="74" t="n">
        <v>105</v>
      </c>
      <c r="Q107" s="74" t="str">
        <f aca="false">IF(元データ_B!$A$105="","",元データ_B!$A$105)</f>
        <v/>
      </c>
      <c r="R107" s="74" t="str">
        <f aca="false">IF(LEFT(Q107,1)="(",IFERROR(VALUE(MID(Q107,2,FIND(")",Q107)-2)),""),"")</f>
        <v/>
      </c>
      <c r="S107" s="75" t="str">
        <f aca="false">IF($R107="","",N(元データ_B!$B$105))</f>
        <v/>
      </c>
      <c r="T107" s="75" t="str">
        <f aca="false">IF($R107="","",N(元データ_B!$F$105))</f>
        <v/>
      </c>
      <c r="U107" s="74" t="str">
        <f aca="false">IF($R107="","",IF(COUNTIF(店舗マスタ!$B$5:$B$304,$R107)&gt;0,"登録済","未登録→マスタに追加"))</f>
        <v/>
      </c>
    </row>
    <row r="108" customFormat="false" ht="15" hidden="false" customHeight="false" outlineLevel="0" collapsed="false">
      <c r="A108" s="74" t="n">
        <v>106</v>
      </c>
      <c r="B108" s="74" t="str">
        <f aca="false">IF(元データ_PB合計!$A$106="","",元データ_PB合計!$A$106)</f>
        <v/>
      </c>
      <c r="C108" s="74" t="str">
        <f aca="false">IF(LEFT(B108,1)="(",IFERROR(VALUE(MID(B108,2,FIND(")",B108)-2)),""),"")</f>
        <v/>
      </c>
      <c r="D108" s="75" t="str">
        <f aca="false">IF($C108="","",N(元データ_PB合計!$B$106))</f>
        <v/>
      </c>
      <c r="E108" s="75" t="str">
        <f aca="false">IF($C108="","",N(元データ_PB合計!$C$106))</f>
        <v/>
      </c>
      <c r="F108" s="75" t="str">
        <f aca="false">IF($C108="","",N(元データ_PB合計!$F$106))</f>
        <v/>
      </c>
      <c r="G108" s="74" t="str">
        <f aca="false">IF($C108="","",IF(COUNTIF(店舗マスタ!$B$5:$B$304,$C108)&gt;0,"登録済","未登録→マスタに追加"))</f>
        <v/>
      </c>
      <c r="I108" s="74" t="n">
        <v>106</v>
      </c>
      <c r="J108" s="74" t="str">
        <f aca="false">IF(元データ_P!$A$106="","",元データ_P!$A$106)</f>
        <v/>
      </c>
      <c r="K108" s="74" t="str">
        <f aca="false">IF(LEFT(J108,1)="(",IFERROR(VALUE(MID(J108,2,FIND(")",J108)-2)),""),"")</f>
        <v/>
      </c>
      <c r="L108" s="75" t="str">
        <f aca="false">IF($K108="","",N(元データ_P!$B$106))</f>
        <v/>
      </c>
      <c r="M108" s="75" t="str">
        <f aca="false">IF($K108="","",N(元データ_P!$F$106))</f>
        <v/>
      </c>
      <c r="N108" s="74" t="str">
        <f aca="false">IF($K108="","",IF(COUNTIF(店舗マスタ!$B$5:$B$304,$K108)&gt;0,"登録済","未登録→マスタに追加"))</f>
        <v/>
      </c>
      <c r="P108" s="74" t="n">
        <v>106</v>
      </c>
      <c r="Q108" s="74" t="str">
        <f aca="false">IF(元データ_B!$A$106="","",元データ_B!$A$106)</f>
        <v/>
      </c>
      <c r="R108" s="74" t="str">
        <f aca="false">IF(LEFT(Q108,1)="(",IFERROR(VALUE(MID(Q108,2,FIND(")",Q108)-2)),""),"")</f>
        <v/>
      </c>
      <c r="S108" s="75" t="str">
        <f aca="false">IF($R108="","",N(元データ_B!$B$106))</f>
        <v/>
      </c>
      <c r="T108" s="75" t="str">
        <f aca="false">IF($R108="","",N(元データ_B!$F$106))</f>
        <v/>
      </c>
      <c r="U108" s="74" t="str">
        <f aca="false">IF($R108="","",IF(COUNTIF(店舗マスタ!$B$5:$B$304,$R108)&gt;0,"登録済","未登録→マスタに追加"))</f>
        <v/>
      </c>
    </row>
    <row r="109" customFormat="false" ht="15" hidden="false" customHeight="false" outlineLevel="0" collapsed="false">
      <c r="A109" s="74" t="n">
        <v>107</v>
      </c>
      <c r="B109" s="74" t="str">
        <f aca="false">IF(元データ_PB合計!$A$107="","",元データ_PB合計!$A$107)</f>
        <v/>
      </c>
      <c r="C109" s="74" t="str">
        <f aca="false">IF(LEFT(B109,1)="(",IFERROR(VALUE(MID(B109,2,FIND(")",B109)-2)),""),"")</f>
        <v/>
      </c>
      <c r="D109" s="75" t="str">
        <f aca="false">IF($C109="","",N(元データ_PB合計!$B$107))</f>
        <v/>
      </c>
      <c r="E109" s="75" t="str">
        <f aca="false">IF($C109="","",N(元データ_PB合計!$C$107))</f>
        <v/>
      </c>
      <c r="F109" s="75" t="str">
        <f aca="false">IF($C109="","",N(元データ_PB合計!$F$107))</f>
        <v/>
      </c>
      <c r="G109" s="74" t="str">
        <f aca="false">IF($C109="","",IF(COUNTIF(店舗マスタ!$B$5:$B$304,$C109)&gt;0,"登録済","未登録→マスタに追加"))</f>
        <v/>
      </c>
      <c r="I109" s="74" t="n">
        <v>107</v>
      </c>
      <c r="J109" s="74" t="str">
        <f aca="false">IF(元データ_P!$A$107="","",元データ_P!$A$107)</f>
        <v/>
      </c>
      <c r="K109" s="74" t="str">
        <f aca="false">IF(LEFT(J109,1)="(",IFERROR(VALUE(MID(J109,2,FIND(")",J109)-2)),""),"")</f>
        <v/>
      </c>
      <c r="L109" s="75" t="str">
        <f aca="false">IF($K109="","",N(元データ_P!$B$107))</f>
        <v/>
      </c>
      <c r="M109" s="75" t="str">
        <f aca="false">IF($K109="","",N(元データ_P!$F$107))</f>
        <v/>
      </c>
      <c r="N109" s="74" t="str">
        <f aca="false">IF($K109="","",IF(COUNTIF(店舗マスタ!$B$5:$B$304,$K109)&gt;0,"登録済","未登録→マスタに追加"))</f>
        <v/>
      </c>
      <c r="P109" s="74" t="n">
        <v>107</v>
      </c>
      <c r="Q109" s="74" t="str">
        <f aca="false">IF(元データ_B!$A$107="","",元データ_B!$A$107)</f>
        <v/>
      </c>
      <c r="R109" s="74" t="str">
        <f aca="false">IF(LEFT(Q109,1)="(",IFERROR(VALUE(MID(Q109,2,FIND(")",Q109)-2)),""),"")</f>
        <v/>
      </c>
      <c r="S109" s="75" t="str">
        <f aca="false">IF($R109="","",N(元データ_B!$B$107))</f>
        <v/>
      </c>
      <c r="T109" s="75" t="str">
        <f aca="false">IF($R109="","",N(元データ_B!$F$107))</f>
        <v/>
      </c>
      <c r="U109" s="74" t="str">
        <f aca="false">IF($R109="","",IF(COUNTIF(店舗マスタ!$B$5:$B$304,$R109)&gt;0,"登録済","未登録→マスタに追加"))</f>
        <v/>
      </c>
    </row>
    <row r="110" customFormat="false" ht="15" hidden="false" customHeight="false" outlineLevel="0" collapsed="false">
      <c r="A110" s="74" t="n">
        <v>108</v>
      </c>
      <c r="B110" s="74" t="str">
        <f aca="false">IF(元データ_PB合計!$A$108="","",元データ_PB合計!$A$108)</f>
        <v/>
      </c>
      <c r="C110" s="74" t="str">
        <f aca="false">IF(LEFT(B110,1)="(",IFERROR(VALUE(MID(B110,2,FIND(")",B110)-2)),""),"")</f>
        <v/>
      </c>
      <c r="D110" s="75" t="str">
        <f aca="false">IF($C110="","",N(元データ_PB合計!$B$108))</f>
        <v/>
      </c>
      <c r="E110" s="75" t="str">
        <f aca="false">IF($C110="","",N(元データ_PB合計!$C$108))</f>
        <v/>
      </c>
      <c r="F110" s="75" t="str">
        <f aca="false">IF($C110="","",N(元データ_PB合計!$F$108))</f>
        <v/>
      </c>
      <c r="G110" s="74" t="str">
        <f aca="false">IF($C110="","",IF(COUNTIF(店舗マスタ!$B$5:$B$304,$C110)&gt;0,"登録済","未登録→マスタに追加"))</f>
        <v/>
      </c>
      <c r="I110" s="74" t="n">
        <v>108</v>
      </c>
      <c r="J110" s="74" t="str">
        <f aca="false">IF(元データ_P!$A$108="","",元データ_P!$A$108)</f>
        <v/>
      </c>
      <c r="K110" s="74" t="str">
        <f aca="false">IF(LEFT(J110,1)="(",IFERROR(VALUE(MID(J110,2,FIND(")",J110)-2)),""),"")</f>
        <v/>
      </c>
      <c r="L110" s="75" t="str">
        <f aca="false">IF($K110="","",N(元データ_P!$B$108))</f>
        <v/>
      </c>
      <c r="M110" s="75" t="str">
        <f aca="false">IF($K110="","",N(元データ_P!$F$108))</f>
        <v/>
      </c>
      <c r="N110" s="74" t="str">
        <f aca="false">IF($K110="","",IF(COUNTIF(店舗マスタ!$B$5:$B$304,$K110)&gt;0,"登録済","未登録→マスタに追加"))</f>
        <v/>
      </c>
      <c r="P110" s="74" t="n">
        <v>108</v>
      </c>
      <c r="Q110" s="74" t="str">
        <f aca="false">IF(元データ_B!$A$108="","",元データ_B!$A$108)</f>
        <v/>
      </c>
      <c r="R110" s="74" t="str">
        <f aca="false">IF(LEFT(Q110,1)="(",IFERROR(VALUE(MID(Q110,2,FIND(")",Q110)-2)),""),"")</f>
        <v/>
      </c>
      <c r="S110" s="75" t="str">
        <f aca="false">IF($R110="","",N(元データ_B!$B$108))</f>
        <v/>
      </c>
      <c r="T110" s="75" t="str">
        <f aca="false">IF($R110="","",N(元データ_B!$F$108))</f>
        <v/>
      </c>
      <c r="U110" s="74" t="str">
        <f aca="false">IF($R110="","",IF(COUNTIF(店舗マスタ!$B$5:$B$304,$R110)&gt;0,"登録済","未登録→マスタに追加"))</f>
        <v/>
      </c>
    </row>
    <row r="111" customFormat="false" ht="15" hidden="false" customHeight="false" outlineLevel="0" collapsed="false">
      <c r="A111" s="74" t="n">
        <v>109</v>
      </c>
      <c r="B111" s="74" t="str">
        <f aca="false">IF(元データ_PB合計!$A$109="","",元データ_PB合計!$A$109)</f>
        <v/>
      </c>
      <c r="C111" s="74" t="str">
        <f aca="false">IF(LEFT(B111,1)="(",IFERROR(VALUE(MID(B111,2,FIND(")",B111)-2)),""),"")</f>
        <v/>
      </c>
      <c r="D111" s="75" t="str">
        <f aca="false">IF($C111="","",N(元データ_PB合計!$B$109))</f>
        <v/>
      </c>
      <c r="E111" s="75" t="str">
        <f aca="false">IF($C111="","",N(元データ_PB合計!$C$109))</f>
        <v/>
      </c>
      <c r="F111" s="75" t="str">
        <f aca="false">IF($C111="","",N(元データ_PB合計!$F$109))</f>
        <v/>
      </c>
      <c r="G111" s="74" t="str">
        <f aca="false">IF($C111="","",IF(COUNTIF(店舗マスタ!$B$5:$B$304,$C111)&gt;0,"登録済","未登録→マスタに追加"))</f>
        <v/>
      </c>
      <c r="I111" s="74" t="n">
        <v>109</v>
      </c>
      <c r="J111" s="74" t="str">
        <f aca="false">IF(元データ_P!$A$109="","",元データ_P!$A$109)</f>
        <v/>
      </c>
      <c r="K111" s="74" t="str">
        <f aca="false">IF(LEFT(J111,1)="(",IFERROR(VALUE(MID(J111,2,FIND(")",J111)-2)),""),"")</f>
        <v/>
      </c>
      <c r="L111" s="75" t="str">
        <f aca="false">IF($K111="","",N(元データ_P!$B$109))</f>
        <v/>
      </c>
      <c r="M111" s="75" t="str">
        <f aca="false">IF($K111="","",N(元データ_P!$F$109))</f>
        <v/>
      </c>
      <c r="N111" s="74" t="str">
        <f aca="false">IF($K111="","",IF(COUNTIF(店舗マスタ!$B$5:$B$304,$K111)&gt;0,"登録済","未登録→マスタに追加"))</f>
        <v/>
      </c>
      <c r="P111" s="74" t="n">
        <v>109</v>
      </c>
      <c r="Q111" s="74" t="str">
        <f aca="false">IF(元データ_B!$A$109="","",元データ_B!$A$109)</f>
        <v/>
      </c>
      <c r="R111" s="74" t="str">
        <f aca="false">IF(LEFT(Q111,1)="(",IFERROR(VALUE(MID(Q111,2,FIND(")",Q111)-2)),""),"")</f>
        <v/>
      </c>
      <c r="S111" s="75" t="str">
        <f aca="false">IF($R111="","",N(元データ_B!$B$109))</f>
        <v/>
      </c>
      <c r="T111" s="75" t="str">
        <f aca="false">IF($R111="","",N(元データ_B!$F$109))</f>
        <v/>
      </c>
      <c r="U111" s="74" t="str">
        <f aca="false">IF($R111="","",IF(COUNTIF(店舗マスタ!$B$5:$B$304,$R111)&gt;0,"登録済","未登録→マスタに追加"))</f>
        <v/>
      </c>
    </row>
    <row r="112" customFormat="false" ht="15" hidden="false" customHeight="false" outlineLevel="0" collapsed="false">
      <c r="A112" s="74" t="n">
        <v>110</v>
      </c>
      <c r="B112" s="74" t="str">
        <f aca="false">IF(元データ_PB合計!$A$110="","",元データ_PB合計!$A$110)</f>
        <v/>
      </c>
      <c r="C112" s="74" t="str">
        <f aca="false">IF(LEFT(B112,1)="(",IFERROR(VALUE(MID(B112,2,FIND(")",B112)-2)),""),"")</f>
        <v/>
      </c>
      <c r="D112" s="75" t="str">
        <f aca="false">IF($C112="","",N(元データ_PB合計!$B$110))</f>
        <v/>
      </c>
      <c r="E112" s="75" t="str">
        <f aca="false">IF($C112="","",N(元データ_PB合計!$C$110))</f>
        <v/>
      </c>
      <c r="F112" s="75" t="str">
        <f aca="false">IF($C112="","",N(元データ_PB合計!$F$110))</f>
        <v/>
      </c>
      <c r="G112" s="74" t="str">
        <f aca="false">IF($C112="","",IF(COUNTIF(店舗マスタ!$B$5:$B$304,$C112)&gt;0,"登録済","未登録→マスタに追加"))</f>
        <v/>
      </c>
      <c r="I112" s="74" t="n">
        <v>110</v>
      </c>
      <c r="J112" s="74" t="str">
        <f aca="false">IF(元データ_P!$A$110="","",元データ_P!$A$110)</f>
        <v/>
      </c>
      <c r="K112" s="74" t="str">
        <f aca="false">IF(LEFT(J112,1)="(",IFERROR(VALUE(MID(J112,2,FIND(")",J112)-2)),""),"")</f>
        <v/>
      </c>
      <c r="L112" s="75" t="str">
        <f aca="false">IF($K112="","",N(元データ_P!$B$110))</f>
        <v/>
      </c>
      <c r="M112" s="75" t="str">
        <f aca="false">IF($K112="","",N(元データ_P!$F$110))</f>
        <v/>
      </c>
      <c r="N112" s="74" t="str">
        <f aca="false">IF($K112="","",IF(COUNTIF(店舗マスタ!$B$5:$B$304,$K112)&gt;0,"登録済","未登録→マスタに追加"))</f>
        <v/>
      </c>
      <c r="P112" s="74" t="n">
        <v>110</v>
      </c>
      <c r="Q112" s="74" t="str">
        <f aca="false">IF(元データ_B!$A$110="","",元データ_B!$A$110)</f>
        <v/>
      </c>
      <c r="R112" s="74" t="str">
        <f aca="false">IF(LEFT(Q112,1)="(",IFERROR(VALUE(MID(Q112,2,FIND(")",Q112)-2)),""),"")</f>
        <v/>
      </c>
      <c r="S112" s="75" t="str">
        <f aca="false">IF($R112="","",N(元データ_B!$B$110))</f>
        <v/>
      </c>
      <c r="T112" s="75" t="str">
        <f aca="false">IF($R112="","",N(元データ_B!$F$110))</f>
        <v/>
      </c>
      <c r="U112" s="74" t="str">
        <f aca="false">IF($R112="","",IF(COUNTIF(店舗マスタ!$B$5:$B$304,$R112)&gt;0,"登録済","未登録→マスタに追加"))</f>
        <v/>
      </c>
    </row>
    <row r="113" customFormat="false" ht="15" hidden="false" customHeight="false" outlineLevel="0" collapsed="false">
      <c r="A113" s="74" t="n">
        <v>111</v>
      </c>
      <c r="B113" s="74" t="str">
        <f aca="false">IF(元データ_PB合計!$A$111="","",元データ_PB合計!$A$111)</f>
        <v/>
      </c>
      <c r="C113" s="74" t="str">
        <f aca="false">IF(LEFT(B113,1)="(",IFERROR(VALUE(MID(B113,2,FIND(")",B113)-2)),""),"")</f>
        <v/>
      </c>
      <c r="D113" s="75" t="str">
        <f aca="false">IF($C113="","",N(元データ_PB合計!$B$111))</f>
        <v/>
      </c>
      <c r="E113" s="75" t="str">
        <f aca="false">IF($C113="","",N(元データ_PB合計!$C$111))</f>
        <v/>
      </c>
      <c r="F113" s="75" t="str">
        <f aca="false">IF($C113="","",N(元データ_PB合計!$F$111))</f>
        <v/>
      </c>
      <c r="G113" s="74" t="str">
        <f aca="false">IF($C113="","",IF(COUNTIF(店舗マスタ!$B$5:$B$304,$C113)&gt;0,"登録済","未登録→マスタに追加"))</f>
        <v/>
      </c>
      <c r="I113" s="74" t="n">
        <v>111</v>
      </c>
      <c r="J113" s="74" t="str">
        <f aca="false">IF(元データ_P!$A$111="","",元データ_P!$A$111)</f>
        <v/>
      </c>
      <c r="K113" s="74" t="str">
        <f aca="false">IF(LEFT(J113,1)="(",IFERROR(VALUE(MID(J113,2,FIND(")",J113)-2)),""),"")</f>
        <v/>
      </c>
      <c r="L113" s="75" t="str">
        <f aca="false">IF($K113="","",N(元データ_P!$B$111))</f>
        <v/>
      </c>
      <c r="M113" s="75" t="str">
        <f aca="false">IF($K113="","",N(元データ_P!$F$111))</f>
        <v/>
      </c>
      <c r="N113" s="74" t="str">
        <f aca="false">IF($K113="","",IF(COUNTIF(店舗マスタ!$B$5:$B$304,$K113)&gt;0,"登録済","未登録→マスタに追加"))</f>
        <v/>
      </c>
      <c r="P113" s="74" t="n">
        <v>111</v>
      </c>
      <c r="Q113" s="74" t="str">
        <f aca="false">IF(元データ_B!$A$111="","",元データ_B!$A$111)</f>
        <v/>
      </c>
      <c r="R113" s="74" t="str">
        <f aca="false">IF(LEFT(Q113,1)="(",IFERROR(VALUE(MID(Q113,2,FIND(")",Q113)-2)),""),"")</f>
        <v/>
      </c>
      <c r="S113" s="75" t="str">
        <f aca="false">IF($R113="","",N(元データ_B!$B$111))</f>
        <v/>
      </c>
      <c r="T113" s="75" t="str">
        <f aca="false">IF($R113="","",N(元データ_B!$F$111))</f>
        <v/>
      </c>
      <c r="U113" s="74" t="str">
        <f aca="false">IF($R113="","",IF(COUNTIF(店舗マスタ!$B$5:$B$304,$R113)&gt;0,"登録済","未登録→マスタに追加"))</f>
        <v/>
      </c>
    </row>
    <row r="114" customFormat="false" ht="15" hidden="false" customHeight="false" outlineLevel="0" collapsed="false">
      <c r="A114" s="74" t="n">
        <v>112</v>
      </c>
      <c r="B114" s="74" t="str">
        <f aca="false">IF(元データ_PB合計!$A$112="","",元データ_PB合計!$A$112)</f>
        <v/>
      </c>
      <c r="C114" s="74" t="str">
        <f aca="false">IF(LEFT(B114,1)="(",IFERROR(VALUE(MID(B114,2,FIND(")",B114)-2)),""),"")</f>
        <v/>
      </c>
      <c r="D114" s="75" t="str">
        <f aca="false">IF($C114="","",N(元データ_PB合計!$B$112))</f>
        <v/>
      </c>
      <c r="E114" s="75" t="str">
        <f aca="false">IF($C114="","",N(元データ_PB合計!$C$112))</f>
        <v/>
      </c>
      <c r="F114" s="75" t="str">
        <f aca="false">IF($C114="","",N(元データ_PB合計!$F$112))</f>
        <v/>
      </c>
      <c r="G114" s="74" t="str">
        <f aca="false">IF($C114="","",IF(COUNTIF(店舗マスタ!$B$5:$B$304,$C114)&gt;0,"登録済","未登録→マスタに追加"))</f>
        <v/>
      </c>
      <c r="I114" s="74" t="n">
        <v>112</v>
      </c>
      <c r="J114" s="74" t="str">
        <f aca="false">IF(元データ_P!$A$112="","",元データ_P!$A$112)</f>
        <v/>
      </c>
      <c r="K114" s="74" t="str">
        <f aca="false">IF(LEFT(J114,1)="(",IFERROR(VALUE(MID(J114,2,FIND(")",J114)-2)),""),"")</f>
        <v/>
      </c>
      <c r="L114" s="75" t="str">
        <f aca="false">IF($K114="","",N(元データ_P!$B$112))</f>
        <v/>
      </c>
      <c r="M114" s="75" t="str">
        <f aca="false">IF($K114="","",N(元データ_P!$F$112))</f>
        <v/>
      </c>
      <c r="N114" s="74" t="str">
        <f aca="false">IF($K114="","",IF(COUNTIF(店舗マスタ!$B$5:$B$304,$K114)&gt;0,"登録済","未登録→マスタに追加"))</f>
        <v/>
      </c>
      <c r="P114" s="74" t="n">
        <v>112</v>
      </c>
      <c r="Q114" s="74" t="str">
        <f aca="false">IF(元データ_B!$A$112="","",元データ_B!$A$112)</f>
        <v/>
      </c>
      <c r="R114" s="74" t="str">
        <f aca="false">IF(LEFT(Q114,1)="(",IFERROR(VALUE(MID(Q114,2,FIND(")",Q114)-2)),""),"")</f>
        <v/>
      </c>
      <c r="S114" s="75" t="str">
        <f aca="false">IF($R114="","",N(元データ_B!$B$112))</f>
        <v/>
      </c>
      <c r="T114" s="75" t="str">
        <f aca="false">IF($R114="","",N(元データ_B!$F$112))</f>
        <v/>
      </c>
      <c r="U114" s="74" t="str">
        <f aca="false">IF($R114="","",IF(COUNTIF(店舗マスタ!$B$5:$B$304,$R114)&gt;0,"登録済","未登録→マスタに追加"))</f>
        <v/>
      </c>
    </row>
    <row r="115" customFormat="false" ht="15" hidden="false" customHeight="false" outlineLevel="0" collapsed="false">
      <c r="A115" s="74" t="n">
        <v>113</v>
      </c>
      <c r="B115" s="74" t="str">
        <f aca="false">IF(元データ_PB合計!$A$113="","",元データ_PB合計!$A$113)</f>
        <v/>
      </c>
      <c r="C115" s="74" t="str">
        <f aca="false">IF(LEFT(B115,1)="(",IFERROR(VALUE(MID(B115,2,FIND(")",B115)-2)),""),"")</f>
        <v/>
      </c>
      <c r="D115" s="75" t="str">
        <f aca="false">IF($C115="","",N(元データ_PB合計!$B$113))</f>
        <v/>
      </c>
      <c r="E115" s="75" t="str">
        <f aca="false">IF($C115="","",N(元データ_PB合計!$C$113))</f>
        <v/>
      </c>
      <c r="F115" s="75" t="str">
        <f aca="false">IF($C115="","",N(元データ_PB合計!$F$113))</f>
        <v/>
      </c>
      <c r="G115" s="74" t="str">
        <f aca="false">IF($C115="","",IF(COUNTIF(店舗マスタ!$B$5:$B$304,$C115)&gt;0,"登録済","未登録→マスタに追加"))</f>
        <v/>
      </c>
      <c r="I115" s="74" t="n">
        <v>113</v>
      </c>
      <c r="J115" s="74" t="str">
        <f aca="false">IF(元データ_P!$A$113="","",元データ_P!$A$113)</f>
        <v/>
      </c>
      <c r="K115" s="74" t="str">
        <f aca="false">IF(LEFT(J115,1)="(",IFERROR(VALUE(MID(J115,2,FIND(")",J115)-2)),""),"")</f>
        <v/>
      </c>
      <c r="L115" s="75" t="str">
        <f aca="false">IF($K115="","",N(元データ_P!$B$113))</f>
        <v/>
      </c>
      <c r="M115" s="75" t="str">
        <f aca="false">IF($K115="","",N(元データ_P!$F$113))</f>
        <v/>
      </c>
      <c r="N115" s="74" t="str">
        <f aca="false">IF($K115="","",IF(COUNTIF(店舗マスタ!$B$5:$B$304,$K115)&gt;0,"登録済","未登録→マスタに追加"))</f>
        <v/>
      </c>
      <c r="P115" s="74" t="n">
        <v>113</v>
      </c>
      <c r="Q115" s="74" t="str">
        <f aca="false">IF(元データ_B!$A$113="","",元データ_B!$A$113)</f>
        <v/>
      </c>
      <c r="R115" s="74" t="str">
        <f aca="false">IF(LEFT(Q115,1)="(",IFERROR(VALUE(MID(Q115,2,FIND(")",Q115)-2)),""),"")</f>
        <v/>
      </c>
      <c r="S115" s="75" t="str">
        <f aca="false">IF($R115="","",N(元データ_B!$B$113))</f>
        <v/>
      </c>
      <c r="T115" s="75" t="str">
        <f aca="false">IF($R115="","",N(元データ_B!$F$113))</f>
        <v/>
      </c>
      <c r="U115" s="74" t="str">
        <f aca="false">IF($R115="","",IF(COUNTIF(店舗マスタ!$B$5:$B$304,$R115)&gt;0,"登録済","未登録→マスタに追加"))</f>
        <v/>
      </c>
    </row>
    <row r="116" customFormat="false" ht="15" hidden="false" customHeight="false" outlineLevel="0" collapsed="false">
      <c r="A116" s="74" t="n">
        <v>114</v>
      </c>
      <c r="B116" s="74" t="str">
        <f aca="false">IF(元データ_PB合計!$A$114="","",元データ_PB合計!$A$114)</f>
        <v/>
      </c>
      <c r="C116" s="74" t="str">
        <f aca="false">IF(LEFT(B116,1)="(",IFERROR(VALUE(MID(B116,2,FIND(")",B116)-2)),""),"")</f>
        <v/>
      </c>
      <c r="D116" s="75" t="str">
        <f aca="false">IF($C116="","",N(元データ_PB合計!$B$114))</f>
        <v/>
      </c>
      <c r="E116" s="75" t="str">
        <f aca="false">IF($C116="","",N(元データ_PB合計!$C$114))</f>
        <v/>
      </c>
      <c r="F116" s="75" t="str">
        <f aca="false">IF($C116="","",N(元データ_PB合計!$F$114))</f>
        <v/>
      </c>
      <c r="G116" s="74" t="str">
        <f aca="false">IF($C116="","",IF(COUNTIF(店舗マスタ!$B$5:$B$304,$C116)&gt;0,"登録済","未登録→マスタに追加"))</f>
        <v/>
      </c>
      <c r="I116" s="74" t="n">
        <v>114</v>
      </c>
      <c r="J116" s="74" t="str">
        <f aca="false">IF(元データ_P!$A$114="","",元データ_P!$A$114)</f>
        <v/>
      </c>
      <c r="K116" s="74" t="str">
        <f aca="false">IF(LEFT(J116,1)="(",IFERROR(VALUE(MID(J116,2,FIND(")",J116)-2)),""),"")</f>
        <v/>
      </c>
      <c r="L116" s="75" t="str">
        <f aca="false">IF($K116="","",N(元データ_P!$B$114))</f>
        <v/>
      </c>
      <c r="M116" s="75" t="str">
        <f aca="false">IF($K116="","",N(元データ_P!$F$114))</f>
        <v/>
      </c>
      <c r="N116" s="74" t="str">
        <f aca="false">IF($K116="","",IF(COUNTIF(店舗マスタ!$B$5:$B$304,$K116)&gt;0,"登録済","未登録→マスタに追加"))</f>
        <v/>
      </c>
      <c r="P116" s="74" t="n">
        <v>114</v>
      </c>
      <c r="Q116" s="74" t="str">
        <f aca="false">IF(元データ_B!$A$114="","",元データ_B!$A$114)</f>
        <v/>
      </c>
      <c r="R116" s="74" t="str">
        <f aca="false">IF(LEFT(Q116,1)="(",IFERROR(VALUE(MID(Q116,2,FIND(")",Q116)-2)),""),"")</f>
        <v/>
      </c>
      <c r="S116" s="75" t="str">
        <f aca="false">IF($R116="","",N(元データ_B!$B$114))</f>
        <v/>
      </c>
      <c r="T116" s="75" t="str">
        <f aca="false">IF($R116="","",N(元データ_B!$F$114))</f>
        <v/>
      </c>
      <c r="U116" s="74" t="str">
        <f aca="false">IF($R116="","",IF(COUNTIF(店舗マスタ!$B$5:$B$304,$R116)&gt;0,"登録済","未登録→マスタに追加"))</f>
        <v/>
      </c>
    </row>
    <row r="117" customFormat="false" ht="15" hidden="false" customHeight="false" outlineLevel="0" collapsed="false">
      <c r="A117" s="74" t="n">
        <v>115</v>
      </c>
      <c r="B117" s="74" t="str">
        <f aca="false">IF(元データ_PB合計!$A$115="","",元データ_PB合計!$A$115)</f>
        <v/>
      </c>
      <c r="C117" s="74" t="str">
        <f aca="false">IF(LEFT(B117,1)="(",IFERROR(VALUE(MID(B117,2,FIND(")",B117)-2)),""),"")</f>
        <v/>
      </c>
      <c r="D117" s="75" t="str">
        <f aca="false">IF($C117="","",N(元データ_PB合計!$B$115))</f>
        <v/>
      </c>
      <c r="E117" s="75" t="str">
        <f aca="false">IF($C117="","",N(元データ_PB合計!$C$115))</f>
        <v/>
      </c>
      <c r="F117" s="75" t="str">
        <f aca="false">IF($C117="","",N(元データ_PB合計!$F$115))</f>
        <v/>
      </c>
      <c r="G117" s="74" t="str">
        <f aca="false">IF($C117="","",IF(COUNTIF(店舗マスタ!$B$5:$B$304,$C117)&gt;0,"登録済","未登録→マスタに追加"))</f>
        <v/>
      </c>
      <c r="I117" s="74" t="n">
        <v>115</v>
      </c>
      <c r="J117" s="74" t="str">
        <f aca="false">IF(元データ_P!$A$115="","",元データ_P!$A$115)</f>
        <v/>
      </c>
      <c r="K117" s="74" t="str">
        <f aca="false">IF(LEFT(J117,1)="(",IFERROR(VALUE(MID(J117,2,FIND(")",J117)-2)),""),"")</f>
        <v/>
      </c>
      <c r="L117" s="75" t="str">
        <f aca="false">IF($K117="","",N(元データ_P!$B$115))</f>
        <v/>
      </c>
      <c r="M117" s="75" t="str">
        <f aca="false">IF($K117="","",N(元データ_P!$F$115))</f>
        <v/>
      </c>
      <c r="N117" s="74" t="str">
        <f aca="false">IF($K117="","",IF(COUNTIF(店舗マスタ!$B$5:$B$304,$K117)&gt;0,"登録済","未登録→マスタに追加"))</f>
        <v/>
      </c>
      <c r="P117" s="74" t="n">
        <v>115</v>
      </c>
      <c r="Q117" s="74" t="str">
        <f aca="false">IF(元データ_B!$A$115="","",元データ_B!$A$115)</f>
        <v/>
      </c>
      <c r="R117" s="74" t="str">
        <f aca="false">IF(LEFT(Q117,1)="(",IFERROR(VALUE(MID(Q117,2,FIND(")",Q117)-2)),""),"")</f>
        <v/>
      </c>
      <c r="S117" s="75" t="str">
        <f aca="false">IF($R117="","",N(元データ_B!$B$115))</f>
        <v/>
      </c>
      <c r="T117" s="75" t="str">
        <f aca="false">IF($R117="","",N(元データ_B!$F$115))</f>
        <v/>
      </c>
      <c r="U117" s="74" t="str">
        <f aca="false">IF($R117="","",IF(COUNTIF(店舗マスタ!$B$5:$B$304,$R117)&gt;0,"登録済","未登録→マスタに追加"))</f>
        <v/>
      </c>
    </row>
    <row r="118" customFormat="false" ht="15" hidden="false" customHeight="false" outlineLevel="0" collapsed="false">
      <c r="A118" s="74" t="n">
        <v>116</v>
      </c>
      <c r="B118" s="74" t="str">
        <f aca="false">IF(元データ_PB合計!$A$116="","",元データ_PB合計!$A$116)</f>
        <v/>
      </c>
      <c r="C118" s="74" t="str">
        <f aca="false">IF(LEFT(B118,1)="(",IFERROR(VALUE(MID(B118,2,FIND(")",B118)-2)),""),"")</f>
        <v/>
      </c>
      <c r="D118" s="75" t="str">
        <f aca="false">IF($C118="","",N(元データ_PB合計!$B$116))</f>
        <v/>
      </c>
      <c r="E118" s="75" t="str">
        <f aca="false">IF($C118="","",N(元データ_PB合計!$C$116))</f>
        <v/>
      </c>
      <c r="F118" s="75" t="str">
        <f aca="false">IF($C118="","",N(元データ_PB合計!$F$116))</f>
        <v/>
      </c>
      <c r="G118" s="74" t="str">
        <f aca="false">IF($C118="","",IF(COUNTIF(店舗マスタ!$B$5:$B$304,$C118)&gt;0,"登録済","未登録→マスタに追加"))</f>
        <v/>
      </c>
      <c r="I118" s="74" t="n">
        <v>116</v>
      </c>
      <c r="J118" s="74" t="str">
        <f aca="false">IF(元データ_P!$A$116="","",元データ_P!$A$116)</f>
        <v/>
      </c>
      <c r="K118" s="74" t="str">
        <f aca="false">IF(LEFT(J118,1)="(",IFERROR(VALUE(MID(J118,2,FIND(")",J118)-2)),""),"")</f>
        <v/>
      </c>
      <c r="L118" s="75" t="str">
        <f aca="false">IF($K118="","",N(元データ_P!$B$116))</f>
        <v/>
      </c>
      <c r="M118" s="75" t="str">
        <f aca="false">IF($K118="","",N(元データ_P!$F$116))</f>
        <v/>
      </c>
      <c r="N118" s="74" t="str">
        <f aca="false">IF($K118="","",IF(COUNTIF(店舗マスタ!$B$5:$B$304,$K118)&gt;0,"登録済","未登録→マスタに追加"))</f>
        <v/>
      </c>
      <c r="P118" s="74" t="n">
        <v>116</v>
      </c>
      <c r="Q118" s="74" t="str">
        <f aca="false">IF(元データ_B!$A$116="","",元データ_B!$A$116)</f>
        <v/>
      </c>
      <c r="R118" s="74" t="str">
        <f aca="false">IF(LEFT(Q118,1)="(",IFERROR(VALUE(MID(Q118,2,FIND(")",Q118)-2)),""),"")</f>
        <v/>
      </c>
      <c r="S118" s="75" t="str">
        <f aca="false">IF($R118="","",N(元データ_B!$B$116))</f>
        <v/>
      </c>
      <c r="T118" s="75" t="str">
        <f aca="false">IF($R118="","",N(元データ_B!$F$116))</f>
        <v/>
      </c>
      <c r="U118" s="74" t="str">
        <f aca="false">IF($R118="","",IF(COUNTIF(店舗マスタ!$B$5:$B$304,$R118)&gt;0,"登録済","未登録→マスタに追加"))</f>
        <v/>
      </c>
    </row>
    <row r="119" customFormat="false" ht="15" hidden="false" customHeight="false" outlineLevel="0" collapsed="false">
      <c r="A119" s="74" t="n">
        <v>117</v>
      </c>
      <c r="B119" s="74" t="str">
        <f aca="false">IF(元データ_PB合計!$A$117="","",元データ_PB合計!$A$117)</f>
        <v/>
      </c>
      <c r="C119" s="74" t="str">
        <f aca="false">IF(LEFT(B119,1)="(",IFERROR(VALUE(MID(B119,2,FIND(")",B119)-2)),""),"")</f>
        <v/>
      </c>
      <c r="D119" s="75" t="str">
        <f aca="false">IF($C119="","",N(元データ_PB合計!$B$117))</f>
        <v/>
      </c>
      <c r="E119" s="75" t="str">
        <f aca="false">IF($C119="","",N(元データ_PB合計!$C$117))</f>
        <v/>
      </c>
      <c r="F119" s="75" t="str">
        <f aca="false">IF($C119="","",N(元データ_PB合計!$F$117))</f>
        <v/>
      </c>
      <c r="G119" s="74" t="str">
        <f aca="false">IF($C119="","",IF(COUNTIF(店舗マスタ!$B$5:$B$304,$C119)&gt;0,"登録済","未登録→マスタに追加"))</f>
        <v/>
      </c>
      <c r="I119" s="74" t="n">
        <v>117</v>
      </c>
      <c r="J119" s="74" t="str">
        <f aca="false">IF(元データ_P!$A$117="","",元データ_P!$A$117)</f>
        <v/>
      </c>
      <c r="K119" s="74" t="str">
        <f aca="false">IF(LEFT(J119,1)="(",IFERROR(VALUE(MID(J119,2,FIND(")",J119)-2)),""),"")</f>
        <v/>
      </c>
      <c r="L119" s="75" t="str">
        <f aca="false">IF($K119="","",N(元データ_P!$B$117))</f>
        <v/>
      </c>
      <c r="M119" s="75" t="str">
        <f aca="false">IF($K119="","",N(元データ_P!$F$117))</f>
        <v/>
      </c>
      <c r="N119" s="74" t="str">
        <f aca="false">IF($K119="","",IF(COUNTIF(店舗マスタ!$B$5:$B$304,$K119)&gt;0,"登録済","未登録→マスタに追加"))</f>
        <v/>
      </c>
      <c r="P119" s="74" t="n">
        <v>117</v>
      </c>
      <c r="Q119" s="74" t="str">
        <f aca="false">IF(元データ_B!$A$117="","",元データ_B!$A$117)</f>
        <v/>
      </c>
      <c r="R119" s="74" t="str">
        <f aca="false">IF(LEFT(Q119,1)="(",IFERROR(VALUE(MID(Q119,2,FIND(")",Q119)-2)),""),"")</f>
        <v/>
      </c>
      <c r="S119" s="75" t="str">
        <f aca="false">IF($R119="","",N(元データ_B!$B$117))</f>
        <v/>
      </c>
      <c r="T119" s="75" t="str">
        <f aca="false">IF($R119="","",N(元データ_B!$F$117))</f>
        <v/>
      </c>
      <c r="U119" s="74" t="str">
        <f aca="false">IF($R119="","",IF(COUNTIF(店舗マスタ!$B$5:$B$304,$R119)&gt;0,"登録済","未登録→マスタに追加"))</f>
        <v/>
      </c>
    </row>
    <row r="120" customFormat="false" ht="15" hidden="false" customHeight="false" outlineLevel="0" collapsed="false">
      <c r="A120" s="74" t="n">
        <v>118</v>
      </c>
      <c r="B120" s="74" t="str">
        <f aca="false">IF(元データ_PB合計!$A$118="","",元データ_PB合計!$A$118)</f>
        <v/>
      </c>
      <c r="C120" s="74" t="str">
        <f aca="false">IF(LEFT(B120,1)="(",IFERROR(VALUE(MID(B120,2,FIND(")",B120)-2)),""),"")</f>
        <v/>
      </c>
      <c r="D120" s="75" t="str">
        <f aca="false">IF($C120="","",N(元データ_PB合計!$B$118))</f>
        <v/>
      </c>
      <c r="E120" s="75" t="str">
        <f aca="false">IF($C120="","",N(元データ_PB合計!$C$118))</f>
        <v/>
      </c>
      <c r="F120" s="75" t="str">
        <f aca="false">IF($C120="","",N(元データ_PB合計!$F$118))</f>
        <v/>
      </c>
      <c r="G120" s="74" t="str">
        <f aca="false">IF($C120="","",IF(COUNTIF(店舗マスタ!$B$5:$B$304,$C120)&gt;0,"登録済","未登録→マスタに追加"))</f>
        <v/>
      </c>
      <c r="I120" s="74" t="n">
        <v>118</v>
      </c>
      <c r="J120" s="74" t="str">
        <f aca="false">IF(元データ_P!$A$118="","",元データ_P!$A$118)</f>
        <v/>
      </c>
      <c r="K120" s="74" t="str">
        <f aca="false">IF(LEFT(J120,1)="(",IFERROR(VALUE(MID(J120,2,FIND(")",J120)-2)),""),"")</f>
        <v/>
      </c>
      <c r="L120" s="75" t="str">
        <f aca="false">IF($K120="","",N(元データ_P!$B$118))</f>
        <v/>
      </c>
      <c r="M120" s="75" t="str">
        <f aca="false">IF($K120="","",N(元データ_P!$F$118))</f>
        <v/>
      </c>
      <c r="N120" s="74" t="str">
        <f aca="false">IF($K120="","",IF(COUNTIF(店舗マスタ!$B$5:$B$304,$K120)&gt;0,"登録済","未登録→マスタに追加"))</f>
        <v/>
      </c>
      <c r="P120" s="74" t="n">
        <v>118</v>
      </c>
      <c r="Q120" s="74" t="str">
        <f aca="false">IF(元データ_B!$A$118="","",元データ_B!$A$118)</f>
        <v/>
      </c>
      <c r="R120" s="74" t="str">
        <f aca="false">IF(LEFT(Q120,1)="(",IFERROR(VALUE(MID(Q120,2,FIND(")",Q120)-2)),""),"")</f>
        <v/>
      </c>
      <c r="S120" s="75" t="str">
        <f aca="false">IF($R120="","",N(元データ_B!$B$118))</f>
        <v/>
      </c>
      <c r="T120" s="75" t="str">
        <f aca="false">IF($R120="","",N(元データ_B!$F$118))</f>
        <v/>
      </c>
      <c r="U120" s="74" t="str">
        <f aca="false">IF($R120="","",IF(COUNTIF(店舗マスタ!$B$5:$B$304,$R120)&gt;0,"登録済","未登録→マスタに追加"))</f>
        <v/>
      </c>
    </row>
    <row r="121" customFormat="false" ht="15" hidden="false" customHeight="false" outlineLevel="0" collapsed="false">
      <c r="A121" s="74" t="n">
        <v>119</v>
      </c>
      <c r="B121" s="74" t="str">
        <f aca="false">IF(元データ_PB合計!$A$119="","",元データ_PB合計!$A$119)</f>
        <v/>
      </c>
      <c r="C121" s="74" t="str">
        <f aca="false">IF(LEFT(B121,1)="(",IFERROR(VALUE(MID(B121,2,FIND(")",B121)-2)),""),"")</f>
        <v/>
      </c>
      <c r="D121" s="75" t="str">
        <f aca="false">IF($C121="","",N(元データ_PB合計!$B$119))</f>
        <v/>
      </c>
      <c r="E121" s="75" t="str">
        <f aca="false">IF($C121="","",N(元データ_PB合計!$C$119))</f>
        <v/>
      </c>
      <c r="F121" s="75" t="str">
        <f aca="false">IF($C121="","",N(元データ_PB合計!$F$119))</f>
        <v/>
      </c>
      <c r="G121" s="74" t="str">
        <f aca="false">IF($C121="","",IF(COUNTIF(店舗マスタ!$B$5:$B$304,$C121)&gt;0,"登録済","未登録→マスタに追加"))</f>
        <v/>
      </c>
      <c r="I121" s="74" t="n">
        <v>119</v>
      </c>
      <c r="J121" s="74" t="str">
        <f aca="false">IF(元データ_P!$A$119="","",元データ_P!$A$119)</f>
        <v/>
      </c>
      <c r="K121" s="74" t="str">
        <f aca="false">IF(LEFT(J121,1)="(",IFERROR(VALUE(MID(J121,2,FIND(")",J121)-2)),""),"")</f>
        <v/>
      </c>
      <c r="L121" s="75" t="str">
        <f aca="false">IF($K121="","",N(元データ_P!$B$119))</f>
        <v/>
      </c>
      <c r="M121" s="75" t="str">
        <f aca="false">IF($K121="","",N(元データ_P!$F$119))</f>
        <v/>
      </c>
      <c r="N121" s="74" t="str">
        <f aca="false">IF($K121="","",IF(COUNTIF(店舗マスタ!$B$5:$B$304,$K121)&gt;0,"登録済","未登録→マスタに追加"))</f>
        <v/>
      </c>
      <c r="P121" s="74" t="n">
        <v>119</v>
      </c>
      <c r="Q121" s="74" t="str">
        <f aca="false">IF(元データ_B!$A$119="","",元データ_B!$A$119)</f>
        <v/>
      </c>
      <c r="R121" s="74" t="str">
        <f aca="false">IF(LEFT(Q121,1)="(",IFERROR(VALUE(MID(Q121,2,FIND(")",Q121)-2)),""),"")</f>
        <v/>
      </c>
      <c r="S121" s="75" t="str">
        <f aca="false">IF($R121="","",N(元データ_B!$B$119))</f>
        <v/>
      </c>
      <c r="T121" s="75" t="str">
        <f aca="false">IF($R121="","",N(元データ_B!$F$119))</f>
        <v/>
      </c>
      <c r="U121" s="74" t="str">
        <f aca="false">IF($R121="","",IF(COUNTIF(店舗マスタ!$B$5:$B$304,$R121)&gt;0,"登録済","未登録→マスタに追加"))</f>
        <v/>
      </c>
    </row>
    <row r="122" customFormat="false" ht="15" hidden="false" customHeight="false" outlineLevel="0" collapsed="false">
      <c r="A122" s="74" t="n">
        <v>120</v>
      </c>
      <c r="B122" s="74" t="str">
        <f aca="false">IF(元データ_PB合計!$A$120="","",元データ_PB合計!$A$120)</f>
        <v/>
      </c>
      <c r="C122" s="74" t="str">
        <f aca="false">IF(LEFT(B122,1)="(",IFERROR(VALUE(MID(B122,2,FIND(")",B122)-2)),""),"")</f>
        <v/>
      </c>
      <c r="D122" s="75" t="str">
        <f aca="false">IF($C122="","",N(元データ_PB合計!$B$120))</f>
        <v/>
      </c>
      <c r="E122" s="75" t="str">
        <f aca="false">IF($C122="","",N(元データ_PB合計!$C$120))</f>
        <v/>
      </c>
      <c r="F122" s="75" t="str">
        <f aca="false">IF($C122="","",N(元データ_PB合計!$F$120))</f>
        <v/>
      </c>
      <c r="G122" s="74" t="str">
        <f aca="false">IF($C122="","",IF(COUNTIF(店舗マスタ!$B$5:$B$304,$C122)&gt;0,"登録済","未登録→マスタに追加"))</f>
        <v/>
      </c>
      <c r="I122" s="74" t="n">
        <v>120</v>
      </c>
      <c r="J122" s="74" t="str">
        <f aca="false">IF(元データ_P!$A$120="","",元データ_P!$A$120)</f>
        <v/>
      </c>
      <c r="K122" s="74" t="str">
        <f aca="false">IF(LEFT(J122,1)="(",IFERROR(VALUE(MID(J122,2,FIND(")",J122)-2)),""),"")</f>
        <v/>
      </c>
      <c r="L122" s="75" t="str">
        <f aca="false">IF($K122="","",N(元データ_P!$B$120))</f>
        <v/>
      </c>
      <c r="M122" s="75" t="str">
        <f aca="false">IF($K122="","",N(元データ_P!$F$120))</f>
        <v/>
      </c>
      <c r="N122" s="74" t="str">
        <f aca="false">IF($K122="","",IF(COUNTIF(店舗マスタ!$B$5:$B$304,$K122)&gt;0,"登録済","未登録→マスタに追加"))</f>
        <v/>
      </c>
      <c r="P122" s="74" t="n">
        <v>120</v>
      </c>
      <c r="Q122" s="74" t="str">
        <f aca="false">IF(元データ_B!$A$120="","",元データ_B!$A$120)</f>
        <v/>
      </c>
      <c r="R122" s="74" t="str">
        <f aca="false">IF(LEFT(Q122,1)="(",IFERROR(VALUE(MID(Q122,2,FIND(")",Q122)-2)),""),"")</f>
        <v/>
      </c>
      <c r="S122" s="75" t="str">
        <f aca="false">IF($R122="","",N(元データ_B!$B$120))</f>
        <v/>
      </c>
      <c r="T122" s="75" t="str">
        <f aca="false">IF($R122="","",N(元データ_B!$F$120))</f>
        <v/>
      </c>
      <c r="U122" s="74" t="str">
        <f aca="false">IF($R122="","",IF(COUNTIF(店舗マスタ!$B$5:$B$304,$R122)&gt;0,"登録済","未登録→マスタに追加"))</f>
        <v/>
      </c>
    </row>
    <row r="123" customFormat="false" ht="15" hidden="false" customHeight="false" outlineLevel="0" collapsed="false">
      <c r="A123" s="74" t="n">
        <v>121</v>
      </c>
      <c r="B123" s="74" t="str">
        <f aca="false">IF(元データ_PB合計!$A$121="","",元データ_PB合計!$A$121)</f>
        <v/>
      </c>
      <c r="C123" s="74" t="str">
        <f aca="false">IF(LEFT(B123,1)="(",IFERROR(VALUE(MID(B123,2,FIND(")",B123)-2)),""),"")</f>
        <v/>
      </c>
      <c r="D123" s="75" t="str">
        <f aca="false">IF($C123="","",N(元データ_PB合計!$B$121))</f>
        <v/>
      </c>
      <c r="E123" s="75" t="str">
        <f aca="false">IF($C123="","",N(元データ_PB合計!$C$121))</f>
        <v/>
      </c>
      <c r="F123" s="75" t="str">
        <f aca="false">IF($C123="","",N(元データ_PB合計!$F$121))</f>
        <v/>
      </c>
      <c r="G123" s="74" t="str">
        <f aca="false">IF($C123="","",IF(COUNTIF(店舗マスタ!$B$5:$B$304,$C123)&gt;0,"登録済","未登録→マスタに追加"))</f>
        <v/>
      </c>
      <c r="I123" s="74" t="n">
        <v>121</v>
      </c>
      <c r="J123" s="74" t="str">
        <f aca="false">IF(元データ_P!$A$121="","",元データ_P!$A$121)</f>
        <v/>
      </c>
      <c r="K123" s="74" t="str">
        <f aca="false">IF(LEFT(J123,1)="(",IFERROR(VALUE(MID(J123,2,FIND(")",J123)-2)),""),"")</f>
        <v/>
      </c>
      <c r="L123" s="75" t="str">
        <f aca="false">IF($K123="","",N(元データ_P!$B$121))</f>
        <v/>
      </c>
      <c r="M123" s="75" t="str">
        <f aca="false">IF($K123="","",N(元データ_P!$F$121))</f>
        <v/>
      </c>
      <c r="N123" s="74" t="str">
        <f aca="false">IF($K123="","",IF(COUNTIF(店舗マスタ!$B$5:$B$304,$K123)&gt;0,"登録済","未登録→マスタに追加"))</f>
        <v/>
      </c>
      <c r="P123" s="74" t="n">
        <v>121</v>
      </c>
      <c r="Q123" s="74" t="str">
        <f aca="false">IF(元データ_B!$A$121="","",元データ_B!$A$121)</f>
        <v/>
      </c>
      <c r="R123" s="74" t="str">
        <f aca="false">IF(LEFT(Q123,1)="(",IFERROR(VALUE(MID(Q123,2,FIND(")",Q123)-2)),""),"")</f>
        <v/>
      </c>
      <c r="S123" s="75" t="str">
        <f aca="false">IF($R123="","",N(元データ_B!$B$121))</f>
        <v/>
      </c>
      <c r="T123" s="75" t="str">
        <f aca="false">IF($R123="","",N(元データ_B!$F$121))</f>
        <v/>
      </c>
      <c r="U123" s="74" t="str">
        <f aca="false">IF($R123="","",IF(COUNTIF(店舗マスタ!$B$5:$B$304,$R123)&gt;0,"登録済","未登録→マスタに追加"))</f>
        <v/>
      </c>
    </row>
    <row r="124" customFormat="false" ht="15" hidden="false" customHeight="false" outlineLevel="0" collapsed="false">
      <c r="A124" s="74" t="n">
        <v>122</v>
      </c>
      <c r="B124" s="74" t="str">
        <f aca="false">IF(元データ_PB合計!$A$122="","",元データ_PB合計!$A$122)</f>
        <v/>
      </c>
      <c r="C124" s="74" t="str">
        <f aca="false">IF(LEFT(B124,1)="(",IFERROR(VALUE(MID(B124,2,FIND(")",B124)-2)),""),"")</f>
        <v/>
      </c>
      <c r="D124" s="75" t="str">
        <f aca="false">IF($C124="","",N(元データ_PB合計!$B$122))</f>
        <v/>
      </c>
      <c r="E124" s="75" t="str">
        <f aca="false">IF($C124="","",N(元データ_PB合計!$C$122))</f>
        <v/>
      </c>
      <c r="F124" s="75" t="str">
        <f aca="false">IF($C124="","",N(元データ_PB合計!$F$122))</f>
        <v/>
      </c>
      <c r="G124" s="74" t="str">
        <f aca="false">IF($C124="","",IF(COUNTIF(店舗マスタ!$B$5:$B$304,$C124)&gt;0,"登録済","未登録→マスタに追加"))</f>
        <v/>
      </c>
      <c r="I124" s="74" t="n">
        <v>122</v>
      </c>
      <c r="J124" s="74" t="str">
        <f aca="false">IF(元データ_P!$A$122="","",元データ_P!$A$122)</f>
        <v/>
      </c>
      <c r="K124" s="74" t="str">
        <f aca="false">IF(LEFT(J124,1)="(",IFERROR(VALUE(MID(J124,2,FIND(")",J124)-2)),""),"")</f>
        <v/>
      </c>
      <c r="L124" s="75" t="str">
        <f aca="false">IF($K124="","",N(元データ_P!$B$122))</f>
        <v/>
      </c>
      <c r="M124" s="75" t="str">
        <f aca="false">IF($K124="","",N(元データ_P!$F$122))</f>
        <v/>
      </c>
      <c r="N124" s="74" t="str">
        <f aca="false">IF($K124="","",IF(COUNTIF(店舗マスタ!$B$5:$B$304,$K124)&gt;0,"登録済","未登録→マスタに追加"))</f>
        <v/>
      </c>
      <c r="P124" s="74" t="n">
        <v>122</v>
      </c>
      <c r="Q124" s="74" t="str">
        <f aca="false">IF(元データ_B!$A$122="","",元データ_B!$A$122)</f>
        <v/>
      </c>
      <c r="R124" s="74" t="str">
        <f aca="false">IF(LEFT(Q124,1)="(",IFERROR(VALUE(MID(Q124,2,FIND(")",Q124)-2)),""),"")</f>
        <v/>
      </c>
      <c r="S124" s="75" t="str">
        <f aca="false">IF($R124="","",N(元データ_B!$B$122))</f>
        <v/>
      </c>
      <c r="T124" s="75" t="str">
        <f aca="false">IF($R124="","",N(元データ_B!$F$122))</f>
        <v/>
      </c>
      <c r="U124" s="74" t="str">
        <f aca="false">IF($R124="","",IF(COUNTIF(店舗マスタ!$B$5:$B$304,$R124)&gt;0,"登録済","未登録→マスタに追加"))</f>
        <v/>
      </c>
    </row>
    <row r="125" customFormat="false" ht="15" hidden="false" customHeight="false" outlineLevel="0" collapsed="false">
      <c r="A125" s="74" t="n">
        <v>123</v>
      </c>
      <c r="B125" s="74" t="str">
        <f aca="false">IF(元データ_PB合計!$A$123="","",元データ_PB合計!$A$123)</f>
        <v/>
      </c>
      <c r="C125" s="74" t="str">
        <f aca="false">IF(LEFT(B125,1)="(",IFERROR(VALUE(MID(B125,2,FIND(")",B125)-2)),""),"")</f>
        <v/>
      </c>
      <c r="D125" s="75" t="str">
        <f aca="false">IF($C125="","",N(元データ_PB合計!$B$123))</f>
        <v/>
      </c>
      <c r="E125" s="75" t="str">
        <f aca="false">IF($C125="","",N(元データ_PB合計!$C$123))</f>
        <v/>
      </c>
      <c r="F125" s="75" t="str">
        <f aca="false">IF($C125="","",N(元データ_PB合計!$F$123))</f>
        <v/>
      </c>
      <c r="G125" s="74" t="str">
        <f aca="false">IF($C125="","",IF(COUNTIF(店舗マスタ!$B$5:$B$304,$C125)&gt;0,"登録済","未登録→マスタに追加"))</f>
        <v/>
      </c>
      <c r="I125" s="74" t="n">
        <v>123</v>
      </c>
      <c r="J125" s="74" t="str">
        <f aca="false">IF(元データ_P!$A$123="","",元データ_P!$A$123)</f>
        <v/>
      </c>
      <c r="K125" s="74" t="str">
        <f aca="false">IF(LEFT(J125,1)="(",IFERROR(VALUE(MID(J125,2,FIND(")",J125)-2)),""),"")</f>
        <v/>
      </c>
      <c r="L125" s="75" t="str">
        <f aca="false">IF($K125="","",N(元データ_P!$B$123))</f>
        <v/>
      </c>
      <c r="M125" s="75" t="str">
        <f aca="false">IF($K125="","",N(元データ_P!$F$123))</f>
        <v/>
      </c>
      <c r="N125" s="74" t="str">
        <f aca="false">IF($K125="","",IF(COUNTIF(店舗マスタ!$B$5:$B$304,$K125)&gt;0,"登録済","未登録→マスタに追加"))</f>
        <v/>
      </c>
      <c r="P125" s="74" t="n">
        <v>123</v>
      </c>
      <c r="Q125" s="74" t="str">
        <f aca="false">IF(元データ_B!$A$123="","",元データ_B!$A$123)</f>
        <v/>
      </c>
      <c r="R125" s="74" t="str">
        <f aca="false">IF(LEFT(Q125,1)="(",IFERROR(VALUE(MID(Q125,2,FIND(")",Q125)-2)),""),"")</f>
        <v/>
      </c>
      <c r="S125" s="75" t="str">
        <f aca="false">IF($R125="","",N(元データ_B!$B$123))</f>
        <v/>
      </c>
      <c r="T125" s="75" t="str">
        <f aca="false">IF($R125="","",N(元データ_B!$F$123))</f>
        <v/>
      </c>
      <c r="U125" s="74" t="str">
        <f aca="false">IF($R125="","",IF(COUNTIF(店舗マスタ!$B$5:$B$304,$R125)&gt;0,"登録済","未登録→マスタに追加"))</f>
        <v/>
      </c>
    </row>
    <row r="126" customFormat="false" ht="15" hidden="false" customHeight="false" outlineLevel="0" collapsed="false">
      <c r="A126" s="74" t="n">
        <v>124</v>
      </c>
      <c r="B126" s="74" t="str">
        <f aca="false">IF(元データ_PB合計!$A$124="","",元データ_PB合計!$A$124)</f>
        <v/>
      </c>
      <c r="C126" s="74" t="str">
        <f aca="false">IF(LEFT(B126,1)="(",IFERROR(VALUE(MID(B126,2,FIND(")",B126)-2)),""),"")</f>
        <v/>
      </c>
      <c r="D126" s="75" t="str">
        <f aca="false">IF($C126="","",N(元データ_PB合計!$B$124))</f>
        <v/>
      </c>
      <c r="E126" s="75" t="str">
        <f aca="false">IF($C126="","",N(元データ_PB合計!$C$124))</f>
        <v/>
      </c>
      <c r="F126" s="75" t="str">
        <f aca="false">IF($C126="","",N(元データ_PB合計!$F$124))</f>
        <v/>
      </c>
      <c r="G126" s="74" t="str">
        <f aca="false">IF($C126="","",IF(COUNTIF(店舗マスタ!$B$5:$B$304,$C126)&gt;0,"登録済","未登録→マスタに追加"))</f>
        <v/>
      </c>
      <c r="I126" s="74" t="n">
        <v>124</v>
      </c>
      <c r="J126" s="74" t="str">
        <f aca="false">IF(元データ_P!$A$124="","",元データ_P!$A$124)</f>
        <v/>
      </c>
      <c r="K126" s="74" t="str">
        <f aca="false">IF(LEFT(J126,1)="(",IFERROR(VALUE(MID(J126,2,FIND(")",J126)-2)),""),"")</f>
        <v/>
      </c>
      <c r="L126" s="75" t="str">
        <f aca="false">IF($K126="","",N(元データ_P!$B$124))</f>
        <v/>
      </c>
      <c r="M126" s="75" t="str">
        <f aca="false">IF($K126="","",N(元データ_P!$F$124))</f>
        <v/>
      </c>
      <c r="N126" s="74" t="str">
        <f aca="false">IF($K126="","",IF(COUNTIF(店舗マスタ!$B$5:$B$304,$K126)&gt;0,"登録済","未登録→マスタに追加"))</f>
        <v/>
      </c>
      <c r="P126" s="74" t="n">
        <v>124</v>
      </c>
      <c r="Q126" s="74" t="str">
        <f aca="false">IF(元データ_B!$A$124="","",元データ_B!$A$124)</f>
        <v/>
      </c>
      <c r="R126" s="74" t="str">
        <f aca="false">IF(LEFT(Q126,1)="(",IFERROR(VALUE(MID(Q126,2,FIND(")",Q126)-2)),""),"")</f>
        <v/>
      </c>
      <c r="S126" s="75" t="str">
        <f aca="false">IF($R126="","",N(元データ_B!$B$124))</f>
        <v/>
      </c>
      <c r="T126" s="75" t="str">
        <f aca="false">IF($R126="","",N(元データ_B!$F$124))</f>
        <v/>
      </c>
      <c r="U126" s="74" t="str">
        <f aca="false">IF($R126="","",IF(COUNTIF(店舗マスタ!$B$5:$B$304,$R126)&gt;0,"登録済","未登録→マスタに追加"))</f>
        <v/>
      </c>
    </row>
    <row r="127" customFormat="false" ht="15" hidden="false" customHeight="false" outlineLevel="0" collapsed="false">
      <c r="A127" s="74" t="n">
        <v>125</v>
      </c>
      <c r="B127" s="74" t="str">
        <f aca="false">IF(元データ_PB合計!$A$125="","",元データ_PB合計!$A$125)</f>
        <v/>
      </c>
      <c r="C127" s="74" t="str">
        <f aca="false">IF(LEFT(B127,1)="(",IFERROR(VALUE(MID(B127,2,FIND(")",B127)-2)),""),"")</f>
        <v/>
      </c>
      <c r="D127" s="75" t="str">
        <f aca="false">IF($C127="","",N(元データ_PB合計!$B$125))</f>
        <v/>
      </c>
      <c r="E127" s="75" t="str">
        <f aca="false">IF($C127="","",N(元データ_PB合計!$C$125))</f>
        <v/>
      </c>
      <c r="F127" s="75" t="str">
        <f aca="false">IF($C127="","",N(元データ_PB合計!$F$125))</f>
        <v/>
      </c>
      <c r="G127" s="74" t="str">
        <f aca="false">IF($C127="","",IF(COUNTIF(店舗マスタ!$B$5:$B$304,$C127)&gt;0,"登録済","未登録→マスタに追加"))</f>
        <v/>
      </c>
      <c r="I127" s="74" t="n">
        <v>125</v>
      </c>
      <c r="J127" s="74" t="str">
        <f aca="false">IF(元データ_P!$A$125="","",元データ_P!$A$125)</f>
        <v/>
      </c>
      <c r="K127" s="74" t="str">
        <f aca="false">IF(LEFT(J127,1)="(",IFERROR(VALUE(MID(J127,2,FIND(")",J127)-2)),""),"")</f>
        <v/>
      </c>
      <c r="L127" s="75" t="str">
        <f aca="false">IF($K127="","",N(元データ_P!$B$125))</f>
        <v/>
      </c>
      <c r="M127" s="75" t="str">
        <f aca="false">IF($K127="","",N(元データ_P!$F$125))</f>
        <v/>
      </c>
      <c r="N127" s="74" t="str">
        <f aca="false">IF($K127="","",IF(COUNTIF(店舗マスタ!$B$5:$B$304,$K127)&gt;0,"登録済","未登録→マスタに追加"))</f>
        <v/>
      </c>
      <c r="P127" s="74" t="n">
        <v>125</v>
      </c>
      <c r="Q127" s="74" t="str">
        <f aca="false">IF(元データ_B!$A$125="","",元データ_B!$A$125)</f>
        <v/>
      </c>
      <c r="R127" s="74" t="str">
        <f aca="false">IF(LEFT(Q127,1)="(",IFERROR(VALUE(MID(Q127,2,FIND(")",Q127)-2)),""),"")</f>
        <v/>
      </c>
      <c r="S127" s="75" t="str">
        <f aca="false">IF($R127="","",N(元データ_B!$B$125))</f>
        <v/>
      </c>
      <c r="T127" s="75" t="str">
        <f aca="false">IF($R127="","",N(元データ_B!$F$125))</f>
        <v/>
      </c>
      <c r="U127" s="74" t="str">
        <f aca="false">IF($R127="","",IF(COUNTIF(店舗マスタ!$B$5:$B$304,$R127)&gt;0,"登録済","未登録→マスタに追加"))</f>
        <v/>
      </c>
    </row>
    <row r="128" customFormat="false" ht="15" hidden="false" customHeight="false" outlineLevel="0" collapsed="false">
      <c r="A128" s="74" t="n">
        <v>126</v>
      </c>
      <c r="B128" s="74" t="str">
        <f aca="false">IF(元データ_PB合計!$A$126="","",元データ_PB合計!$A$126)</f>
        <v/>
      </c>
      <c r="C128" s="74" t="str">
        <f aca="false">IF(LEFT(B128,1)="(",IFERROR(VALUE(MID(B128,2,FIND(")",B128)-2)),""),"")</f>
        <v/>
      </c>
      <c r="D128" s="75" t="str">
        <f aca="false">IF($C128="","",N(元データ_PB合計!$B$126))</f>
        <v/>
      </c>
      <c r="E128" s="75" t="str">
        <f aca="false">IF($C128="","",N(元データ_PB合計!$C$126))</f>
        <v/>
      </c>
      <c r="F128" s="75" t="str">
        <f aca="false">IF($C128="","",N(元データ_PB合計!$F$126))</f>
        <v/>
      </c>
      <c r="G128" s="74" t="str">
        <f aca="false">IF($C128="","",IF(COUNTIF(店舗マスタ!$B$5:$B$304,$C128)&gt;0,"登録済","未登録→マスタに追加"))</f>
        <v/>
      </c>
      <c r="I128" s="74" t="n">
        <v>126</v>
      </c>
      <c r="J128" s="74" t="str">
        <f aca="false">IF(元データ_P!$A$126="","",元データ_P!$A$126)</f>
        <v/>
      </c>
      <c r="K128" s="74" t="str">
        <f aca="false">IF(LEFT(J128,1)="(",IFERROR(VALUE(MID(J128,2,FIND(")",J128)-2)),""),"")</f>
        <v/>
      </c>
      <c r="L128" s="75" t="str">
        <f aca="false">IF($K128="","",N(元データ_P!$B$126))</f>
        <v/>
      </c>
      <c r="M128" s="75" t="str">
        <f aca="false">IF($K128="","",N(元データ_P!$F$126))</f>
        <v/>
      </c>
      <c r="N128" s="74" t="str">
        <f aca="false">IF($K128="","",IF(COUNTIF(店舗マスタ!$B$5:$B$304,$K128)&gt;0,"登録済","未登録→マスタに追加"))</f>
        <v/>
      </c>
      <c r="P128" s="74" t="n">
        <v>126</v>
      </c>
      <c r="Q128" s="74" t="str">
        <f aca="false">IF(元データ_B!$A$126="","",元データ_B!$A$126)</f>
        <v/>
      </c>
      <c r="R128" s="74" t="str">
        <f aca="false">IF(LEFT(Q128,1)="(",IFERROR(VALUE(MID(Q128,2,FIND(")",Q128)-2)),""),"")</f>
        <v/>
      </c>
      <c r="S128" s="75" t="str">
        <f aca="false">IF($R128="","",N(元データ_B!$B$126))</f>
        <v/>
      </c>
      <c r="T128" s="75" t="str">
        <f aca="false">IF($R128="","",N(元データ_B!$F$126))</f>
        <v/>
      </c>
      <c r="U128" s="74" t="str">
        <f aca="false">IF($R128="","",IF(COUNTIF(店舗マスタ!$B$5:$B$304,$R128)&gt;0,"登録済","未登録→マスタに追加"))</f>
        <v/>
      </c>
    </row>
    <row r="129" customFormat="false" ht="15" hidden="false" customHeight="false" outlineLevel="0" collapsed="false">
      <c r="A129" s="74" t="n">
        <v>127</v>
      </c>
      <c r="B129" s="74" t="str">
        <f aca="false">IF(元データ_PB合計!$A$127="","",元データ_PB合計!$A$127)</f>
        <v/>
      </c>
      <c r="C129" s="74" t="str">
        <f aca="false">IF(LEFT(B129,1)="(",IFERROR(VALUE(MID(B129,2,FIND(")",B129)-2)),""),"")</f>
        <v/>
      </c>
      <c r="D129" s="75" t="str">
        <f aca="false">IF($C129="","",N(元データ_PB合計!$B$127))</f>
        <v/>
      </c>
      <c r="E129" s="75" t="str">
        <f aca="false">IF($C129="","",N(元データ_PB合計!$C$127))</f>
        <v/>
      </c>
      <c r="F129" s="75" t="str">
        <f aca="false">IF($C129="","",N(元データ_PB合計!$F$127))</f>
        <v/>
      </c>
      <c r="G129" s="74" t="str">
        <f aca="false">IF($C129="","",IF(COUNTIF(店舗マスタ!$B$5:$B$304,$C129)&gt;0,"登録済","未登録→マスタに追加"))</f>
        <v/>
      </c>
      <c r="I129" s="74" t="n">
        <v>127</v>
      </c>
      <c r="J129" s="74" t="str">
        <f aca="false">IF(元データ_P!$A$127="","",元データ_P!$A$127)</f>
        <v/>
      </c>
      <c r="K129" s="74" t="str">
        <f aca="false">IF(LEFT(J129,1)="(",IFERROR(VALUE(MID(J129,2,FIND(")",J129)-2)),""),"")</f>
        <v/>
      </c>
      <c r="L129" s="75" t="str">
        <f aca="false">IF($K129="","",N(元データ_P!$B$127))</f>
        <v/>
      </c>
      <c r="M129" s="75" t="str">
        <f aca="false">IF($K129="","",N(元データ_P!$F$127))</f>
        <v/>
      </c>
      <c r="N129" s="74" t="str">
        <f aca="false">IF($K129="","",IF(COUNTIF(店舗マスタ!$B$5:$B$304,$K129)&gt;0,"登録済","未登録→マスタに追加"))</f>
        <v/>
      </c>
      <c r="P129" s="74" t="n">
        <v>127</v>
      </c>
      <c r="Q129" s="74" t="str">
        <f aca="false">IF(元データ_B!$A$127="","",元データ_B!$A$127)</f>
        <v/>
      </c>
      <c r="R129" s="74" t="str">
        <f aca="false">IF(LEFT(Q129,1)="(",IFERROR(VALUE(MID(Q129,2,FIND(")",Q129)-2)),""),"")</f>
        <v/>
      </c>
      <c r="S129" s="75" t="str">
        <f aca="false">IF($R129="","",N(元データ_B!$B$127))</f>
        <v/>
      </c>
      <c r="T129" s="75" t="str">
        <f aca="false">IF($R129="","",N(元データ_B!$F$127))</f>
        <v/>
      </c>
      <c r="U129" s="74" t="str">
        <f aca="false">IF($R129="","",IF(COUNTIF(店舗マスタ!$B$5:$B$304,$R129)&gt;0,"登録済","未登録→マスタに追加"))</f>
        <v/>
      </c>
    </row>
    <row r="130" customFormat="false" ht="15" hidden="false" customHeight="false" outlineLevel="0" collapsed="false">
      <c r="A130" s="74" t="n">
        <v>128</v>
      </c>
      <c r="B130" s="74" t="str">
        <f aca="false">IF(元データ_PB合計!$A$128="","",元データ_PB合計!$A$128)</f>
        <v/>
      </c>
      <c r="C130" s="74" t="str">
        <f aca="false">IF(LEFT(B130,1)="(",IFERROR(VALUE(MID(B130,2,FIND(")",B130)-2)),""),"")</f>
        <v/>
      </c>
      <c r="D130" s="75" t="str">
        <f aca="false">IF($C130="","",N(元データ_PB合計!$B$128))</f>
        <v/>
      </c>
      <c r="E130" s="75" t="str">
        <f aca="false">IF($C130="","",N(元データ_PB合計!$C$128))</f>
        <v/>
      </c>
      <c r="F130" s="75" t="str">
        <f aca="false">IF($C130="","",N(元データ_PB合計!$F$128))</f>
        <v/>
      </c>
      <c r="G130" s="74" t="str">
        <f aca="false">IF($C130="","",IF(COUNTIF(店舗マスタ!$B$5:$B$304,$C130)&gt;0,"登録済","未登録→マスタに追加"))</f>
        <v/>
      </c>
      <c r="I130" s="74" t="n">
        <v>128</v>
      </c>
      <c r="J130" s="74" t="str">
        <f aca="false">IF(元データ_P!$A$128="","",元データ_P!$A$128)</f>
        <v/>
      </c>
      <c r="K130" s="74" t="str">
        <f aca="false">IF(LEFT(J130,1)="(",IFERROR(VALUE(MID(J130,2,FIND(")",J130)-2)),""),"")</f>
        <v/>
      </c>
      <c r="L130" s="75" t="str">
        <f aca="false">IF($K130="","",N(元データ_P!$B$128))</f>
        <v/>
      </c>
      <c r="M130" s="75" t="str">
        <f aca="false">IF($K130="","",N(元データ_P!$F$128))</f>
        <v/>
      </c>
      <c r="N130" s="74" t="str">
        <f aca="false">IF($K130="","",IF(COUNTIF(店舗マスタ!$B$5:$B$304,$K130)&gt;0,"登録済","未登録→マスタに追加"))</f>
        <v/>
      </c>
      <c r="P130" s="74" t="n">
        <v>128</v>
      </c>
      <c r="Q130" s="74" t="str">
        <f aca="false">IF(元データ_B!$A$128="","",元データ_B!$A$128)</f>
        <v/>
      </c>
      <c r="R130" s="74" t="str">
        <f aca="false">IF(LEFT(Q130,1)="(",IFERROR(VALUE(MID(Q130,2,FIND(")",Q130)-2)),""),"")</f>
        <v/>
      </c>
      <c r="S130" s="75" t="str">
        <f aca="false">IF($R130="","",N(元データ_B!$B$128))</f>
        <v/>
      </c>
      <c r="T130" s="75" t="str">
        <f aca="false">IF($R130="","",N(元データ_B!$F$128))</f>
        <v/>
      </c>
      <c r="U130" s="74" t="str">
        <f aca="false">IF($R130="","",IF(COUNTIF(店舗マスタ!$B$5:$B$304,$R130)&gt;0,"登録済","未登録→マスタに追加"))</f>
        <v/>
      </c>
    </row>
    <row r="131" customFormat="false" ht="15" hidden="false" customHeight="false" outlineLevel="0" collapsed="false">
      <c r="A131" s="74" t="n">
        <v>129</v>
      </c>
      <c r="B131" s="74" t="str">
        <f aca="false">IF(元データ_PB合計!$A$129="","",元データ_PB合計!$A$129)</f>
        <v/>
      </c>
      <c r="C131" s="74" t="str">
        <f aca="false">IF(LEFT(B131,1)="(",IFERROR(VALUE(MID(B131,2,FIND(")",B131)-2)),""),"")</f>
        <v/>
      </c>
      <c r="D131" s="75" t="str">
        <f aca="false">IF($C131="","",N(元データ_PB合計!$B$129))</f>
        <v/>
      </c>
      <c r="E131" s="75" t="str">
        <f aca="false">IF($C131="","",N(元データ_PB合計!$C$129))</f>
        <v/>
      </c>
      <c r="F131" s="75" t="str">
        <f aca="false">IF($C131="","",N(元データ_PB合計!$F$129))</f>
        <v/>
      </c>
      <c r="G131" s="74" t="str">
        <f aca="false">IF($C131="","",IF(COUNTIF(店舗マスタ!$B$5:$B$304,$C131)&gt;0,"登録済","未登録→マスタに追加"))</f>
        <v/>
      </c>
      <c r="I131" s="74" t="n">
        <v>129</v>
      </c>
      <c r="J131" s="74" t="str">
        <f aca="false">IF(元データ_P!$A$129="","",元データ_P!$A$129)</f>
        <v/>
      </c>
      <c r="K131" s="74" t="str">
        <f aca="false">IF(LEFT(J131,1)="(",IFERROR(VALUE(MID(J131,2,FIND(")",J131)-2)),""),"")</f>
        <v/>
      </c>
      <c r="L131" s="75" t="str">
        <f aca="false">IF($K131="","",N(元データ_P!$B$129))</f>
        <v/>
      </c>
      <c r="M131" s="75" t="str">
        <f aca="false">IF($K131="","",N(元データ_P!$F$129))</f>
        <v/>
      </c>
      <c r="N131" s="74" t="str">
        <f aca="false">IF($K131="","",IF(COUNTIF(店舗マスタ!$B$5:$B$304,$K131)&gt;0,"登録済","未登録→マスタに追加"))</f>
        <v/>
      </c>
      <c r="P131" s="74" t="n">
        <v>129</v>
      </c>
      <c r="Q131" s="74" t="str">
        <f aca="false">IF(元データ_B!$A$129="","",元データ_B!$A$129)</f>
        <v/>
      </c>
      <c r="R131" s="74" t="str">
        <f aca="false">IF(LEFT(Q131,1)="(",IFERROR(VALUE(MID(Q131,2,FIND(")",Q131)-2)),""),"")</f>
        <v/>
      </c>
      <c r="S131" s="75" t="str">
        <f aca="false">IF($R131="","",N(元データ_B!$B$129))</f>
        <v/>
      </c>
      <c r="T131" s="75" t="str">
        <f aca="false">IF($R131="","",N(元データ_B!$F$129))</f>
        <v/>
      </c>
      <c r="U131" s="74" t="str">
        <f aca="false">IF($R131="","",IF(COUNTIF(店舗マスタ!$B$5:$B$304,$R131)&gt;0,"登録済","未登録→マスタに追加"))</f>
        <v/>
      </c>
    </row>
    <row r="132" customFormat="false" ht="15" hidden="false" customHeight="false" outlineLevel="0" collapsed="false">
      <c r="A132" s="74" t="n">
        <v>130</v>
      </c>
      <c r="B132" s="74" t="str">
        <f aca="false">IF(元データ_PB合計!$A$130="","",元データ_PB合計!$A$130)</f>
        <v/>
      </c>
      <c r="C132" s="74" t="str">
        <f aca="false">IF(LEFT(B132,1)="(",IFERROR(VALUE(MID(B132,2,FIND(")",B132)-2)),""),"")</f>
        <v/>
      </c>
      <c r="D132" s="75" t="str">
        <f aca="false">IF($C132="","",N(元データ_PB合計!$B$130))</f>
        <v/>
      </c>
      <c r="E132" s="75" t="str">
        <f aca="false">IF($C132="","",N(元データ_PB合計!$C$130))</f>
        <v/>
      </c>
      <c r="F132" s="75" t="str">
        <f aca="false">IF($C132="","",N(元データ_PB合計!$F$130))</f>
        <v/>
      </c>
      <c r="G132" s="74" t="str">
        <f aca="false">IF($C132="","",IF(COUNTIF(店舗マスタ!$B$5:$B$304,$C132)&gt;0,"登録済","未登録→マスタに追加"))</f>
        <v/>
      </c>
      <c r="I132" s="74" t="n">
        <v>130</v>
      </c>
      <c r="J132" s="74" t="str">
        <f aca="false">IF(元データ_P!$A$130="","",元データ_P!$A$130)</f>
        <v/>
      </c>
      <c r="K132" s="74" t="str">
        <f aca="false">IF(LEFT(J132,1)="(",IFERROR(VALUE(MID(J132,2,FIND(")",J132)-2)),""),"")</f>
        <v/>
      </c>
      <c r="L132" s="75" t="str">
        <f aca="false">IF($K132="","",N(元データ_P!$B$130))</f>
        <v/>
      </c>
      <c r="M132" s="75" t="str">
        <f aca="false">IF($K132="","",N(元データ_P!$F$130))</f>
        <v/>
      </c>
      <c r="N132" s="74" t="str">
        <f aca="false">IF($K132="","",IF(COUNTIF(店舗マスタ!$B$5:$B$304,$K132)&gt;0,"登録済","未登録→マスタに追加"))</f>
        <v/>
      </c>
      <c r="P132" s="74" t="n">
        <v>130</v>
      </c>
      <c r="Q132" s="74" t="str">
        <f aca="false">IF(元データ_B!$A$130="","",元データ_B!$A$130)</f>
        <v/>
      </c>
      <c r="R132" s="74" t="str">
        <f aca="false">IF(LEFT(Q132,1)="(",IFERROR(VALUE(MID(Q132,2,FIND(")",Q132)-2)),""),"")</f>
        <v/>
      </c>
      <c r="S132" s="75" t="str">
        <f aca="false">IF($R132="","",N(元データ_B!$B$130))</f>
        <v/>
      </c>
      <c r="T132" s="75" t="str">
        <f aca="false">IF($R132="","",N(元データ_B!$F$130))</f>
        <v/>
      </c>
      <c r="U132" s="74" t="str">
        <f aca="false">IF($R132="","",IF(COUNTIF(店舗マスタ!$B$5:$B$304,$R132)&gt;0,"登録済","未登録→マスタに追加"))</f>
        <v/>
      </c>
    </row>
    <row r="133" customFormat="false" ht="15" hidden="false" customHeight="false" outlineLevel="0" collapsed="false">
      <c r="A133" s="74" t="n">
        <v>131</v>
      </c>
      <c r="B133" s="74" t="str">
        <f aca="false">IF(元データ_PB合計!$A$131="","",元データ_PB合計!$A$131)</f>
        <v/>
      </c>
      <c r="C133" s="74" t="str">
        <f aca="false">IF(LEFT(B133,1)="(",IFERROR(VALUE(MID(B133,2,FIND(")",B133)-2)),""),"")</f>
        <v/>
      </c>
      <c r="D133" s="75" t="str">
        <f aca="false">IF($C133="","",N(元データ_PB合計!$B$131))</f>
        <v/>
      </c>
      <c r="E133" s="75" t="str">
        <f aca="false">IF($C133="","",N(元データ_PB合計!$C$131))</f>
        <v/>
      </c>
      <c r="F133" s="75" t="str">
        <f aca="false">IF($C133="","",N(元データ_PB合計!$F$131))</f>
        <v/>
      </c>
      <c r="G133" s="74" t="str">
        <f aca="false">IF($C133="","",IF(COUNTIF(店舗マスタ!$B$5:$B$304,$C133)&gt;0,"登録済","未登録→マスタに追加"))</f>
        <v/>
      </c>
      <c r="I133" s="74" t="n">
        <v>131</v>
      </c>
      <c r="J133" s="74" t="str">
        <f aca="false">IF(元データ_P!$A$131="","",元データ_P!$A$131)</f>
        <v/>
      </c>
      <c r="K133" s="74" t="str">
        <f aca="false">IF(LEFT(J133,1)="(",IFERROR(VALUE(MID(J133,2,FIND(")",J133)-2)),""),"")</f>
        <v/>
      </c>
      <c r="L133" s="75" t="str">
        <f aca="false">IF($K133="","",N(元データ_P!$B$131))</f>
        <v/>
      </c>
      <c r="M133" s="75" t="str">
        <f aca="false">IF($K133="","",N(元データ_P!$F$131))</f>
        <v/>
      </c>
      <c r="N133" s="74" t="str">
        <f aca="false">IF($K133="","",IF(COUNTIF(店舗マスタ!$B$5:$B$304,$K133)&gt;0,"登録済","未登録→マスタに追加"))</f>
        <v/>
      </c>
      <c r="P133" s="74" t="n">
        <v>131</v>
      </c>
      <c r="Q133" s="74" t="str">
        <f aca="false">IF(元データ_B!$A$131="","",元データ_B!$A$131)</f>
        <v/>
      </c>
      <c r="R133" s="74" t="str">
        <f aca="false">IF(LEFT(Q133,1)="(",IFERROR(VALUE(MID(Q133,2,FIND(")",Q133)-2)),""),"")</f>
        <v/>
      </c>
      <c r="S133" s="75" t="str">
        <f aca="false">IF($R133="","",N(元データ_B!$B$131))</f>
        <v/>
      </c>
      <c r="T133" s="75" t="str">
        <f aca="false">IF($R133="","",N(元データ_B!$F$131))</f>
        <v/>
      </c>
      <c r="U133" s="74" t="str">
        <f aca="false">IF($R133="","",IF(COUNTIF(店舗マスタ!$B$5:$B$304,$R133)&gt;0,"登録済","未登録→マスタに追加"))</f>
        <v/>
      </c>
    </row>
    <row r="134" customFormat="false" ht="15" hidden="false" customHeight="false" outlineLevel="0" collapsed="false">
      <c r="A134" s="74" t="n">
        <v>132</v>
      </c>
      <c r="B134" s="74" t="str">
        <f aca="false">IF(元データ_PB合計!$A$132="","",元データ_PB合計!$A$132)</f>
        <v/>
      </c>
      <c r="C134" s="74" t="str">
        <f aca="false">IF(LEFT(B134,1)="(",IFERROR(VALUE(MID(B134,2,FIND(")",B134)-2)),""),"")</f>
        <v/>
      </c>
      <c r="D134" s="75" t="str">
        <f aca="false">IF($C134="","",N(元データ_PB合計!$B$132))</f>
        <v/>
      </c>
      <c r="E134" s="75" t="str">
        <f aca="false">IF($C134="","",N(元データ_PB合計!$C$132))</f>
        <v/>
      </c>
      <c r="F134" s="75" t="str">
        <f aca="false">IF($C134="","",N(元データ_PB合計!$F$132))</f>
        <v/>
      </c>
      <c r="G134" s="74" t="str">
        <f aca="false">IF($C134="","",IF(COUNTIF(店舗マスタ!$B$5:$B$304,$C134)&gt;0,"登録済","未登録→マスタに追加"))</f>
        <v/>
      </c>
      <c r="I134" s="74" t="n">
        <v>132</v>
      </c>
      <c r="J134" s="74" t="str">
        <f aca="false">IF(元データ_P!$A$132="","",元データ_P!$A$132)</f>
        <v/>
      </c>
      <c r="K134" s="74" t="str">
        <f aca="false">IF(LEFT(J134,1)="(",IFERROR(VALUE(MID(J134,2,FIND(")",J134)-2)),""),"")</f>
        <v/>
      </c>
      <c r="L134" s="75" t="str">
        <f aca="false">IF($K134="","",N(元データ_P!$B$132))</f>
        <v/>
      </c>
      <c r="M134" s="75" t="str">
        <f aca="false">IF($K134="","",N(元データ_P!$F$132))</f>
        <v/>
      </c>
      <c r="N134" s="74" t="str">
        <f aca="false">IF($K134="","",IF(COUNTIF(店舗マスタ!$B$5:$B$304,$K134)&gt;0,"登録済","未登録→マスタに追加"))</f>
        <v/>
      </c>
      <c r="P134" s="74" t="n">
        <v>132</v>
      </c>
      <c r="Q134" s="74" t="str">
        <f aca="false">IF(元データ_B!$A$132="","",元データ_B!$A$132)</f>
        <v/>
      </c>
      <c r="R134" s="74" t="str">
        <f aca="false">IF(LEFT(Q134,1)="(",IFERROR(VALUE(MID(Q134,2,FIND(")",Q134)-2)),""),"")</f>
        <v/>
      </c>
      <c r="S134" s="75" t="str">
        <f aca="false">IF($R134="","",N(元データ_B!$B$132))</f>
        <v/>
      </c>
      <c r="T134" s="75" t="str">
        <f aca="false">IF($R134="","",N(元データ_B!$F$132))</f>
        <v/>
      </c>
      <c r="U134" s="74" t="str">
        <f aca="false">IF($R134="","",IF(COUNTIF(店舗マスタ!$B$5:$B$304,$R134)&gt;0,"登録済","未登録→マスタに追加"))</f>
        <v/>
      </c>
    </row>
    <row r="135" customFormat="false" ht="15" hidden="false" customHeight="false" outlineLevel="0" collapsed="false">
      <c r="A135" s="74" t="n">
        <v>133</v>
      </c>
      <c r="B135" s="74" t="str">
        <f aca="false">IF(元データ_PB合計!$A$133="","",元データ_PB合計!$A$133)</f>
        <v/>
      </c>
      <c r="C135" s="74" t="str">
        <f aca="false">IF(LEFT(B135,1)="(",IFERROR(VALUE(MID(B135,2,FIND(")",B135)-2)),""),"")</f>
        <v/>
      </c>
      <c r="D135" s="75" t="str">
        <f aca="false">IF($C135="","",N(元データ_PB合計!$B$133))</f>
        <v/>
      </c>
      <c r="E135" s="75" t="str">
        <f aca="false">IF($C135="","",N(元データ_PB合計!$C$133))</f>
        <v/>
      </c>
      <c r="F135" s="75" t="str">
        <f aca="false">IF($C135="","",N(元データ_PB合計!$F$133))</f>
        <v/>
      </c>
      <c r="G135" s="74" t="str">
        <f aca="false">IF($C135="","",IF(COUNTIF(店舗マスタ!$B$5:$B$304,$C135)&gt;0,"登録済","未登録→マスタに追加"))</f>
        <v/>
      </c>
      <c r="I135" s="74" t="n">
        <v>133</v>
      </c>
      <c r="J135" s="74" t="str">
        <f aca="false">IF(元データ_P!$A$133="","",元データ_P!$A$133)</f>
        <v/>
      </c>
      <c r="K135" s="74" t="str">
        <f aca="false">IF(LEFT(J135,1)="(",IFERROR(VALUE(MID(J135,2,FIND(")",J135)-2)),""),"")</f>
        <v/>
      </c>
      <c r="L135" s="75" t="str">
        <f aca="false">IF($K135="","",N(元データ_P!$B$133))</f>
        <v/>
      </c>
      <c r="M135" s="75" t="str">
        <f aca="false">IF($K135="","",N(元データ_P!$F$133))</f>
        <v/>
      </c>
      <c r="N135" s="74" t="str">
        <f aca="false">IF($K135="","",IF(COUNTIF(店舗マスタ!$B$5:$B$304,$K135)&gt;0,"登録済","未登録→マスタに追加"))</f>
        <v/>
      </c>
      <c r="P135" s="74" t="n">
        <v>133</v>
      </c>
      <c r="Q135" s="74" t="str">
        <f aca="false">IF(元データ_B!$A$133="","",元データ_B!$A$133)</f>
        <v/>
      </c>
      <c r="R135" s="74" t="str">
        <f aca="false">IF(LEFT(Q135,1)="(",IFERROR(VALUE(MID(Q135,2,FIND(")",Q135)-2)),""),"")</f>
        <v/>
      </c>
      <c r="S135" s="75" t="str">
        <f aca="false">IF($R135="","",N(元データ_B!$B$133))</f>
        <v/>
      </c>
      <c r="T135" s="75" t="str">
        <f aca="false">IF($R135="","",N(元データ_B!$F$133))</f>
        <v/>
      </c>
      <c r="U135" s="74" t="str">
        <f aca="false">IF($R135="","",IF(COUNTIF(店舗マスタ!$B$5:$B$304,$R135)&gt;0,"登録済","未登録→マスタに追加"))</f>
        <v/>
      </c>
    </row>
    <row r="136" customFormat="false" ht="15" hidden="false" customHeight="false" outlineLevel="0" collapsed="false">
      <c r="A136" s="74" t="n">
        <v>134</v>
      </c>
      <c r="B136" s="74" t="str">
        <f aca="false">IF(元データ_PB合計!$A$134="","",元データ_PB合計!$A$134)</f>
        <v/>
      </c>
      <c r="C136" s="74" t="str">
        <f aca="false">IF(LEFT(B136,1)="(",IFERROR(VALUE(MID(B136,2,FIND(")",B136)-2)),""),"")</f>
        <v/>
      </c>
      <c r="D136" s="75" t="str">
        <f aca="false">IF($C136="","",N(元データ_PB合計!$B$134))</f>
        <v/>
      </c>
      <c r="E136" s="75" t="str">
        <f aca="false">IF($C136="","",N(元データ_PB合計!$C$134))</f>
        <v/>
      </c>
      <c r="F136" s="75" t="str">
        <f aca="false">IF($C136="","",N(元データ_PB合計!$F$134))</f>
        <v/>
      </c>
      <c r="G136" s="74" t="str">
        <f aca="false">IF($C136="","",IF(COUNTIF(店舗マスタ!$B$5:$B$304,$C136)&gt;0,"登録済","未登録→マスタに追加"))</f>
        <v/>
      </c>
      <c r="I136" s="74" t="n">
        <v>134</v>
      </c>
      <c r="J136" s="74" t="str">
        <f aca="false">IF(元データ_P!$A$134="","",元データ_P!$A$134)</f>
        <v/>
      </c>
      <c r="K136" s="74" t="str">
        <f aca="false">IF(LEFT(J136,1)="(",IFERROR(VALUE(MID(J136,2,FIND(")",J136)-2)),""),"")</f>
        <v/>
      </c>
      <c r="L136" s="75" t="str">
        <f aca="false">IF($K136="","",N(元データ_P!$B$134))</f>
        <v/>
      </c>
      <c r="M136" s="75" t="str">
        <f aca="false">IF($K136="","",N(元データ_P!$F$134))</f>
        <v/>
      </c>
      <c r="N136" s="74" t="str">
        <f aca="false">IF($K136="","",IF(COUNTIF(店舗マスタ!$B$5:$B$304,$K136)&gt;0,"登録済","未登録→マスタに追加"))</f>
        <v/>
      </c>
      <c r="P136" s="74" t="n">
        <v>134</v>
      </c>
      <c r="Q136" s="74" t="str">
        <f aca="false">IF(元データ_B!$A$134="","",元データ_B!$A$134)</f>
        <v/>
      </c>
      <c r="R136" s="74" t="str">
        <f aca="false">IF(LEFT(Q136,1)="(",IFERROR(VALUE(MID(Q136,2,FIND(")",Q136)-2)),""),"")</f>
        <v/>
      </c>
      <c r="S136" s="75" t="str">
        <f aca="false">IF($R136="","",N(元データ_B!$B$134))</f>
        <v/>
      </c>
      <c r="T136" s="75" t="str">
        <f aca="false">IF($R136="","",N(元データ_B!$F$134))</f>
        <v/>
      </c>
      <c r="U136" s="74" t="str">
        <f aca="false">IF($R136="","",IF(COUNTIF(店舗マスタ!$B$5:$B$304,$R136)&gt;0,"登録済","未登録→マスタに追加"))</f>
        <v/>
      </c>
    </row>
    <row r="137" customFormat="false" ht="15" hidden="false" customHeight="false" outlineLevel="0" collapsed="false">
      <c r="A137" s="74" t="n">
        <v>135</v>
      </c>
      <c r="B137" s="74" t="str">
        <f aca="false">IF(元データ_PB合計!$A$135="","",元データ_PB合計!$A$135)</f>
        <v/>
      </c>
      <c r="C137" s="74" t="str">
        <f aca="false">IF(LEFT(B137,1)="(",IFERROR(VALUE(MID(B137,2,FIND(")",B137)-2)),""),"")</f>
        <v/>
      </c>
      <c r="D137" s="75" t="str">
        <f aca="false">IF($C137="","",N(元データ_PB合計!$B$135))</f>
        <v/>
      </c>
      <c r="E137" s="75" t="str">
        <f aca="false">IF($C137="","",N(元データ_PB合計!$C$135))</f>
        <v/>
      </c>
      <c r="F137" s="75" t="str">
        <f aca="false">IF($C137="","",N(元データ_PB合計!$F$135))</f>
        <v/>
      </c>
      <c r="G137" s="74" t="str">
        <f aca="false">IF($C137="","",IF(COUNTIF(店舗マスタ!$B$5:$B$304,$C137)&gt;0,"登録済","未登録→マスタに追加"))</f>
        <v/>
      </c>
      <c r="I137" s="74" t="n">
        <v>135</v>
      </c>
      <c r="J137" s="74" t="str">
        <f aca="false">IF(元データ_P!$A$135="","",元データ_P!$A$135)</f>
        <v/>
      </c>
      <c r="K137" s="74" t="str">
        <f aca="false">IF(LEFT(J137,1)="(",IFERROR(VALUE(MID(J137,2,FIND(")",J137)-2)),""),"")</f>
        <v/>
      </c>
      <c r="L137" s="75" t="str">
        <f aca="false">IF($K137="","",N(元データ_P!$B$135))</f>
        <v/>
      </c>
      <c r="M137" s="75" t="str">
        <f aca="false">IF($K137="","",N(元データ_P!$F$135))</f>
        <v/>
      </c>
      <c r="N137" s="74" t="str">
        <f aca="false">IF($K137="","",IF(COUNTIF(店舗マスタ!$B$5:$B$304,$K137)&gt;0,"登録済","未登録→マスタに追加"))</f>
        <v/>
      </c>
      <c r="P137" s="74" t="n">
        <v>135</v>
      </c>
      <c r="Q137" s="74" t="str">
        <f aca="false">IF(元データ_B!$A$135="","",元データ_B!$A$135)</f>
        <v/>
      </c>
      <c r="R137" s="74" t="str">
        <f aca="false">IF(LEFT(Q137,1)="(",IFERROR(VALUE(MID(Q137,2,FIND(")",Q137)-2)),""),"")</f>
        <v/>
      </c>
      <c r="S137" s="75" t="str">
        <f aca="false">IF($R137="","",N(元データ_B!$B$135))</f>
        <v/>
      </c>
      <c r="T137" s="75" t="str">
        <f aca="false">IF($R137="","",N(元データ_B!$F$135))</f>
        <v/>
      </c>
      <c r="U137" s="74" t="str">
        <f aca="false">IF($R137="","",IF(COUNTIF(店舗マスタ!$B$5:$B$304,$R137)&gt;0,"登録済","未登録→マスタに追加"))</f>
        <v/>
      </c>
    </row>
    <row r="138" customFormat="false" ht="15" hidden="false" customHeight="false" outlineLevel="0" collapsed="false">
      <c r="A138" s="74" t="n">
        <v>136</v>
      </c>
      <c r="B138" s="74" t="str">
        <f aca="false">IF(元データ_PB合計!$A$136="","",元データ_PB合計!$A$136)</f>
        <v/>
      </c>
      <c r="C138" s="74" t="str">
        <f aca="false">IF(LEFT(B138,1)="(",IFERROR(VALUE(MID(B138,2,FIND(")",B138)-2)),""),"")</f>
        <v/>
      </c>
      <c r="D138" s="75" t="str">
        <f aca="false">IF($C138="","",N(元データ_PB合計!$B$136))</f>
        <v/>
      </c>
      <c r="E138" s="75" t="str">
        <f aca="false">IF($C138="","",N(元データ_PB合計!$C$136))</f>
        <v/>
      </c>
      <c r="F138" s="75" t="str">
        <f aca="false">IF($C138="","",N(元データ_PB合計!$F$136))</f>
        <v/>
      </c>
      <c r="G138" s="74" t="str">
        <f aca="false">IF($C138="","",IF(COUNTIF(店舗マスタ!$B$5:$B$304,$C138)&gt;0,"登録済","未登録→マスタに追加"))</f>
        <v/>
      </c>
      <c r="I138" s="74" t="n">
        <v>136</v>
      </c>
      <c r="J138" s="74" t="str">
        <f aca="false">IF(元データ_P!$A$136="","",元データ_P!$A$136)</f>
        <v/>
      </c>
      <c r="K138" s="74" t="str">
        <f aca="false">IF(LEFT(J138,1)="(",IFERROR(VALUE(MID(J138,2,FIND(")",J138)-2)),""),"")</f>
        <v/>
      </c>
      <c r="L138" s="75" t="str">
        <f aca="false">IF($K138="","",N(元データ_P!$B$136))</f>
        <v/>
      </c>
      <c r="M138" s="75" t="str">
        <f aca="false">IF($K138="","",N(元データ_P!$F$136))</f>
        <v/>
      </c>
      <c r="N138" s="74" t="str">
        <f aca="false">IF($K138="","",IF(COUNTIF(店舗マスタ!$B$5:$B$304,$K138)&gt;0,"登録済","未登録→マスタに追加"))</f>
        <v/>
      </c>
      <c r="P138" s="74" t="n">
        <v>136</v>
      </c>
      <c r="Q138" s="74" t="str">
        <f aca="false">IF(元データ_B!$A$136="","",元データ_B!$A$136)</f>
        <v/>
      </c>
      <c r="R138" s="74" t="str">
        <f aca="false">IF(LEFT(Q138,1)="(",IFERROR(VALUE(MID(Q138,2,FIND(")",Q138)-2)),""),"")</f>
        <v/>
      </c>
      <c r="S138" s="75" t="str">
        <f aca="false">IF($R138="","",N(元データ_B!$B$136))</f>
        <v/>
      </c>
      <c r="T138" s="75" t="str">
        <f aca="false">IF($R138="","",N(元データ_B!$F$136))</f>
        <v/>
      </c>
      <c r="U138" s="74" t="str">
        <f aca="false">IF($R138="","",IF(COUNTIF(店舗マスタ!$B$5:$B$304,$R138)&gt;0,"登録済","未登録→マスタに追加"))</f>
        <v/>
      </c>
    </row>
    <row r="139" customFormat="false" ht="15" hidden="false" customHeight="false" outlineLevel="0" collapsed="false">
      <c r="A139" s="74" t="n">
        <v>137</v>
      </c>
      <c r="B139" s="74" t="str">
        <f aca="false">IF(元データ_PB合計!$A$137="","",元データ_PB合計!$A$137)</f>
        <v/>
      </c>
      <c r="C139" s="74" t="str">
        <f aca="false">IF(LEFT(B139,1)="(",IFERROR(VALUE(MID(B139,2,FIND(")",B139)-2)),""),"")</f>
        <v/>
      </c>
      <c r="D139" s="75" t="str">
        <f aca="false">IF($C139="","",N(元データ_PB合計!$B$137))</f>
        <v/>
      </c>
      <c r="E139" s="75" t="str">
        <f aca="false">IF($C139="","",N(元データ_PB合計!$C$137))</f>
        <v/>
      </c>
      <c r="F139" s="75" t="str">
        <f aca="false">IF($C139="","",N(元データ_PB合計!$F$137))</f>
        <v/>
      </c>
      <c r="G139" s="74" t="str">
        <f aca="false">IF($C139="","",IF(COUNTIF(店舗マスタ!$B$5:$B$304,$C139)&gt;0,"登録済","未登録→マスタに追加"))</f>
        <v/>
      </c>
      <c r="I139" s="74" t="n">
        <v>137</v>
      </c>
      <c r="J139" s="74" t="str">
        <f aca="false">IF(元データ_P!$A$137="","",元データ_P!$A$137)</f>
        <v/>
      </c>
      <c r="K139" s="74" t="str">
        <f aca="false">IF(LEFT(J139,1)="(",IFERROR(VALUE(MID(J139,2,FIND(")",J139)-2)),""),"")</f>
        <v/>
      </c>
      <c r="L139" s="75" t="str">
        <f aca="false">IF($K139="","",N(元データ_P!$B$137))</f>
        <v/>
      </c>
      <c r="M139" s="75" t="str">
        <f aca="false">IF($K139="","",N(元データ_P!$F$137))</f>
        <v/>
      </c>
      <c r="N139" s="74" t="str">
        <f aca="false">IF($K139="","",IF(COUNTIF(店舗マスタ!$B$5:$B$304,$K139)&gt;0,"登録済","未登録→マスタに追加"))</f>
        <v/>
      </c>
      <c r="P139" s="74" t="n">
        <v>137</v>
      </c>
      <c r="Q139" s="74" t="str">
        <f aca="false">IF(元データ_B!$A$137="","",元データ_B!$A$137)</f>
        <v/>
      </c>
      <c r="R139" s="74" t="str">
        <f aca="false">IF(LEFT(Q139,1)="(",IFERROR(VALUE(MID(Q139,2,FIND(")",Q139)-2)),""),"")</f>
        <v/>
      </c>
      <c r="S139" s="75" t="str">
        <f aca="false">IF($R139="","",N(元データ_B!$B$137))</f>
        <v/>
      </c>
      <c r="T139" s="75" t="str">
        <f aca="false">IF($R139="","",N(元データ_B!$F$137))</f>
        <v/>
      </c>
      <c r="U139" s="74" t="str">
        <f aca="false">IF($R139="","",IF(COUNTIF(店舗マスタ!$B$5:$B$304,$R139)&gt;0,"登録済","未登録→マスタに追加"))</f>
        <v/>
      </c>
    </row>
    <row r="140" customFormat="false" ht="15" hidden="false" customHeight="false" outlineLevel="0" collapsed="false">
      <c r="A140" s="74" t="n">
        <v>138</v>
      </c>
      <c r="B140" s="74" t="str">
        <f aca="false">IF(元データ_PB合計!$A$138="","",元データ_PB合計!$A$138)</f>
        <v/>
      </c>
      <c r="C140" s="74" t="str">
        <f aca="false">IF(LEFT(B140,1)="(",IFERROR(VALUE(MID(B140,2,FIND(")",B140)-2)),""),"")</f>
        <v/>
      </c>
      <c r="D140" s="75" t="str">
        <f aca="false">IF($C140="","",N(元データ_PB合計!$B$138))</f>
        <v/>
      </c>
      <c r="E140" s="75" t="str">
        <f aca="false">IF($C140="","",N(元データ_PB合計!$C$138))</f>
        <v/>
      </c>
      <c r="F140" s="75" t="str">
        <f aca="false">IF($C140="","",N(元データ_PB合計!$F$138))</f>
        <v/>
      </c>
      <c r="G140" s="74" t="str">
        <f aca="false">IF($C140="","",IF(COUNTIF(店舗マスタ!$B$5:$B$304,$C140)&gt;0,"登録済","未登録→マスタに追加"))</f>
        <v/>
      </c>
      <c r="I140" s="74" t="n">
        <v>138</v>
      </c>
      <c r="J140" s="74" t="str">
        <f aca="false">IF(元データ_P!$A$138="","",元データ_P!$A$138)</f>
        <v/>
      </c>
      <c r="K140" s="74" t="str">
        <f aca="false">IF(LEFT(J140,1)="(",IFERROR(VALUE(MID(J140,2,FIND(")",J140)-2)),""),"")</f>
        <v/>
      </c>
      <c r="L140" s="75" t="str">
        <f aca="false">IF($K140="","",N(元データ_P!$B$138))</f>
        <v/>
      </c>
      <c r="M140" s="75" t="str">
        <f aca="false">IF($K140="","",N(元データ_P!$F$138))</f>
        <v/>
      </c>
      <c r="N140" s="74" t="str">
        <f aca="false">IF($K140="","",IF(COUNTIF(店舗マスタ!$B$5:$B$304,$K140)&gt;0,"登録済","未登録→マスタに追加"))</f>
        <v/>
      </c>
      <c r="P140" s="74" t="n">
        <v>138</v>
      </c>
      <c r="Q140" s="74" t="str">
        <f aca="false">IF(元データ_B!$A$138="","",元データ_B!$A$138)</f>
        <v/>
      </c>
      <c r="R140" s="74" t="str">
        <f aca="false">IF(LEFT(Q140,1)="(",IFERROR(VALUE(MID(Q140,2,FIND(")",Q140)-2)),""),"")</f>
        <v/>
      </c>
      <c r="S140" s="75" t="str">
        <f aca="false">IF($R140="","",N(元データ_B!$B$138))</f>
        <v/>
      </c>
      <c r="T140" s="75" t="str">
        <f aca="false">IF($R140="","",N(元データ_B!$F$138))</f>
        <v/>
      </c>
      <c r="U140" s="74" t="str">
        <f aca="false">IF($R140="","",IF(COUNTIF(店舗マスタ!$B$5:$B$304,$R140)&gt;0,"登録済","未登録→マスタに追加"))</f>
        <v/>
      </c>
    </row>
    <row r="141" customFormat="false" ht="15" hidden="false" customHeight="false" outlineLevel="0" collapsed="false">
      <c r="A141" s="74" t="n">
        <v>139</v>
      </c>
      <c r="B141" s="74" t="str">
        <f aca="false">IF(元データ_PB合計!$A$139="","",元データ_PB合計!$A$139)</f>
        <v/>
      </c>
      <c r="C141" s="74" t="str">
        <f aca="false">IF(LEFT(B141,1)="(",IFERROR(VALUE(MID(B141,2,FIND(")",B141)-2)),""),"")</f>
        <v/>
      </c>
      <c r="D141" s="75" t="str">
        <f aca="false">IF($C141="","",N(元データ_PB合計!$B$139))</f>
        <v/>
      </c>
      <c r="E141" s="75" t="str">
        <f aca="false">IF($C141="","",N(元データ_PB合計!$C$139))</f>
        <v/>
      </c>
      <c r="F141" s="75" t="str">
        <f aca="false">IF($C141="","",N(元データ_PB合計!$F$139))</f>
        <v/>
      </c>
      <c r="G141" s="74" t="str">
        <f aca="false">IF($C141="","",IF(COUNTIF(店舗マスタ!$B$5:$B$304,$C141)&gt;0,"登録済","未登録→マスタに追加"))</f>
        <v/>
      </c>
      <c r="I141" s="74" t="n">
        <v>139</v>
      </c>
      <c r="J141" s="74" t="str">
        <f aca="false">IF(元データ_P!$A$139="","",元データ_P!$A$139)</f>
        <v/>
      </c>
      <c r="K141" s="74" t="str">
        <f aca="false">IF(LEFT(J141,1)="(",IFERROR(VALUE(MID(J141,2,FIND(")",J141)-2)),""),"")</f>
        <v/>
      </c>
      <c r="L141" s="75" t="str">
        <f aca="false">IF($K141="","",N(元データ_P!$B$139))</f>
        <v/>
      </c>
      <c r="M141" s="75" t="str">
        <f aca="false">IF($K141="","",N(元データ_P!$F$139))</f>
        <v/>
      </c>
      <c r="N141" s="74" t="str">
        <f aca="false">IF($K141="","",IF(COUNTIF(店舗マスタ!$B$5:$B$304,$K141)&gt;0,"登録済","未登録→マスタに追加"))</f>
        <v/>
      </c>
      <c r="P141" s="74" t="n">
        <v>139</v>
      </c>
      <c r="Q141" s="74" t="str">
        <f aca="false">IF(元データ_B!$A$139="","",元データ_B!$A$139)</f>
        <v/>
      </c>
      <c r="R141" s="74" t="str">
        <f aca="false">IF(LEFT(Q141,1)="(",IFERROR(VALUE(MID(Q141,2,FIND(")",Q141)-2)),""),"")</f>
        <v/>
      </c>
      <c r="S141" s="75" t="str">
        <f aca="false">IF($R141="","",N(元データ_B!$B$139))</f>
        <v/>
      </c>
      <c r="T141" s="75" t="str">
        <f aca="false">IF($R141="","",N(元データ_B!$F$139))</f>
        <v/>
      </c>
      <c r="U141" s="74" t="str">
        <f aca="false">IF($R141="","",IF(COUNTIF(店舗マスタ!$B$5:$B$304,$R141)&gt;0,"登録済","未登録→マスタに追加"))</f>
        <v/>
      </c>
    </row>
    <row r="142" customFormat="false" ht="15" hidden="false" customHeight="false" outlineLevel="0" collapsed="false">
      <c r="A142" s="74" t="n">
        <v>140</v>
      </c>
      <c r="B142" s="74" t="str">
        <f aca="false">IF(元データ_PB合計!$A$140="","",元データ_PB合計!$A$140)</f>
        <v/>
      </c>
      <c r="C142" s="74" t="str">
        <f aca="false">IF(LEFT(B142,1)="(",IFERROR(VALUE(MID(B142,2,FIND(")",B142)-2)),""),"")</f>
        <v/>
      </c>
      <c r="D142" s="75" t="str">
        <f aca="false">IF($C142="","",N(元データ_PB合計!$B$140))</f>
        <v/>
      </c>
      <c r="E142" s="75" t="str">
        <f aca="false">IF($C142="","",N(元データ_PB合計!$C$140))</f>
        <v/>
      </c>
      <c r="F142" s="75" t="str">
        <f aca="false">IF($C142="","",N(元データ_PB合計!$F$140))</f>
        <v/>
      </c>
      <c r="G142" s="74" t="str">
        <f aca="false">IF($C142="","",IF(COUNTIF(店舗マスタ!$B$5:$B$304,$C142)&gt;0,"登録済","未登録→マスタに追加"))</f>
        <v/>
      </c>
      <c r="I142" s="74" t="n">
        <v>140</v>
      </c>
      <c r="J142" s="74" t="str">
        <f aca="false">IF(元データ_P!$A$140="","",元データ_P!$A$140)</f>
        <v/>
      </c>
      <c r="K142" s="74" t="str">
        <f aca="false">IF(LEFT(J142,1)="(",IFERROR(VALUE(MID(J142,2,FIND(")",J142)-2)),""),"")</f>
        <v/>
      </c>
      <c r="L142" s="75" t="str">
        <f aca="false">IF($K142="","",N(元データ_P!$B$140))</f>
        <v/>
      </c>
      <c r="M142" s="75" t="str">
        <f aca="false">IF($K142="","",N(元データ_P!$F$140))</f>
        <v/>
      </c>
      <c r="N142" s="74" t="str">
        <f aca="false">IF($K142="","",IF(COUNTIF(店舗マスタ!$B$5:$B$304,$K142)&gt;0,"登録済","未登録→マスタに追加"))</f>
        <v/>
      </c>
      <c r="P142" s="74" t="n">
        <v>140</v>
      </c>
      <c r="Q142" s="74" t="str">
        <f aca="false">IF(元データ_B!$A$140="","",元データ_B!$A$140)</f>
        <v/>
      </c>
      <c r="R142" s="74" t="str">
        <f aca="false">IF(LEFT(Q142,1)="(",IFERROR(VALUE(MID(Q142,2,FIND(")",Q142)-2)),""),"")</f>
        <v/>
      </c>
      <c r="S142" s="75" t="str">
        <f aca="false">IF($R142="","",N(元データ_B!$B$140))</f>
        <v/>
      </c>
      <c r="T142" s="75" t="str">
        <f aca="false">IF($R142="","",N(元データ_B!$F$140))</f>
        <v/>
      </c>
      <c r="U142" s="74" t="str">
        <f aca="false">IF($R142="","",IF(COUNTIF(店舗マスタ!$B$5:$B$304,$R142)&gt;0,"登録済","未登録→マスタに追加"))</f>
        <v/>
      </c>
    </row>
    <row r="143" customFormat="false" ht="15" hidden="false" customHeight="false" outlineLevel="0" collapsed="false">
      <c r="A143" s="74" t="n">
        <v>141</v>
      </c>
      <c r="B143" s="74" t="str">
        <f aca="false">IF(元データ_PB合計!$A$141="","",元データ_PB合計!$A$141)</f>
        <v/>
      </c>
      <c r="C143" s="74" t="str">
        <f aca="false">IF(LEFT(B143,1)="(",IFERROR(VALUE(MID(B143,2,FIND(")",B143)-2)),""),"")</f>
        <v/>
      </c>
      <c r="D143" s="75" t="str">
        <f aca="false">IF($C143="","",N(元データ_PB合計!$B$141))</f>
        <v/>
      </c>
      <c r="E143" s="75" t="str">
        <f aca="false">IF($C143="","",N(元データ_PB合計!$C$141))</f>
        <v/>
      </c>
      <c r="F143" s="75" t="str">
        <f aca="false">IF($C143="","",N(元データ_PB合計!$F$141))</f>
        <v/>
      </c>
      <c r="G143" s="74" t="str">
        <f aca="false">IF($C143="","",IF(COUNTIF(店舗マスタ!$B$5:$B$304,$C143)&gt;0,"登録済","未登録→マスタに追加"))</f>
        <v/>
      </c>
      <c r="I143" s="74" t="n">
        <v>141</v>
      </c>
      <c r="J143" s="74" t="str">
        <f aca="false">IF(元データ_P!$A$141="","",元データ_P!$A$141)</f>
        <v/>
      </c>
      <c r="K143" s="74" t="str">
        <f aca="false">IF(LEFT(J143,1)="(",IFERROR(VALUE(MID(J143,2,FIND(")",J143)-2)),""),"")</f>
        <v/>
      </c>
      <c r="L143" s="75" t="str">
        <f aca="false">IF($K143="","",N(元データ_P!$B$141))</f>
        <v/>
      </c>
      <c r="M143" s="75" t="str">
        <f aca="false">IF($K143="","",N(元データ_P!$F$141))</f>
        <v/>
      </c>
      <c r="N143" s="74" t="str">
        <f aca="false">IF($K143="","",IF(COUNTIF(店舗マスタ!$B$5:$B$304,$K143)&gt;0,"登録済","未登録→マスタに追加"))</f>
        <v/>
      </c>
      <c r="P143" s="74" t="n">
        <v>141</v>
      </c>
      <c r="Q143" s="74" t="str">
        <f aca="false">IF(元データ_B!$A$141="","",元データ_B!$A$141)</f>
        <v/>
      </c>
      <c r="R143" s="74" t="str">
        <f aca="false">IF(LEFT(Q143,1)="(",IFERROR(VALUE(MID(Q143,2,FIND(")",Q143)-2)),""),"")</f>
        <v/>
      </c>
      <c r="S143" s="75" t="str">
        <f aca="false">IF($R143="","",N(元データ_B!$B$141))</f>
        <v/>
      </c>
      <c r="T143" s="75" t="str">
        <f aca="false">IF($R143="","",N(元データ_B!$F$141))</f>
        <v/>
      </c>
      <c r="U143" s="74" t="str">
        <f aca="false">IF($R143="","",IF(COUNTIF(店舗マスタ!$B$5:$B$304,$R143)&gt;0,"登録済","未登録→マスタに追加"))</f>
        <v/>
      </c>
    </row>
    <row r="144" customFormat="false" ht="15" hidden="false" customHeight="false" outlineLevel="0" collapsed="false">
      <c r="A144" s="74" t="n">
        <v>142</v>
      </c>
      <c r="B144" s="74" t="str">
        <f aca="false">IF(元データ_PB合計!$A$142="","",元データ_PB合計!$A$142)</f>
        <v/>
      </c>
      <c r="C144" s="74" t="str">
        <f aca="false">IF(LEFT(B144,1)="(",IFERROR(VALUE(MID(B144,2,FIND(")",B144)-2)),""),"")</f>
        <v/>
      </c>
      <c r="D144" s="75" t="str">
        <f aca="false">IF($C144="","",N(元データ_PB合計!$B$142))</f>
        <v/>
      </c>
      <c r="E144" s="75" t="str">
        <f aca="false">IF($C144="","",N(元データ_PB合計!$C$142))</f>
        <v/>
      </c>
      <c r="F144" s="75" t="str">
        <f aca="false">IF($C144="","",N(元データ_PB合計!$F$142))</f>
        <v/>
      </c>
      <c r="G144" s="74" t="str">
        <f aca="false">IF($C144="","",IF(COUNTIF(店舗マスタ!$B$5:$B$304,$C144)&gt;0,"登録済","未登録→マスタに追加"))</f>
        <v/>
      </c>
      <c r="I144" s="74" t="n">
        <v>142</v>
      </c>
      <c r="J144" s="74" t="str">
        <f aca="false">IF(元データ_P!$A$142="","",元データ_P!$A$142)</f>
        <v/>
      </c>
      <c r="K144" s="74" t="str">
        <f aca="false">IF(LEFT(J144,1)="(",IFERROR(VALUE(MID(J144,2,FIND(")",J144)-2)),""),"")</f>
        <v/>
      </c>
      <c r="L144" s="75" t="str">
        <f aca="false">IF($K144="","",N(元データ_P!$B$142))</f>
        <v/>
      </c>
      <c r="M144" s="75" t="str">
        <f aca="false">IF($K144="","",N(元データ_P!$F$142))</f>
        <v/>
      </c>
      <c r="N144" s="74" t="str">
        <f aca="false">IF($K144="","",IF(COUNTIF(店舗マスタ!$B$5:$B$304,$K144)&gt;0,"登録済","未登録→マスタに追加"))</f>
        <v/>
      </c>
      <c r="P144" s="74" t="n">
        <v>142</v>
      </c>
      <c r="Q144" s="74" t="str">
        <f aca="false">IF(元データ_B!$A$142="","",元データ_B!$A$142)</f>
        <v/>
      </c>
      <c r="R144" s="74" t="str">
        <f aca="false">IF(LEFT(Q144,1)="(",IFERROR(VALUE(MID(Q144,2,FIND(")",Q144)-2)),""),"")</f>
        <v/>
      </c>
      <c r="S144" s="75" t="str">
        <f aca="false">IF($R144="","",N(元データ_B!$B$142))</f>
        <v/>
      </c>
      <c r="T144" s="75" t="str">
        <f aca="false">IF($R144="","",N(元データ_B!$F$142))</f>
        <v/>
      </c>
      <c r="U144" s="74" t="str">
        <f aca="false">IF($R144="","",IF(COUNTIF(店舗マスタ!$B$5:$B$304,$R144)&gt;0,"登録済","未登録→マスタに追加"))</f>
        <v/>
      </c>
    </row>
    <row r="145" customFormat="false" ht="15" hidden="false" customHeight="false" outlineLevel="0" collapsed="false">
      <c r="A145" s="74" t="n">
        <v>143</v>
      </c>
      <c r="B145" s="74" t="str">
        <f aca="false">IF(元データ_PB合計!$A$143="","",元データ_PB合計!$A$143)</f>
        <v/>
      </c>
      <c r="C145" s="74" t="str">
        <f aca="false">IF(LEFT(B145,1)="(",IFERROR(VALUE(MID(B145,2,FIND(")",B145)-2)),""),"")</f>
        <v/>
      </c>
      <c r="D145" s="75" t="str">
        <f aca="false">IF($C145="","",N(元データ_PB合計!$B$143))</f>
        <v/>
      </c>
      <c r="E145" s="75" t="str">
        <f aca="false">IF($C145="","",N(元データ_PB合計!$C$143))</f>
        <v/>
      </c>
      <c r="F145" s="75" t="str">
        <f aca="false">IF($C145="","",N(元データ_PB合計!$F$143))</f>
        <v/>
      </c>
      <c r="G145" s="74" t="str">
        <f aca="false">IF($C145="","",IF(COUNTIF(店舗マスタ!$B$5:$B$304,$C145)&gt;0,"登録済","未登録→マスタに追加"))</f>
        <v/>
      </c>
      <c r="I145" s="74" t="n">
        <v>143</v>
      </c>
      <c r="J145" s="74" t="str">
        <f aca="false">IF(元データ_P!$A$143="","",元データ_P!$A$143)</f>
        <v/>
      </c>
      <c r="K145" s="74" t="str">
        <f aca="false">IF(LEFT(J145,1)="(",IFERROR(VALUE(MID(J145,2,FIND(")",J145)-2)),""),"")</f>
        <v/>
      </c>
      <c r="L145" s="75" t="str">
        <f aca="false">IF($K145="","",N(元データ_P!$B$143))</f>
        <v/>
      </c>
      <c r="M145" s="75" t="str">
        <f aca="false">IF($K145="","",N(元データ_P!$F$143))</f>
        <v/>
      </c>
      <c r="N145" s="74" t="str">
        <f aca="false">IF($K145="","",IF(COUNTIF(店舗マスタ!$B$5:$B$304,$K145)&gt;0,"登録済","未登録→マスタに追加"))</f>
        <v/>
      </c>
      <c r="P145" s="74" t="n">
        <v>143</v>
      </c>
      <c r="Q145" s="74" t="str">
        <f aca="false">IF(元データ_B!$A$143="","",元データ_B!$A$143)</f>
        <v/>
      </c>
      <c r="R145" s="74" t="str">
        <f aca="false">IF(LEFT(Q145,1)="(",IFERROR(VALUE(MID(Q145,2,FIND(")",Q145)-2)),""),"")</f>
        <v/>
      </c>
      <c r="S145" s="75" t="str">
        <f aca="false">IF($R145="","",N(元データ_B!$B$143))</f>
        <v/>
      </c>
      <c r="T145" s="75" t="str">
        <f aca="false">IF($R145="","",N(元データ_B!$F$143))</f>
        <v/>
      </c>
      <c r="U145" s="74" t="str">
        <f aca="false">IF($R145="","",IF(COUNTIF(店舗マスタ!$B$5:$B$304,$R145)&gt;0,"登録済","未登録→マスタに追加"))</f>
        <v/>
      </c>
    </row>
    <row r="146" customFormat="false" ht="15" hidden="false" customHeight="false" outlineLevel="0" collapsed="false">
      <c r="A146" s="74" t="n">
        <v>144</v>
      </c>
      <c r="B146" s="74" t="str">
        <f aca="false">IF(元データ_PB合計!$A$144="","",元データ_PB合計!$A$144)</f>
        <v/>
      </c>
      <c r="C146" s="74" t="str">
        <f aca="false">IF(LEFT(B146,1)="(",IFERROR(VALUE(MID(B146,2,FIND(")",B146)-2)),""),"")</f>
        <v/>
      </c>
      <c r="D146" s="75" t="str">
        <f aca="false">IF($C146="","",N(元データ_PB合計!$B$144))</f>
        <v/>
      </c>
      <c r="E146" s="75" t="str">
        <f aca="false">IF($C146="","",N(元データ_PB合計!$C$144))</f>
        <v/>
      </c>
      <c r="F146" s="75" t="str">
        <f aca="false">IF($C146="","",N(元データ_PB合計!$F$144))</f>
        <v/>
      </c>
      <c r="G146" s="74" t="str">
        <f aca="false">IF($C146="","",IF(COUNTIF(店舗マスタ!$B$5:$B$304,$C146)&gt;0,"登録済","未登録→マスタに追加"))</f>
        <v/>
      </c>
      <c r="I146" s="74" t="n">
        <v>144</v>
      </c>
      <c r="J146" s="74" t="str">
        <f aca="false">IF(元データ_P!$A$144="","",元データ_P!$A$144)</f>
        <v/>
      </c>
      <c r="K146" s="74" t="str">
        <f aca="false">IF(LEFT(J146,1)="(",IFERROR(VALUE(MID(J146,2,FIND(")",J146)-2)),""),"")</f>
        <v/>
      </c>
      <c r="L146" s="75" t="str">
        <f aca="false">IF($K146="","",N(元データ_P!$B$144))</f>
        <v/>
      </c>
      <c r="M146" s="75" t="str">
        <f aca="false">IF($K146="","",N(元データ_P!$F$144))</f>
        <v/>
      </c>
      <c r="N146" s="74" t="str">
        <f aca="false">IF($K146="","",IF(COUNTIF(店舗マスタ!$B$5:$B$304,$K146)&gt;0,"登録済","未登録→マスタに追加"))</f>
        <v/>
      </c>
      <c r="P146" s="74" t="n">
        <v>144</v>
      </c>
      <c r="Q146" s="74" t="str">
        <f aca="false">IF(元データ_B!$A$144="","",元データ_B!$A$144)</f>
        <v/>
      </c>
      <c r="R146" s="74" t="str">
        <f aca="false">IF(LEFT(Q146,1)="(",IFERROR(VALUE(MID(Q146,2,FIND(")",Q146)-2)),""),"")</f>
        <v/>
      </c>
      <c r="S146" s="75" t="str">
        <f aca="false">IF($R146="","",N(元データ_B!$B$144))</f>
        <v/>
      </c>
      <c r="T146" s="75" t="str">
        <f aca="false">IF($R146="","",N(元データ_B!$F$144))</f>
        <v/>
      </c>
      <c r="U146" s="74" t="str">
        <f aca="false">IF($R146="","",IF(COUNTIF(店舗マスタ!$B$5:$B$304,$R146)&gt;0,"登録済","未登録→マスタに追加"))</f>
        <v/>
      </c>
    </row>
    <row r="147" customFormat="false" ht="15" hidden="false" customHeight="false" outlineLevel="0" collapsed="false">
      <c r="A147" s="74" t="n">
        <v>145</v>
      </c>
      <c r="B147" s="74" t="str">
        <f aca="false">IF(元データ_PB合計!$A$145="","",元データ_PB合計!$A$145)</f>
        <v/>
      </c>
      <c r="C147" s="74" t="str">
        <f aca="false">IF(LEFT(B147,1)="(",IFERROR(VALUE(MID(B147,2,FIND(")",B147)-2)),""),"")</f>
        <v/>
      </c>
      <c r="D147" s="75" t="str">
        <f aca="false">IF($C147="","",N(元データ_PB合計!$B$145))</f>
        <v/>
      </c>
      <c r="E147" s="75" t="str">
        <f aca="false">IF($C147="","",N(元データ_PB合計!$C$145))</f>
        <v/>
      </c>
      <c r="F147" s="75" t="str">
        <f aca="false">IF($C147="","",N(元データ_PB合計!$F$145))</f>
        <v/>
      </c>
      <c r="G147" s="74" t="str">
        <f aca="false">IF($C147="","",IF(COUNTIF(店舗マスタ!$B$5:$B$304,$C147)&gt;0,"登録済","未登録→マスタに追加"))</f>
        <v/>
      </c>
      <c r="I147" s="74" t="n">
        <v>145</v>
      </c>
      <c r="J147" s="74" t="str">
        <f aca="false">IF(元データ_P!$A$145="","",元データ_P!$A$145)</f>
        <v/>
      </c>
      <c r="K147" s="74" t="str">
        <f aca="false">IF(LEFT(J147,1)="(",IFERROR(VALUE(MID(J147,2,FIND(")",J147)-2)),""),"")</f>
        <v/>
      </c>
      <c r="L147" s="75" t="str">
        <f aca="false">IF($K147="","",N(元データ_P!$B$145))</f>
        <v/>
      </c>
      <c r="M147" s="75" t="str">
        <f aca="false">IF($K147="","",N(元データ_P!$F$145))</f>
        <v/>
      </c>
      <c r="N147" s="74" t="str">
        <f aca="false">IF($K147="","",IF(COUNTIF(店舗マスタ!$B$5:$B$304,$K147)&gt;0,"登録済","未登録→マスタに追加"))</f>
        <v/>
      </c>
      <c r="P147" s="74" t="n">
        <v>145</v>
      </c>
      <c r="Q147" s="74" t="str">
        <f aca="false">IF(元データ_B!$A$145="","",元データ_B!$A$145)</f>
        <v/>
      </c>
      <c r="R147" s="74" t="str">
        <f aca="false">IF(LEFT(Q147,1)="(",IFERROR(VALUE(MID(Q147,2,FIND(")",Q147)-2)),""),"")</f>
        <v/>
      </c>
      <c r="S147" s="75" t="str">
        <f aca="false">IF($R147="","",N(元データ_B!$B$145))</f>
        <v/>
      </c>
      <c r="T147" s="75" t="str">
        <f aca="false">IF($R147="","",N(元データ_B!$F$145))</f>
        <v/>
      </c>
      <c r="U147" s="74" t="str">
        <f aca="false">IF($R147="","",IF(COUNTIF(店舗マスタ!$B$5:$B$304,$R147)&gt;0,"登録済","未登録→マスタに追加"))</f>
        <v/>
      </c>
    </row>
    <row r="148" customFormat="false" ht="15" hidden="false" customHeight="false" outlineLevel="0" collapsed="false">
      <c r="A148" s="74" t="n">
        <v>146</v>
      </c>
      <c r="B148" s="74" t="str">
        <f aca="false">IF(元データ_PB合計!$A$146="","",元データ_PB合計!$A$146)</f>
        <v/>
      </c>
      <c r="C148" s="74" t="str">
        <f aca="false">IF(LEFT(B148,1)="(",IFERROR(VALUE(MID(B148,2,FIND(")",B148)-2)),""),"")</f>
        <v/>
      </c>
      <c r="D148" s="75" t="str">
        <f aca="false">IF($C148="","",N(元データ_PB合計!$B$146))</f>
        <v/>
      </c>
      <c r="E148" s="75" t="str">
        <f aca="false">IF($C148="","",N(元データ_PB合計!$C$146))</f>
        <v/>
      </c>
      <c r="F148" s="75" t="str">
        <f aca="false">IF($C148="","",N(元データ_PB合計!$F$146))</f>
        <v/>
      </c>
      <c r="G148" s="74" t="str">
        <f aca="false">IF($C148="","",IF(COUNTIF(店舗マスタ!$B$5:$B$304,$C148)&gt;0,"登録済","未登録→マスタに追加"))</f>
        <v/>
      </c>
      <c r="I148" s="74" t="n">
        <v>146</v>
      </c>
      <c r="J148" s="74" t="str">
        <f aca="false">IF(元データ_P!$A$146="","",元データ_P!$A$146)</f>
        <v/>
      </c>
      <c r="K148" s="74" t="str">
        <f aca="false">IF(LEFT(J148,1)="(",IFERROR(VALUE(MID(J148,2,FIND(")",J148)-2)),""),"")</f>
        <v/>
      </c>
      <c r="L148" s="75" t="str">
        <f aca="false">IF($K148="","",N(元データ_P!$B$146))</f>
        <v/>
      </c>
      <c r="M148" s="75" t="str">
        <f aca="false">IF($K148="","",N(元データ_P!$F$146))</f>
        <v/>
      </c>
      <c r="N148" s="74" t="str">
        <f aca="false">IF($K148="","",IF(COUNTIF(店舗マスタ!$B$5:$B$304,$K148)&gt;0,"登録済","未登録→マスタに追加"))</f>
        <v/>
      </c>
      <c r="P148" s="74" t="n">
        <v>146</v>
      </c>
      <c r="Q148" s="74" t="str">
        <f aca="false">IF(元データ_B!$A$146="","",元データ_B!$A$146)</f>
        <v/>
      </c>
      <c r="R148" s="74" t="str">
        <f aca="false">IF(LEFT(Q148,1)="(",IFERROR(VALUE(MID(Q148,2,FIND(")",Q148)-2)),""),"")</f>
        <v/>
      </c>
      <c r="S148" s="75" t="str">
        <f aca="false">IF($R148="","",N(元データ_B!$B$146))</f>
        <v/>
      </c>
      <c r="T148" s="75" t="str">
        <f aca="false">IF($R148="","",N(元データ_B!$F$146))</f>
        <v/>
      </c>
      <c r="U148" s="74" t="str">
        <f aca="false">IF($R148="","",IF(COUNTIF(店舗マスタ!$B$5:$B$304,$R148)&gt;0,"登録済","未登録→マスタに追加"))</f>
        <v/>
      </c>
    </row>
    <row r="149" customFormat="false" ht="15" hidden="false" customHeight="false" outlineLevel="0" collapsed="false">
      <c r="A149" s="74" t="n">
        <v>147</v>
      </c>
      <c r="B149" s="74" t="str">
        <f aca="false">IF(元データ_PB合計!$A$147="","",元データ_PB合計!$A$147)</f>
        <v/>
      </c>
      <c r="C149" s="74" t="str">
        <f aca="false">IF(LEFT(B149,1)="(",IFERROR(VALUE(MID(B149,2,FIND(")",B149)-2)),""),"")</f>
        <v/>
      </c>
      <c r="D149" s="75" t="str">
        <f aca="false">IF($C149="","",N(元データ_PB合計!$B$147))</f>
        <v/>
      </c>
      <c r="E149" s="75" t="str">
        <f aca="false">IF($C149="","",N(元データ_PB合計!$C$147))</f>
        <v/>
      </c>
      <c r="F149" s="75" t="str">
        <f aca="false">IF($C149="","",N(元データ_PB合計!$F$147))</f>
        <v/>
      </c>
      <c r="G149" s="74" t="str">
        <f aca="false">IF($C149="","",IF(COUNTIF(店舗マスタ!$B$5:$B$304,$C149)&gt;0,"登録済","未登録→マスタに追加"))</f>
        <v/>
      </c>
      <c r="I149" s="74" t="n">
        <v>147</v>
      </c>
      <c r="J149" s="74" t="str">
        <f aca="false">IF(元データ_P!$A$147="","",元データ_P!$A$147)</f>
        <v/>
      </c>
      <c r="K149" s="74" t="str">
        <f aca="false">IF(LEFT(J149,1)="(",IFERROR(VALUE(MID(J149,2,FIND(")",J149)-2)),""),"")</f>
        <v/>
      </c>
      <c r="L149" s="75" t="str">
        <f aca="false">IF($K149="","",N(元データ_P!$B$147))</f>
        <v/>
      </c>
      <c r="M149" s="75" t="str">
        <f aca="false">IF($K149="","",N(元データ_P!$F$147))</f>
        <v/>
      </c>
      <c r="N149" s="74" t="str">
        <f aca="false">IF($K149="","",IF(COUNTIF(店舗マスタ!$B$5:$B$304,$K149)&gt;0,"登録済","未登録→マスタに追加"))</f>
        <v/>
      </c>
      <c r="P149" s="74" t="n">
        <v>147</v>
      </c>
      <c r="Q149" s="74" t="str">
        <f aca="false">IF(元データ_B!$A$147="","",元データ_B!$A$147)</f>
        <v/>
      </c>
      <c r="R149" s="74" t="str">
        <f aca="false">IF(LEFT(Q149,1)="(",IFERROR(VALUE(MID(Q149,2,FIND(")",Q149)-2)),""),"")</f>
        <v/>
      </c>
      <c r="S149" s="75" t="str">
        <f aca="false">IF($R149="","",N(元データ_B!$B$147))</f>
        <v/>
      </c>
      <c r="T149" s="75" t="str">
        <f aca="false">IF($R149="","",N(元データ_B!$F$147))</f>
        <v/>
      </c>
      <c r="U149" s="74" t="str">
        <f aca="false">IF($R149="","",IF(COUNTIF(店舗マスタ!$B$5:$B$304,$R149)&gt;0,"登録済","未登録→マスタに追加"))</f>
        <v/>
      </c>
    </row>
    <row r="150" customFormat="false" ht="15" hidden="false" customHeight="false" outlineLevel="0" collapsed="false">
      <c r="A150" s="74" t="n">
        <v>148</v>
      </c>
      <c r="B150" s="74" t="str">
        <f aca="false">IF(元データ_PB合計!$A$148="","",元データ_PB合計!$A$148)</f>
        <v/>
      </c>
      <c r="C150" s="74" t="str">
        <f aca="false">IF(LEFT(B150,1)="(",IFERROR(VALUE(MID(B150,2,FIND(")",B150)-2)),""),"")</f>
        <v/>
      </c>
      <c r="D150" s="75" t="str">
        <f aca="false">IF($C150="","",N(元データ_PB合計!$B$148))</f>
        <v/>
      </c>
      <c r="E150" s="75" t="str">
        <f aca="false">IF($C150="","",N(元データ_PB合計!$C$148))</f>
        <v/>
      </c>
      <c r="F150" s="75" t="str">
        <f aca="false">IF($C150="","",N(元データ_PB合計!$F$148))</f>
        <v/>
      </c>
      <c r="G150" s="74" t="str">
        <f aca="false">IF($C150="","",IF(COUNTIF(店舗マスタ!$B$5:$B$304,$C150)&gt;0,"登録済","未登録→マスタに追加"))</f>
        <v/>
      </c>
      <c r="I150" s="74" t="n">
        <v>148</v>
      </c>
      <c r="J150" s="74" t="str">
        <f aca="false">IF(元データ_P!$A$148="","",元データ_P!$A$148)</f>
        <v/>
      </c>
      <c r="K150" s="74" t="str">
        <f aca="false">IF(LEFT(J150,1)="(",IFERROR(VALUE(MID(J150,2,FIND(")",J150)-2)),""),"")</f>
        <v/>
      </c>
      <c r="L150" s="75" t="str">
        <f aca="false">IF($K150="","",N(元データ_P!$B$148))</f>
        <v/>
      </c>
      <c r="M150" s="75" t="str">
        <f aca="false">IF($K150="","",N(元データ_P!$F$148))</f>
        <v/>
      </c>
      <c r="N150" s="74" t="str">
        <f aca="false">IF($K150="","",IF(COUNTIF(店舗マスタ!$B$5:$B$304,$K150)&gt;0,"登録済","未登録→マスタに追加"))</f>
        <v/>
      </c>
      <c r="P150" s="74" t="n">
        <v>148</v>
      </c>
      <c r="Q150" s="74" t="str">
        <f aca="false">IF(元データ_B!$A$148="","",元データ_B!$A$148)</f>
        <v/>
      </c>
      <c r="R150" s="74" t="str">
        <f aca="false">IF(LEFT(Q150,1)="(",IFERROR(VALUE(MID(Q150,2,FIND(")",Q150)-2)),""),"")</f>
        <v/>
      </c>
      <c r="S150" s="75" t="str">
        <f aca="false">IF($R150="","",N(元データ_B!$B$148))</f>
        <v/>
      </c>
      <c r="T150" s="75" t="str">
        <f aca="false">IF($R150="","",N(元データ_B!$F$148))</f>
        <v/>
      </c>
      <c r="U150" s="74" t="str">
        <f aca="false">IF($R150="","",IF(COUNTIF(店舗マスタ!$B$5:$B$304,$R150)&gt;0,"登録済","未登録→マスタに追加"))</f>
        <v/>
      </c>
    </row>
    <row r="151" customFormat="false" ht="15" hidden="false" customHeight="false" outlineLevel="0" collapsed="false">
      <c r="A151" s="74" t="n">
        <v>149</v>
      </c>
      <c r="B151" s="74" t="str">
        <f aca="false">IF(元データ_PB合計!$A$149="","",元データ_PB合計!$A$149)</f>
        <v/>
      </c>
      <c r="C151" s="74" t="str">
        <f aca="false">IF(LEFT(B151,1)="(",IFERROR(VALUE(MID(B151,2,FIND(")",B151)-2)),""),"")</f>
        <v/>
      </c>
      <c r="D151" s="75" t="str">
        <f aca="false">IF($C151="","",N(元データ_PB合計!$B$149))</f>
        <v/>
      </c>
      <c r="E151" s="75" t="str">
        <f aca="false">IF($C151="","",N(元データ_PB合計!$C$149))</f>
        <v/>
      </c>
      <c r="F151" s="75" t="str">
        <f aca="false">IF($C151="","",N(元データ_PB合計!$F$149))</f>
        <v/>
      </c>
      <c r="G151" s="74" t="str">
        <f aca="false">IF($C151="","",IF(COUNTIF(店舗マスタ!$B$5:$B$304,$C151)&gt;0,"登録済","未登録→マスタに追加"))</f>
        <v/>
      </c>
      <c r="I151" s="74" t="n">
        <v>149</v>
      </c>
      <c r="J151" s="74" t="str">
        <f aca="false">IF(元データ_P!$A$149="","",元データ_P!$A$149)</f>
        <v/>
      </c>
      <c r="K151" s="74" t="str">
        <f aca="false">IF(LEFT(J151,1)="(",IFERROR(VALUE(MID(J151,2,FIND(")",J151)-2)),""),"")</f>
        <v/>
      </c>
      <c r="L151" s="75" t="str">
        <f aca="false">IF($K151="","",N(元データ_P!$B$149))</f>
        <v/>
      </c>
      <c r="M151" s="75" t="str">
        <f aca="false">IF($K151="","",N(元データ_P!$F$149))</f>
        <v/>
      </c>
      <c r="N151" s="74" t="str">
        <f aca="false">IF($K151="","",IF(COUNTIF(店舗マスタ!$B$5:$B$304,$K151)&gt;0,"登録済","未登録→マスタに追加"))</f>
        <v/>
      </c>
      <c r="P151" s="74" t="n">
        <v>149</v>
      </c>
      <c r="Q151" s="74" t="str">
        <f aca="false">IF(元データ_B!$A$149="","",元データ_B!$A$149)</f>
        <v/>
      </c>
      <c r="R151" s="74" t="str">
        <f aca="false">IF(LEFT(Q151,1)="(",IFERROR(VALUE(MID(Q151,2,FIND(")",Q151)-2)),""),"")</f>
        <v/>
      </c>
      <c r="S151" s="75" t="str">
        <f aca="false">IF($R151="","",N(元データ_B!$B$149))</f>
        <v/>
      </c>
      <c r="T151" s="75" t="str">
        <f aca="false">IF($R151="","",N(元データ_B!$F$149))</f>
        <v/>
      </c>
      <c r="U151" s="74" t="str">
        <f aca="false">IF($R151="","",IF(COUNTIF(店舗マスタ!$B$5:$B$304,$R151)&gt;0,"登録済","未登録→マスタに追加"))</f>
        <v/>
      </c>
    </row>
    <row r="152" customFormat="false" ht="15" hidden="false" customHeight="false" outlineLevel="0" collapsed="false">
      <c r="A152" s="74" t="n">
        <v>150</v>
      </c>
      <c r="B152" s="74" t="str">
        <f aca="false">IF(元データ_PB合計!$A$150="","",元データ_PB合計!$A$150)</f>
        <v/>
      </c>
      <c r="C152" s="74" t="str">
        <f aca="false">IF(LEFT(B152,1)="(",IFERROR(VALUE(MID(B152,2,FIND(")",B152)-2)),""),"")</f>
        <v/>
      </c>
      <c r="D152" s="75" t="str">
        <f aca="false">IF($C152="","",N(元データ_PB合計!$B$150))</f>
        <v/>
      </c>
      <c r="E152" s="75" t="str">
        <f aca="false">IF($C152="","",N(元データ_PB合計!$C$150))</f>
        <v/>
      </c>
      <c r="F152" s="75" t="str">
        <f aca="false">IF($C152="","",N(元データ_PB合計!$F$150))</f>
        <v/>
      </c>
      <c r="G152" s="74" t="str">
        <f aca="false">IF($C152="","",IF(COUNTIF(店舗マスタ!$B$5:$B$304,$C152)&gt;0,"登録済","未登録→マスタに追加"))</f>
        <v/>
      </c>
      <c r="I152" s="74" t="n">
        <v>150</v>
      </c>
      <c r="J152" s="74" t="str">
        <f aca="false">IF(元データ_P!$A$150="","",元データ_P!$A$150)</f>
        <v/>
      </c>
      <c r="K152" s="74" t="str">
        <f aca="false">IF(LEFT(J152,1)="(",IFERROR(VALUE(MID(J152,2,FIND(")",J152)-2)),""),"")</f>
        <v/>
      </c>
      <c r="L152" s="75" t="str">
        <f aca="false">IF($K152="","",N(元データ_P!$B$150))</f>
        <v/>
      </c>
      <c r="M152" s="75" t="str">
        <f aca="false">IF($K152="","",N(元データ_P!$F$150))</f>
        <v/>
      </c>
      <c r="N152" s="74" t="str">
        <f aca="false">IF($K152="","",IF(COUNTIF(店舗マスタ!$B$5:$B$304,$K152)&gt;0,"登録済","未登録→マスタに追加"))</f>
        <v/>
      </c>
      <c r="P152" s="74" t="n">
        <v>150</v>
      </c>
      <c r="Q152" s="74" t="str">
        <f aca="false">IF(元データ_B!$A$150="","",元データ_B!$A$150)</f>
        <v/>
      </c>
      <c r="R152" s="74" t="str">
        <f aca="false">IF(LEFT(Q152,1)="(",IFERROR(VALUE(MID(Q152,2,FIND(")",Q152)-2)),""),"")</f>
        <v/>
      </c>
      <c r="S152" s="75" t="str">
        <f aca="false">IF($R152="","",N(元データ_B!$B$150))</f>
        <v/>
      </c>
      <c r="T152" s="75" t="str">
        <f aca="false">IF($R152="","",N(元データ_B!$F$150))</f>
        <v/>
      </c>
      <c r="U152" s="74" t="str">
        <f aca="false">IF($R152="","",IF(COUNTIF(店舗マスタ!$B$5:$B$304,$R152)&gt;0,"登録済","未登録→マスタに追加"))</f>
        <v/>
      </c>
    </row>
    <row r="153" customFormat="false" ht="15" hidden="false" customHeight="false" outlineLevel="0" collapsed="false">
      <c r="A153" s="74" t="n">
        <v>151</v>
      </c>
      <c r="B153" s="74" t="str">
        <f aca="false">IF(元データ_PB合計!$A$151="","",元データ_PB合計!$A$151)</f>
        <v/>
      </c>
      <c r="C153" s="74" t="str">
        <f aca="false">IF(LEFT(B153,1)="(",IFERROR(VALUE(MID(B153,2,FIND(")",B153)-2)),""),"")</f>
        <v/>
      </c>
      <c r="D153" s="75" t="str">
        <f aca="false">IF($C153="","",N(元データ_PB合計!$B$151))</f>
        <v/>
      </c>
      <c r="E153" s="75" t="str">
        <f aca="false">IF($C153="","",N(元データ_PB合計!$C$151))</f>
        <v/>
      </c>
      <c r="F153" s="75" t="str">
        <f aca="false">IF($C153="","",N(元データ_PB合計!$F$151))</f>
        <v/>
      </c>
      <c r="G153" s="74" t="str">
        <f aca="false">IF($C153="","",IF(COUNTIF(店舗マスタ!$B$5:$B$304,$C153)&gt;0,"登録済","未登録→マスタに追加"))</f>
        <v/>
      </c>
      <c r="I153" s="74" t="n">
        <v>151</v>
      </c>
      <c r="J153" s="74" t="str">
        <f aca="false">IF(元データ_P!$A$151="","",元データ_P!$A$151)</f>
        <v/>
      </c>
      <c r="K153" s="74" t="str">
        <f aca="false">IF(LEFT(J153,1)="(",IFERROR(VALUE(MID(J153,2,FIND(")",J153)-2)),""),"")</f>
        <v/>
      </c>
      <c r="L153" s="75" t="str">
        <f aca="false">IF($K153="","",N(元データ_P!$B$151))</f>
        <v/>
      </c>
      <c r="M153" s="75" t="str">
        <f aca="false">IF($K153="","",N(元データ_P!$F$151))</f>
        <v/>
      </c>
      <c r="N153" s="74" t="str">
        <f aca="false">IF($K153="","",IF(COUNTIF(店舗マスタ!$B$5:$B$304,$K153)&gt;0,"登録済","未登録→マスタに追加"))</f>
        <v/>
      </c>
      <c r="P153" s="74" t="n">
        <v>151</v>
      </c>
      <c r="Q153" s="74" t="str">
        <f aca="false">IF(元データ_B!$A$151="","",元データ_B!$A$151)</f>
        <v/>
      </c>
      <c r="R153" s="74" t="str">
        <f aca="false">IF(LEFT(Q153,1)="(",IFERROR(VALUE(MID(Q153,2,FIND(")",Q153)-2)),""),"")</f>
        <v/>
      </c>
      <c r="S153" s="75" t="str">
        <f aca="false">IF($R153="","",N(元データ_B!$B$151))</f>
        <v/>
      </c>
      <c r="T153" s="75" t="str">
        <f aca="false">IF($R153="","",N(元データ_B!$F$151))</f>
        <v/>
      </c>
      <c r="U153" s="74" t="str">
        <f aca="false">IF($R153="","",IF(COUNTIF(店舗マスタ!$B$5:$B$304,$R153)&gt;0,"登録済","未登録→マスタに追加"))</f>
        <v/>
      </c>
    </row>
    <row r="154" customFormat="false" ht="15" hidden="false" customHeight="false" outlineLevel="0" collapsed="false">
      <c r="A154" s="74" t="n">
        <v>152</v>
      </c>
      <c r="B154" s="74" t="str">
        <f aca="false">IF(元データ_PB合計!$A$152="","",元データ_PB合計!$A$152)</f>
        <v/>
      </c>
      <c r="C154" s="74" t="str">
        <f aca="false">IF(LEFT(B154,1)="(",IFERROR(VALUE(MID(B154,2,FIND(")",B154)-2)),""),"")</f>
        <v/>
      </c>
      <c r="D154" s="75" t="str">
        <f aca="false">IF($C154="","",N(元データ_PB合計!$B$152))</f>
        <v/>
      </c>
      <c r="E154" s="75" t="str">
        <f aca="false">IF($C154="","",N(元データ_PB合計!$C$152))</f>
        <v/>
      </c>
      <c r="F154" s="75" t="str">
        <f aca="false">IF($C154="","",N(元データ_PB合計!$F$152))</f>
        <v/>
      </c>
      <c r="G154" s="74" t="str">
        <f aca="false">IF($C154="","",IF(COUNTIF(店舗マスタ!$B$5:$B$304,$C154)&gt;0,"登録済","未登録→マスタに追加"))</f>
        <v/>
      </c>
      <c r="I154" s="74" t="n">
        <v>152</v>
      </c>
      <c r="J154" s="74" t="str">
        <f aca="false">IF(元データ_P!$A$152="","",元データ_P!$A$152)</f>
        <v/>
      </c>
      <c r="K154" s="74" t="str">
        <f aca="false">IF(LEFT(J154,1)="(",IFERROR(VALUE(MID(J154,2,FIND(")",J154)-2)),""),"")</f>
        <v/>
      </c>
      <c r="L154" s="75" t="str">
        <f aca="false">IF($K154="","",N(元データ_P!$B$152))</f>
        <v/>
      </c>
      <c r="M154" s="75" t="str">
        <f aca="false">IF($K154="","",N(元データ_P!$F$152))</f>
        <v/>
      </c>
      <c r="N154" s="74" t="str">
        <f aca="false">IF($K154="","",IF(COUNTIF(店舗マスタ!$B$5:$B$304,$K154)&gt;0,"登録済","未登録→マスタに追加"))</f>
        <v/>
      </c>
      <c r="P154" s="74" t="n">
        <v>152</v>
      </c>
      <c r="Q154" s="74" t="str">
        <f aca="false">IF(元データ_B!$A$152="","",元データ_B!$A$152)</f>
        <v/>
      </c>
      <c r="R154" s="74" t="str">
        <f aca="false">IF(LEFT(Q154,1)="(",IFERROR(VALUE(MID(Q154,2,FIND(")",Q154)-2)),""),"")</f>
        <v/>
      </c>
      <c r="S154" s="75" t="str">
        <f aca="false">IF($R154="","",N(元データ_B!$B$152))</f>
        <v/>
      </c>
      <c r="T154" s="75" t="str">
        <f aca="false">IF($R154="","",N(元データ_B!$F$152))</f>
        <v/>
      </c>
      <c r="U154" s="74" t="str">
        <f aca="false">IF($R154="","",IF(COUNTIF(店舗マスタ!$B$5:$B$304,$R154)&gt;0,"登録済","未登録→マスタに追加"))</f>
        <v/>
      </c>
    </row>
    <row r="155" customFormat="false" ht="15" hidden="false" customHeight="false" outlineLevel="0" collapsed="false">
      <c r="A155" s="74" t="n">
        <v>153</v>
      </c>
      <c r="B155" s="74" t="str">
        <f aca="false">IF(元データ_PB合計!$A$153="","",元データ_PB合計!$A$153)</f>
        <v/>
      </c>
      <c r="C155" s="74" t="str">
        <f aca="false">IF(LEFT(B155,1)="(",IFERROR(VALUE(MID(B155,2,FIND(")",B155)-2)),""),"")</f>
        <v/>
      </c>
      <c r="D155" s="75" t="str">
        <f aca="false">IF($C155="","",N(元データ_PB合計!$B$153))</f>
        <v/>
      </c>
      <c r="E155" s="75" t="str">
        <f aca="false">IF($C155="","",N(元データ_PB合計!$C$153))</f>
        <v/>
      </c>
      <c r="F155" s="75" t="str">
        <f aca="false">IF($C155="","",N(元データ_PB合計!$F$153))</f>
        <v/>
      </c>
      <c r="G155" s="74" t="str">
        <f aca="false">IF($C155="","",IF(COUNTIF(店舗マスタ!$B$5:$B$304,$C155)&gt;0,"登録済","未登録→マスタに追加"))</f>
        <v/>
      </c>
      <c r="I155" s="74" t="n">
        <v>153</v>
      </c>
      <c r="J155" s="74" t="str">
        <f aca="false">IF(元データ_P!$A$153="","",元データ_P!$A$153)</f>
        <v/>
      </c>
      <c r="K155" s="74" t="str">
        <f aca="false">IF(LEFT(J155,1)="(",IFERROR(VALUE(MID(J155,2,FIND(")",J155)-2)),""),"")</f>
        <v/>
      </c>
      <c r="L155" s="75" t="str">
        <f aca="false">IF($K155="","",N(元データ_P!$B$153))</f>
        <v/>
      </c>
      <c r="M155" s="75" t="str">
        <f aca="false">IF($K155="","",N(元データ_P!$F$153))</f>
        <v/>
      </c>
      <c r="N155" s="74" t="str">
        <f aca="false">IF($K155="","",IF(COUNTIF(店舗マスタ!$B$5:$B$304,$K155)&gt;0,"登録済","未登録→マスタに追加"))</f>
        <v/>
      </c>
      <c r="P155" s="74" t="n">
        <v>153</v>
      </c>
      <c r="Q155" s="74" t="str">
        <f aca="false">IF(元データ_B!$A$153="","",元データ_B!$A$153)</f>
        <v/>
      </c>
      <c r="R155" s="74" t="str">
        <f aca="false">IF(LEFT(Q155,1)="(",IFERROR(VALUE(MID(Q155,2,FIND(")",Q155)-2)),""),"")</f>
        <v/>
      </c>
      <c r="S155" s="75" t="str">
        <f aca="false">IF($R155="","",N(元データ_B!$B$153))</f>
        <v/>
      </c>
      <c r="T155" s="75" t="str">
        <f aca="false">IF($R155="","",N(元データ_B!$F$153))</f>
        <v/>
      </c>
      <c r="U155" s="74" t="str">
        <f aca="false">IF($R155="","",IF(COUNTIF(店舗マスタ!$B$5:$B$304,$R155)&gt;0,"登録済","未登録→マスタに追加"))</f>
        <v/>
      </c>
    </row>
    <row r="156" customFormat="false" ht="15" hidden="false" customHeight="false" outlineLevel="0" collapsed="false">
      <c r="A156" s="74" t="n">
        <v>154</v>
      </c>
      <c r="B156" s="74" t="str">
        <f aca="false">IF(元データ_PB合計!$A$154="","",元データ_PB合計!$A$154)</f>
        <v/>
      </c>
      <c r="C156" s="74" t="str">
        <f aca="false">IF(LEFT(B156,1)="(",IFERROR(VALUE(MID(B156,2,FIND(")",B156)-2)),""),"")</f>
        <v/>
      </c>
      <c r="D156" s="75" t="str">
        <f aca="false">IF($C156="","",N(元データ_PB合計!$B$154))</f>
        <v/>
      </c>
      <c r="E156" s="75" t="str">
        <f aca="false">IF($C156="","",N(元データ_PB合計!$C$154))</f>
        <v/>
      </c>
      <c r="F156" s="75" t="str">
        <f aca="false">IF($C156="","",N(元データ_PB合計!$F$154))</f>
        <v/>
      </c>
      <c r="G156" s="74" t="str">
        <f aca="false">IF($C156="","",IF(COUNTIF(店舗マスタ!$B$5:$B$304,$C156)&gt;0,"登録済","未登録→マスタに追加"))</f>
        <v/>
      </c>
      <c r="I156" s="74" t="n">
        <v>154</v>
      </c>
      <c r="J156" s="74" t="str">
        <f aca="false">IF(元データ_P!$A$154="","",元データ_P!$A$154)</f>
        <v/>
      </c>
      <c r="K156" s="74" t="str">
        <f aca="false">IF(LEFT(J156,1)="(",IFERROR(VALUE(MID(J156,2,FIND(")",J156)-2)),""),"")</f>
        <v/>
      </c>
      <c r="L156" s="75" t="str">
        <f aca="false">IF($K156="","",N(元データ_P!$B$154))</f>
        <v/>
      </c>
      <c r="M156" s="75" t="str">
        <f aca="false">IF($K156="","",N(元データ_P!$F$154))</f>
        <v/>
      </c>
      <c r="N156" s="74" t="str">
        <f aca="false">IF($K156="","",IF(COUNTIF(店舗マスタ!$B$5:$B$304,$K156)&gt;0,"登録済","未登録→マスタに追加"))</f>
        <v/>
      </c>
      <c r="P156" s="74" t="n">
        <v>154</v>
      </c>
      <c r="Q156" s="74" t="str">
        <f aca="false">IF(元データ_B!$A$154="","",元データ_B!$A$154)</f>
        <v/>
      </c>
      <c r="R156" s="74" t="str">
        <f aca="false">IF(LEFT(Q156,1)="(",IFERROR(VALUE(MID(Q156,2,FIND(")",Q156)-2)),""),"")</f>
        <v/>
      </c>
      <c r="S156" s="75" t="str">
        <f aca="false">IF($R156="","",N(元データ_B!$B$154))</f>
        <v/>
      </c>
      <c r="T156" s="75" t="str">
        <f aca="false">IF($R156="","",N(元データ_B!$F$154))</f>
        <v/>
      </c>
      <c r="U156" s="74" t="str">
        <f aca="false">IF($R156="","",IF(COUNTIF(店舗マスタ!$B$5:$B$304,$R156)&gt;0,"登録済","未登録→マスタに追加"))</f>
        <v/>
      </c>
    </row>
    <row r="157" customFormat="false" ht="15" hidden="false" customHeight="false" outlineLevel="0" collapsed="false">
      <c r="A157" s="74" t="n">
        <v>155</v>
      </c>
      <c r="B157" s="74" t="str">
        <f aca="false">IF(元データ_PB合計!$A$155="","",元データ_PB合計!$A$155)</f>
        <v/>
      </c>
      <c r="C157" s="74" t="str">
        <f aca="false">IF(LEFT(B157,1)="(",IFERROR(VALUE(MID(B157,2,FIND(")",B157)-2)),""),"")</f>
        <v/>
      </c>
      <c r="D157" s="75" t="str">
        <f aca="false">IF($C157="","",N(元データ_PB合計!$B$155))</f>
        <v/>
      </c>
      <c r="E157" s="75" t="str">
        <f aca="false">IF($C157="","",N(元データ_PB合計!$C$155))</f>
        <v/>
      </c>
      <c r="F157" s="75" t="str">
        <f aca="false">IF($C157="","",N(元データ_PB合計!$F$155))</f>
        <v/>
      </c>
      <c r="G157" s="74" t="str">
        <f aca="false">IF($C157="","",IF(COUNTIF(店舗マスタ!$B$5:$B$304,$C157)&gt;0,"登録済","未登録→マスタに追加"))</f>
        <v/>
      </c>
      <c r="I157" s="74" t="n">
        <v>155</v>
      </c>
      <c r="J157" s="74" t="str">
        <f aca="false">IF(元データ_P!$A$155="","",元データ_P!$A$155)</f>
        <v/>
      </c>
      <c r="K157" s="74" t="str">
        <f aca="false">IF(LEFT(J157,1)="(",IFERROR(VALUE(MID(J157,2,FIND(")",J157)-2)),""),"")</f>
        <v/>
      </c>
      <c r="L157" s="75" t="str">
        <f aca="false">IF($K157="","",N(元データ_P!$B$155))</f>
        <v/>
      </c>
      <c r="M157" s="75" t="str">
        <f aca="false">IF($K157="","",N(元データ_P!$F$155))</f>
        <v/>
      </c>
      <c r="N157" s="74" t="str">
        <f aca="false">IF($K157="","",IF(COUNTIF(店舗マスタ!$B$5:$B$304,$K157)&gt;0,"登録済","未登録→マスタに追加"))</f>
        <v/>
      </c>
      <c r="P157" s="74" t="n">
        <v>155</v>
      </c>
      <c r="Q157" s="74" t="str">
        <f aca="false">IF(元データ_B!$A$155="","",元データ_B!$A$155)</f>
        <v/>
      </c>
      <c r="R157" s="74" t="str">
        <f aca="false">IF(LEFT(Q157,1)="(",IFERROR(VALUE(MID(Q157,2,FIND(")",Q157)-2)),""),"")</f>
        <v/>
      </c>
      <c r="S157" s="75" t="str">
        <f aca="false">IF($R157="","",N(元データ_B!$B$155))</f>
        <v/>
      </c>
      <c r="T157" s="75" t="str">
        <f aca="false">IF($R157="","",N(元データ_B!$F$155))</f>
        <v/>
      </c>
      <c r="U157" s="74" t="str">
        <f aca="false">IF($R157="","",IF(COUNTIF(店舗マスタ!$B$5:$B$304,$R157)&gt;0,"登録済","未登録→マスタに追加"))</f>
        <v/>
      </c>
    </row>
    <row r="158" customFormat="false" ht="15" hidden="false" customHeight="false" outlineLevel="0" collapsed="false">
      <c r="A158" s="74" t="n">
        <v>156</v>
      </c>
      <c r="B158" s="74" t="str">
        <f aca="false">IF(元データ_PB合計!$A$156="","",元データ_PB合計!$A$156)</f>
        <v/>
      </c>
      <c r="C158" s="74" t="str">
        <f aca="false">IF(LEFT(B158,1)="(",IFERROR(VALUE(MID(B158,2,FIND(")",B158)-2)),""),"")</f>
        <v/>
      </c>
      <c r="D158" s="75" t="str">
        <f aca="false">IF($C158="","",N(元データ_PB合計!$B$156))</f>
        <v/>
      </c>
      <c r="E158" s="75" t="str">
        <f aca="false">IF($C158="","",N(元データ_PB合計!$C$156))</f>
        <v/>
      </c>
      <c r="F158" s="75" t="str">
        <f aca="false">IF($C158="","",N(元データ_PB合計!$F$156))</f>
        <v/>
      </c>
      <c r="G158" s="74" t="str">
        <f aca="false">IF($C158="","",IF(COUNTIF(店舗マスタ!$B$5:$B$304,$C158)&gt;0,"登録済","未登録→マスタに追加"))</f>
        <v/>
      </c>
      <c r="I158" s="74" t="n">
        <v>156</v>
      </c>
      <c r="J158" s="74" t="str">
        <f aca="false">IF(元データ_P!$A$156="","",元データ_P!$A$156)</f>
        <v/>
      </c>
      <c r="K158" s="74" t="str">
        <f aca="false">IF(LEFT(J158,1)="(",IFERROR(VALUE(MID(J158,2,FIND(")",J158)-2)),""),"")</f>
        <v/>
      </c>
      <c r="L158" s="75" t="str">
        <f aca="false">IF($K158="","",N(元データ_P!$B$156))</f>
        <v/>
      </c>
      <c r="M158" s="75" t="str">
        <f aca="false">IF($K158="","",N(元データ_P!$F$156))</f>
        <v/>
      </c>
      <c r="N158" s="74" t="str">
        <f aca="false">IF($K158="","",IF(COUNTIF(店舗マスタ!$B$5:$B$304,$K158)&gt;0,"登録済","未登録→マスタに追加"))</f>
        <v/>
      </c>
      <c r="P158" s="74" t="n">
        <v>156</v>
      </c>
      <c r="Q158" s="74" t="str">
        <f aca="false">IF(元データ_B!$A$156="","",元データ_B!$A$156)</f>
        <v/>
      </c>
      <c r="R158" s="74" t="str">
        <f aca="false">IF(LEFT(Q158,1)="(",IFERROR(VALUE(MID(Q158,2,FIND(")",Q158)-2)),""),"")</f>
        <v/>
      </c>
      <c r="S158" s="75" t="str">
        <f aca="false">IF($R158="","",N(元データ_B!$B$156))</f>
        <v/>
      </c>
      <c r="T158" s="75" t="str">
        <f aca="false">IF($R158="","",N(元データ_B!$F$156))</f>
        <v/>
      </c>
      <c r="U158" s="74" t="str">
        <f aca="false">IF($R158="","",IF(COUNTIF(店舗マスタ!$B$5:$B$304,$R158)&gt;0,"登録済","未登録→マスタに追加"))</f>
        <v/>
      </c>
    </row>
    <row r="159" customFormat="false" ht="15" hidden="false" customHeight="false" outlineLevel="0" collapsed="false">
      <c r="A159" s="74" t="n">
        <v>157</v>
      </c>
      <c r="B159" s="74" t="str">
        <f aca="false">IF(元データ_PB合計!$A$157="","",元データ_PB合計!$A$157)</f>
        <v/>
      </c>
      <c r="C159" s="74" t="str">
        <f aca="false">IF(LEFT(B159,1)="(",IFERROR(VALUE(MID(B159,2,FIND(")",B159)-2)),""),"")</f>
        <v/>
      </c>
      <c r="D159" s="75" t="str">
        <f aca="false">IF($C159="","",N(元データ_PB合計!$B$157))</f>
        <v/>
      </c>
      <c r="E159" s="75" t="str">
        <f aca="false">IF($C159="","",N(元データ_PB合計!$C$157))</f>
        <v/>
      </c>
      <c r="F159" s="75" t="str">
        <f aca="false">IF($C159="","",N(元データ_PB合計!$F$157))</f>
        <v/>
      </c>
      <c r="G159" s="74" t="str">
        <f aca="false">IF($C159="","",IF(COUNTIF(店舗マスタ!$B$5:$B$304,$C159)&gt;0,"登録済","未登録→マスタに追加"))</f>
        <v/>
      </c>
      <c r="I159" s="74" t="n">
        <v>157</v>
      </c>
      <c r="J159" s="74" t="str">
        <f aca="false">IF(元データ_P!$A$157="","",元データ_P!$A$157)</f>
        <v/>
      </c>
      <c r="K159" s="74" t="str">
        <f aca="false">IF(LEFT(J159,1)="(",IFERROR(VALUE(MID(J159,2,FIND(")",J159)-2)),""),"")</f>
        <v/>
      </c>
      <c r="L159" s="75" t="str">
        <f aca="false">IF($K159="","",N(元データ_P!$B$157))</f>
        <v/>
      </c>
      <c r="M159" s="75" t="str">
        <f aca="false">IF($K159="","",N(元データ_P!$F$157))</f>
        <v/>
      </c>
      <c r="N159" s="74" t="str">
        <f aca="false">IF($K159="","",IF(COUNTIF(店舗マスタ!$B$5:$B$304,$K159)&gt;0,"登録済","未登録→マスタに追加"))</f>
        <v/>
      </c>
      <c r="P159" s="74" t="n">
        <v>157</v>
      </c>
      <c r="Q159" s="74" t="str">
        <f aca="false">IF(元データ_B!$A$157="","",元データ_B!$A$157)</f>
        <v/>
      </c>
      <c r="R159" s="74" t="str">
        <f aca="false">IF(LEFT(Q159,1)="(",IFERROR(VALUE(MID(Q159,2,FIND(")",Q159)-2)),""),"")</f>
        <v/>
      </c>
      <c r="S159" s="75" t="str">
        <f aca="false">IF($R159="","",N(元データ_B!$B$157))</f>
        <v/>
      </c>
      <c r="T159" s="75" t="str">
        <f aca="false">IF($R159="","",N(元データ_B!$F$157))</f>
        <v/>
      </c>
      <c r="U159" s="74" t="str">
        <f aca="false">IF($R159="","",IF(COUNTIF(店舗マスタ!$B$5:$B$304,$R159)&gt;0,"登録済","未登録→マスタに追加"))</f>
        <v/>
      </c>
    </row>
    <row r="160" customFormat="false" ht="15" hidden="false" customHeight="false" outlineLevel="0" collapsed="false">
      <c r="A160" s="74" t="n">
        <v>158</v>
      </c>
      <c r="B160" s="74" t="str">
        <f aca="false">IF(元データ_PB合計!$A$158="","",元データ_PB合計!$A$158)</f>
        <v/>
      </c>
      <c r="C160" s="74" t="str">
        <f aca="false">IF(LEFT(B160,1)="(",IFERROR(VALUE(MID(B160,2,FIND(")",B160)-2)),""),"")</f>
        <v/>
      </c>
      <c r="D160" s="75" t="str">
        <f aca="false">IF($C160="","",N(元データ_PB合計!$B$158))</f>
        <v/>
      </c>
      <c r="E160" s="75" t="str">
        <f aca="false">IF($C160="","",N(元データ_PB合計!$C$158))</f>
        <v/>
      </c>
      <c r="F160" s="75" t="str">
        <f aca="false">IF($C160="","",N(元データ_PB合計!$F$158))</f>
        <v/>
      </c>
      <c r="G160" s="74" t="str">
        <f aca="false">IF($C160="","",IF(COUNTIF(店舗マスタ!$B$5:$B$304,$C160)&gt;0,"登録済","未登録→マスタに追加"))</f>
        <v/>
      </c>
      <c r="I160" s="74" t="n">
        <v>158</v>
      </c>
      <c r="J160" s="74" t="str">
        <f aca="false">IF(元データ_P!$A$158="","",元データ_P!$A$158)</f>
        <v/>
      </c>
      <c r="K160" s="74" t="str">
        <f aca="false">IF(LEFT(J160,1)="(",IFERROR(VALUE(MID(J160,2,FIND(")",J160)-2)),""),"")</f>
        <v/>
      </c>
      <c r="L160" s="75" t="str">
        <f aca="false">IF($K160="","",N(元データ_P!$B$158))</f>
        <v/>
      </c>
      <c r="M160" s="75" t="str">
        <f aca="false">IF($K160="","",N(元データ_P!$F$158))</f>
        <v/>
      </c>
      <c r="N160" s="74" t="str">
        <f aca="false">IF($K160="","",IF(COUNTIF(店舗マスタ!$B$5:$B$304,$K160)&gt;0,"登録済","未登録→マスタに追加"))</f>
        <v/>
      </c>
      <c r="P160" s="74" t="n">
        <v>158</v>
      </c>
      <c r="Q160" s="74" t="str">
        <f aca="false">IF(元データ_B!$A$158="","",元データ_B!$A$158)</f>
        <v/>
      </c>
      <c r="R160" s="74" t="str">
        <f aca="false">IF(LEFT(Q160,1)="(",IFERROR(VALUE(MID(Q160,2,FIND(")",Q160)-2)),""),"")</f>
        <v/>
      </c>
      <c r="S160" s="75" t="str">
        <f aca="false">IF($R160="","",N(元データ_B!$B$158))</f>
        <v/>
      </c>
      <c r="T160" s="75" t="str">
        <f aca="false">IF($R160="","",N(元データ_B!$F$158))</f>
        <v/>
      </c>
      <c r="U160" s="74" t="str">
        <f aca="false">IF($R160="","",IF(COUNTIF(店舗マスタ!$B$5:$B$304,$R160)&gt;0,"登録済","未登録→マスタに追加"))</f>
        <v/>
      </c>
    </row>
    <row r="161" customFormat="false" ht="15" hidden="false" customHeight="false" outlineLevel="0" collapsed="false">
      <c r="A161" s="74" t="n">
        <v>159</v>
      </c>
      <c r="B161" s="74" t="str">
        <f aca="false">IF(元データ_PB合計!$A$159="","",元データ_PB合計!$A$159)</f>
        <v/>
      </c>
      <c r="C161" s="74" t="str">
        <f aca="false">IF(LEFT(B161,1)="(",IFERROR(VALUE(MID(B161,2,FIND(")",B161)-2)),""),"")</f>
        <v/>
      </c>
      <c r="D161" s="75" t="str">
        <f aca="false">IF($C161="","",N(元データ_PB合計!$B$159))</f>
        <v/>
      </c>
      <c r="E161" s="75" t="str">
        <f aca="false">IF($C161="","",N(元データ_PB合計!$C$159))</f>
        <v/>
      </c>
      <c r="F161" s="75" t="str">
        <f aca="false">IF($C161="","",N(元データ_PB合計!$F$159))</f>
        <v/>
      </c>
      <c r="G161" s="74" t="str">
        <f aca="false">IF($C161="","",IF(COUNTIF(店舗マスタ!$B$5:$B$304,$C161)&gt;0,"登録済","未登録→マスタに追加"))</f>
        <v/>
      </c>
      <c r="I161" s="74" t="n">
        <v>159</v>
      </c>
      <c r="J161" s="74" t="str">
        <f aca="false">IF(元データ_P!$A$159="","",元データ_P!$A$159)</f>
        <v/>
      </c>
      <c r="K161" s="74" t="str">
        <f aca="false">IF(LEFT(J161,1)="(",IFERROR(VALUE(MID(J161,2,FIND(")",J161)-2)),""),"")</f>
        <v/>
      </c>
      <c r="L161" s="75" t="str">
        <f aca="false">IF($K161="","",N(元データ_P!$B$159))</f>
        <v/>
      </c>
      <c r="M161" s="75" t="str">
        <f aca="false">IF($K161="","",N(元データ_P!$F$159))</f>
        <v/>
      </c>
      <c r="N161" s="74" t="str">
        <f aca="false">IF($K161="","",IF(COUNTIF(店舗マスタ!$B$5:$B$304,$K161)&gt;0,"登録済","未登録→マスタに追加"))</f>
        <v/>
      </c>
      <c r="P161" s="74" t="n">
        <v>159</v>
      </c>
      <c r="Q161" s="74" t="str">
        <f aca="false">IF(元データ_B!$A$159="","",元データ_B!$A$159)</f>
        <v/>
      </c>
      <c r="R161" s="74" t="str">
        <f aca="false">IF(LEFT(Q161,1)="(",IFERROR(VALUE(MID(Q161,2,FIND(")",Q161)-2)),""),"")</f>
        <v/>
      </c>
      <c r="S161" s="75" t="str">
        <f aca="false">IF($R161="","",N(元データ_B!$B$159))</f>
        <v/>
      </c>
      <c r="T161" s="75" t="str">
        <f aca="false">IF($R161="","",N(元データ_B!$F$159))</f>
        <v/>
      </c>
      <c r="U161" s="74" t="str">
        <f aca="false">IF($R161="","",IF(COUNTIF(店舗マスタ!$B$5:$B$304,$R161)&gt;0,"登録済","未登録→マスタに追加"))</f>
        <v/>
      </c>
    </row>
    <row r="162" customFormat="false" ht="15" hidden="false" customHeight="false" outlineLevel="0" collapsed="false">
      <c r="A162" s="74" t="n">
        <v>160</v>
      </c>
      <c r="B162" s="74" t="str">
        <f aca="false">IF(元データ_PB合計!$A$160="","",元データ_PB合計!$A$160)</f>
        <v/>
      </c>
      <c r="C162" s="74" t="str">
        <f aca="false">IF(LEFT(B162,1)="(",IFERROR(VALUE(MID(B162,2,FIND(")",B162)-2)),""),"")</f>
        <v/>
      </c>
      <c r="D162" s="75" t="str">
        <f aca="false">IF($C162="","",N(元データ_PB合計!$B$160))</f>
        <v/>
      </c>
      <c r="E162" s="75" t="str">
        <f aca="false">IF($C162="","",N(元データ_PB合計!$C$160))</f>
        <v/>
      </c>
      <c r="F162" s="75" t="str">
        <f aca="false">IF($C162="","",N(元データ_PB合計!$F$160))</f>
        <v/>
      </c>
      <c r="G162" s="74" t="str">
        <f aca="false">IF($C162="","",IF(COUNTIF(店舗マスタ!$B$5:$B$304,$C162)&gt;0,"登録済","未登録→マスタに追加"))</f>
        <v/>
      </c>
      <c r="I162" s="74" t="n">
        <v>160</v>
      </c>
      <c r="J162" s="74" t="str">
        <f aca="false">IF(元データ_P!$A$160="","",元データ_P!$A$160)</f>
        <v/>
      </c>
      <c r="K162" s="74" t="str">
        <f aca="false">IF(LEFT(J162,1)="(",IFERROR(VALUE(MID(J162,2,FIND(")",J162)-2)),""),"")</f>
        <v/>
      </c>
      <c r="L162" s="75" t="str">
        <f aca="false">IF($K162="","",N(元データ_P!$B$160))</f>
        <v/>
      </c>
      <c r="M162" s="75" t="str">
        <f aca="false">IF($K162="","",N(元データ_P!$F$160))</f>
        <v/>
      </c>
      <c r="N162" s="74" t="str">
        <f aca="false">IF($K162="","",IF(COUNTIF(店舗マスタ!$B$5:$B$304,$K162)&gt;0,"登録済","未登録→マスタに追加"))</f>
        <v/>
      </c>
      <c r="P162" s="74" t="n">
        <v>160</v>
      </c>
      <c r="Q162" s="74" t="str">
        <f aca="false">IF(元データ_B!$A$160="","",元データ_B!$A$160)</f>
        <v/>
      </c>
      <c r="R162" s="74" t="str">
        <f aca="false">IF(LEFT(Q162,1)="(",IFERROR(VALUE(MID(Q162,2,FIND(")",Q162)-2)),""),"")</f>
        <v/>
      </c>
      <c r="S162" s="75" t="str">
        <f aca="false">IF($R162="","",N(元データ_B!$B$160))</f>
        <v/>
      </c>
      <c r="T162" s="75" t="str">
        <f aca="false">IF($R162="","",N(元データ_B!$F$160))</f>
        <v/>
      </c>
      <c r="U162" s="74" t="str">
        <f aca="false">IF($R162="","",IF(COUNTIF(店舗マスタ!$B$5:$B$304,$R162)&gt;0,"登録済","未登録→マスタに追加"))</f>
        <v/>
      </c>
    </row>
    <row r="163" customFormat="false" ht="15" hidden="false" customHeight="false" outlineLevel="0" collapsed="false">
      <c r="A163" s="74" t="n">
        <v>161</v>
      </c>
      <c r="B163" s="74" t="str">
        <f aca="false">IF(元データ_PB合計!$A$161="","",元データ_PB合計!$A$161)</f>
        <v/>
      </c>
      <c r="C163" s="74" t="str">
        <f aca="false">IF(LEFT(B163,1)="(",IFERROR(VALUE(MID(B163,2,FIND(")",B163)-2)),""),"")</f>
        <v/>
      </c>
      <c r="D163" s="75" t="str">
        <f aca="false">IF($C163="","",N(元データ_PB合計!$B$161))</f>
        <v/>
      </c>
      <c r="E163" s="75" t="str">
        <f aca="false">IF($C163="","",N(元データ_PB合計!$C$161))</f>
        <v/>
      </c>
      <c r="F163" s="75" t="str">
        <f aca="false">IF($C163="","",N(元データ_PB合計!$F$161))</f>
        <v/>
      </c>
      <c r="G163" s="74" t="str">
        <f aca="false">IF($C163="","",IF(COUNTIF(店舗マスタ!$B$5:$B$304,$C163)&gt;0,"登録済","未登録→マスタに追加"))</f>
        <v/>
      </c>
      <c r="I163" s="74" t="n">
        <v>161</v>
      </c>
      <c r="J163" s="74" t="str">
        <f aca="false">IF(元データ_P!$A$161="","",元データ_P!$A$161)</f>
        <v/>
      </c>
      <c r="K163" s="74" t="str">
        <f aca="false">IF(LEFT(J163,1)="(",IFERROR(VALUE(MID(J163,2,FIND(")",J163)-2)),""),"")</f>
        <v/>
      </c>
      <c r="L163" s="75" t="str">
        <f aca="false">IF($K163="","",N(元データ_P!$B$161))</f>
        <v/>
      </c>
      <c r="M163" s="75" t="str">
        <f aca="false">IF($K163="","",N(元データ_P!$F$161))</f>
        <v/>
      </c>
      <c r="N163" s="74" t="str">
        <f aca="false">IF($K163="","",IF(COUNTIF(店舗マスタ!$B$5:$B$304,$K163)&gt;0,"登録済","未登録→マスタに追加"))</f>
        <v/>
      </c>
      <c r="P163" s="74" t="n">
        <v>161</v>
      </c>
      <c r="Q163" s="74" t="str">
        <f aca="false">IF(元データ_B!$A$161="","",元データ_B!$A$161)</f>
        <v/>
      </c>
      <c r="R163" s="74" t="str">
        <f aca="false">IF(LEFT(Q163,1)="(",IFERROR(VALUE(MID(Q163,2,FIND(")",Q163)-2)),""),"")</f>
        <v/>
      </c>
      <c r="S163" s="75" t="str">
        <f aca="false">IF($R163="","",N(元データ_B!$B$161))</f>
        <v/>
      </c>
      <c r="T163" s="75" t="str">
        <f aca="false">IF($R163="","",N(元データ_B!$F$161))</f>
        <v/>
      </c>
      <c r="U163" s="74" t="str">
        <f aca="false">IF($R163="","",IF(COUNTIF(店舗マスタ!$B$5:$B$304,$R163)&gt;0,"登録済","未登録→マスタに追加"))</f>
        <v/>
      </c>
    </row>
    <row r="164" customFormat="false" ht="15" hidden="false" customHeight="false" outlineLevel="0" collapsed="false">
      <c r="A164" s="74" t="n">
        <v>162</v>
      </c>
      <c r="B164" s="74" t="str">
        <f aca="false">IF(元データ_PB合計!$A$162="","",元データ_PB合計!$A$162)</f>
        <v/>
      </c>
      <c r="C164" s="74" t="str">
        <f aca="false">IF(LEFT(B164,1)="(",IFERROR(VALUE(MID(B164,2,FIND(")",B164)-2)),""),"")</f>
        <v/>
      </c>
      <c r="D164" s="75" t="str">
        <f aca="false">IF($C164="","",N(元データ_PB合計!$B$162))</f>
        <v/>
      </c>
      <c r="E164" s="75" t="str">
        <f aca="false">IF($C164="","",N(元データ_PB合計!$C$162))</f>
        <v/>
      </c>
      <c r="F164" s="75" t="str">
        <f aca="false">IF($C164="","",N(元データ_PB合計!$F$162))</f>
        <v/>
      </c>
      <c r="G164" s="74" t="str">
        <f aca="false">IF($C164="","",IF(COUNTIF(店舗マスタ!$B$5:$B$304,$C164)&gt;0,"登録済","未登録→マスタに追加"))</f>
        <v/>
      </c>
      <c r="I164" s="74" t="n">
        <v>162</v>
      </c>
      <c r="J164" s="74" t="str">
        <f aca="false">IF(元データ_P!$A$162="","",元データ_P!$A$162)</f>
        <v/>
      </c>
      <c r="K164" s="74" t="str">
        <f aca="false">IF(LEFT(J164,1)="(",IFERROR(VALUE(MID(J164,2,FIND(")",J164)-2)),""),"")</f>
        <v/>
      </c>
      <c r="L164" s="75" t="str">
        <f aca="false">IF($K164="","",N(元データ_P!$B$162))</f>
        <v/>
      </c>
      <c r="M164" s="75" t="str">
        <f aca="false">IF($K164="","",N(元データ_P!$F$162))</f>
        <v/>
      </c>
      <c r="N164" s="74" t="str">
        <f aca="false">IF($K164="","",IF(COUNTIF(店舗マスタ!$B$5:$B$304,$K164)&gt;0,"登録済","未登録→マスタに追加"))</f>
        <v/>
      </c>
      <c r="P164" s="74" t="n">
        <v>162</v>
      </c>
      <c r="Q164" s="74" t="str">
        <f aca="false">IF(元データ_B!$A$162="","",元データ_B!$A$162)</f>
        <v/>
      </c>
      <c r="R164" s="74" t="str">
        <f aca="false">IF(LEFT(Q164,1)="(",IFERROR(VALUE(MID(Q164,2,FIND(")",Q164)-2)),""),"")</f>
        <v/>
      </c>
      <c r="S164" s="75" t="str">
        <f aca="false">IF($R164="","",N(元データ_B!$B$162))</f>
        <v/>
      </c>
      <c r="T164" s="75" t="str">
        <f aca="false">IF($R164="","",N(元データ_B!$F$162))</f>
        <v/>
      </c>
      <c r="U164" s="74" t="str">
        <f aca="false">IF($R164="","",IF(COUNTIF(店舗マスタ!$B$5:$B$304,$R164)&gt;0,"登録済","未登録→マスタに追加"))</f>
        <v/>
      </c>
    </row>
    <row r="165" customFormat="false" ht="15" hidden="false" customHeight="false" outlineLevel="0" collapsed="false">
      <c r="A165" s="74" t="n">
        <v>163</v>
      </c>
      <c r="B165" s="74" t="str">
        <f aca="false">IF(元データ_PB合計!$A$163="","",元データ_PB合計!$A$163)</f>
        <v/>
      </c>
      <c r="C165" s="74" t="str">
        <f aca="false">IF(LEFT(B165,1)="(",IFERROR(VALUE(MID(B165,2,FIND(")",B165)-2)),""),"")</f>
        <v/>
      </c>
      <c r="D165" s="75" t="str">
        <f aca="false">IF($C165="","",N(元データ_PB合計!$B$163))</f>
        <v/>
      </c>
      <c r="E165" s="75" t="str">
        <f aca="false">IF($C165="","",N(元データ_PB合計!$C$163))</f>
        <v/>
      </c>
      <c r="F165" s="75" t="str">
        <f aca="false">IF($C165="","",N(元データ_PB合計!$F$163))</f>
        <v/>
      </c>
      <c r="G165" s="74" t="str">
        <f aca="false">IF($C165="","",IF(COUNTIF(店舗マスタ!$B$5:$B$304,$C165)&gt;0,"登録済","未登録→マスタに追加"))</f>
        <v/>
      </c>
      <c r="I165" s="74" t="n">
        <v>163</v>
      </c>
      <c r="J165" s="74" t="str">
        <f aca="false">IF(元データ_P!$A$163="","",元データ_P!$A$163)</f>
        <v/>
      </c>
      <c r="K165" s="74" t="str">
        <f aca="false">IF(LEFT(J165,1)="(",IFERROR(VALUE(MID(J165,2,FIND(")",J165)-2)),""),"")</f>
        <v/>
      </c>
      <c r="L165" s="75" t="str">
        <f aca="false">IF($K165="","",N(元データ_P!$B$163))</f>
        <v/>
      </c>
      <c r="M165" s="75" t="str">
        <f aca="false">IF($K165="","",N(元データ_P!$F$163))</f>
        <v/>
      </c>
      <c r="N165" s="74" t="str">
        <f aca="false">IF($K165="","",IF(COUNTIF(店舗マスタ!$B$5:$B$304,$K165)&gt;0,"登録済","未登録→マスタに追加"))</f>
        <v/>
      </c>
      <c r="P165" s="74" t="n">
        <v>163</v>
      </c>
      <c r="Q165" s="74" t="str">
        <f aca="false">IF(元データ_B!$A$163="","",元データ_B!$A$163)</f>
        <v/>
      </c>
      <c r="R165" s="74" t="str">
        <f aca="false">IF(LEFT(Q165,1)="(",IFERROR(VALUE(MID(Q165,2,FIND(")",Q165)-2)),""),"")</f>
        <v/>
      </c>
      <c r="S165" s="75" t="str">
        <f aca="false">IF($R165="","",N(元データ_B!$B$163))</f>
        <v/>
      </c>
      <c r="T165" s="75" t="str">
        <f aca="false">IF($R165="","",N(元データ_B!$F$163))</f>
        <v/>
      </c>
      <c r="U165" s="74" t="str">
        <f aca="false">IF($R165="","",IF(COUNTIF(店舗マスタ!$B$5:$B$304,$R165)&gt;0,"登録済","未登録→マスタに追加"))</f>
        <v/>
      </c>
    </row>
    <row r="166" customFormat="false" ht="15" hidden="false" customHeight="false" outlineLevel="0" collapsed="false">
      <c r="A166" s="74" t="n">
        <v>164</v>
      </c>
      <c r="B166" s="74" t="str">
        <f aca="false">IF(元データ_PB合計!$A$164="","",元データ_PB合計!$A$164)</f>
        <v/>
      </c>
      <c r="C166" s="74" t="str">
        <f aca="false">IF(LEFT(B166,1)="(",IFERROR(VALUE(MID(B166,2,FIND(")",B166)-2)),""),"")</f>
        <v/>
      </c>
      <c r="D166" s="75" t="str">
        <f aca="false">IF($C166="","",N(元データ_PB合計!$B$164))</f>
        <v/>
      </c>
      <c r="E166" s="75" t="str">
        <f aca="false">IF($C166="","",N(元データ_PB合計!$C$164))</f>
        <v/>
      </c>
      <c r="F166" s="75" t="str">
        <f aca="false">IF($C166="","",N(元データ_PB合計!$F$164))</f>
        <v/>
      </c>
      <c r="G166" s="74" t="str">
        <f aca="false">IF($C166="","",IF(COUNTIF(店舗マスタ!$B$5:$B$304,$C166)&gt;0,"登録済","未登録→マスタに追加"))</f>
        <v/>
      </c>
      <c r="I166" s="74" t="n">
        <v>164</v>
      </c>
      <c r="J166" s="74" t="str">
        <f aca="false">IF(元データ_P!$A$164="","",元データ_P!$A$164)</f>
        <v/>
      </c>
      <c r="K166" s="74" t="str">
        <f aca="false">IF(LEFT(J166,1)="(",IFERROR(VALUE(MID(J166,2,FIND(")",J166)-2)),""),"")</f>
        <v/>
      </c>
      <c r="L166" s="75" t="str">
        <f aca="false">IF($K166="","",N(元データ_P!$B$164))</f>
        <v/>
      </c>
      <c r="M166" s="75" t="str">
        <f aca="false">IF($K166="","",N(元データ_P!$F$164))</f>
        <v/>
      </c>
      <c r="N166" s="74" t="str">
        <f aca="false">IF($K166="","",IF(COUNTIF(店舗マスタ!$B$5:$B$304,$K166)&gt;0,"登録済","未登録→マスタに追加"))</f>
        <v/>
      </c>
      <c r="P166" s="74" t="n">
        <v>164</v>
      </c>
      <c r="Q166" s="74" t="str">
        <f aca="false">IF(元データ_B!$A$164="","",元データ_B!$A$164)</f>
        <v/>
      </c>
      <c r="R166" s="74" t="str">
        <f aca="false">IF(LEFT(Q166,1)="(",IFERROR(VALUE(MID(Q166,2,FIND(")",Q166)-2)),""),"")</f>
        <v/>
      </c>
      <c r="S166" s="75" t="str">
        <f aca="false">IF($R166="","",N(元データ_B!$B$164))</f>
        <v/>
      </c>
      <c r="T166" s="75" t="str">
        <f aca="false">IF($R166="","",N(元データ_B!$F$164))</f>
        <v/>
      </c>
      <c r="U166" s="74" t="str">
        <f aca="false">IF($R166="","",IF(COUNTIF(店舗マスタ!$B$5:$B$304,$R166)&gt;0,"登録済","未登録→マスタに追加"))</f>
        <v/>
      </c>
    </row>
    <row r="167" customFormat="false" ht="15" hidden="false" customHeight="false" outlineLevel="0" collapsed="false">
      <c r="A167" s="74" t="n">
        <v>165</v>
      </c>
      <c r="B167" s="74" t="str">
        <f aca="false">IF(元データ_PB合計!$A$165="","",元データ_PB合計!$A$165)</f>
        <v/>
      </c>
      <c r="C167" s="74" t="str">
        <f aca="false">IF(LEFT(B167,1)="(",IFERROR(VALUE(MID(B167,2,FIND(")",B167)-2)),""),"")</f>
        <v/>
      </c>
      <c r="D167" s="75" t="str">
        <f aca="false">IF($C167="","",N(元データ_PB合計!$B$165))</f>
        <v/>
      </c>
      <c r="E167" s="75" t="str">
        <f aca="false">IF($C167="","",N(元データ_PB合計!$C$165))</f>
        <v/>
      </c>
      <c r="F167" s="75" t="str">
        <f aca="false">IF($C167="","",N(元データ_PB合計!$F$165))</f>
        <v/>
      </c>
      <c r="G167" s="74" t="str">
        <f aca="false">IF($C167="","",IF(COUNTIF(店舗マスタ!$B$5:$B$304,$C167)&gt;0,"登録済","未登録→マスタに追加"))</f>
        <v/>
      </c>
      <c r="I167" s="74" t="n">
        <v>165</v>
      </c>
      <c r="J167" s="74" t="str">
        <f aca="false">IF(元データ_P!$A$165="","",元データ_P!$A$165)</f>
        <v/>
      </c>
      <c r="K167" s="74" t="str">
        <f aca="false">IF(LEFT(J167,1)="(",IFERROR(VALUE(MID(J167,2,FIND(")",J167)-2)),""),"")</f>
        <v/>
      </c>
      <c r="L167" s="75" t="str">
        <f aca="false">IF($K167="","",N(元データ_P!$B$165))</f>
        <v/>
      </c>
      <c r="M167" s="75" t="str">
        <f aca="false">IF($K167="","",N(元データ_P!$F$165))</f>
        <v/>
      </c>
      <c r="N167" s="74" t="str">
        <f aca="false">IF($K167="","",IF(COUNTIF(店舗マスタ!$B$5:$B$304,$K167)&gt;0,"登録済","未登録→マスタに追加"))</f>
        <v/>
      </c>
      <c r="P167" s="74" t="n">
        <v>165</v>
      </c>
      <c r="Q167" s="74" t="str">
        <f aca="false">IF(元データ_B!$A$165="","",元データ_B!$A$165)</f>
        <v/>
      </c>
      <c r="R167" s="74" t="str">
        <f aca="false">IF(LEFT(Q167,1)="(",IFERROR(VALUE(MID(Q167,2,FIND(")",Q167)-2)),""),"")</f>
        <v/>
      </c>
      <c r="S167" s="75" t="str">
        <f aca="false">IF($R167="","",N(元データ_B!$B$165))</f>
        <v/>
      </c>
      <c r="T167" s="75" t="str">
        <f aca="false">IF($R167="","",N(元データ_B!$F$165))</f>
        <v/>
      </c>
      <c r="U167" s="74" t="str">
        <f aca="false">IF($R167="","",IF(COUNTIF(店舗マスタ!$B$5:$B$304,$R167)&gt;0,"登録済","未登録→マスタに追加"))</f>
        <v/>
      </c>
    </row>
    <row r="168" customFormat="false" ht="15" hidden="false" customHeight="false" outlineLevel="0" collapsed="false">
      <c r="A168" s="74" t="n">
        <v>166</v>
      </c>
      <c r="B168" s="74" t="str">
        <f aca="false">IF(元データ_PB合計!$A$166="","",元データ_PB合計!$A$166)</f>
        <v/>
      </c>
      <c r="C168" s="74" t="str">
        <f aca="false">IF(LEFT(B168,1)="(",IFERROR(VALUE(MID(B168,2,FIND(")",B168)-2)),""),"")</f>
        <v/>
      </c>
      <c r="D168" s="75" t="str">
        <f aca="false">IF($C168="","",N(元データ_PB合計!$B$166))</f>
        <v/>
      </c>
      <c r="E168" s="75" t="str">
        <f aca="false">IF($C168="","",N(元データ_PB合計!$C$166))</f>
        <v/>
      </c>
      <c r="F168" s="75" t="str">
        <f aca="false">IF($C168="","",N(元データ_PB合計!$F$166))</f>
        <v/>
      </c>
      <c r="G168" s="74" t="str">
        <f aca="false">IF($C168="","",IF(COUNTIF(店舗マスタ!$B$5:$B$304,$C168)&gt;0,"登録済","未登録→マスタに追加"))</f>
        <v/>
      </c>
      <c r="I168" s="74" t="n">
        <v>166</v>
      </c>
      <c r="J168" s="74" t="str">
        <f aca="false">IF(元データ_P!$A$166="","",元データ_P!$A$166)</f>
        <v/>
      </c>
      <c r="K168" s="74" t="str">
        <f aca="false">IF(LEFT(J168,1)="(",IFERROR(VALUE(MID(J168,2,FIND(")",J168)-2)),""),"")</f>
        <v/>
      </c>
      <c r="L168" s="75" t="str">
        <f aca="false">IF($K168="","",N(元データ_P!$B$166))</f>
        <v/>
      </c>
      <c r="M168" s="75" t="str">
        <f aca="false">IF($K168="","",N(元データ_P!$F$166))</f>
        <v/>
      </c>
      <c r="N168" s="74" t="str">
        <f aca="false">IF($K168="","",IF(COUNTIF(店舗マスタ!$B$5:$B$304,$K168)&gt;0,"登録済","未登録→マスタに追加"))</f>
        <v/>
      </c>
      <c r="P168" s="74" t="n">
        <v>166</v>
      </c>
      <c r="Q168" s="74" t="str">
        <f aca="false">IF(元データ_B!$A$166="","",元データ_B!$A$166)</f>
        <v/>
      </c>
      <c r="R168" s="74" t="str">
        <f aca="false">IF(LEFT(Q168,1)="(",IFERROR(VALUE(MID(Q168,2,FIND(")",Q168)-2)),""),"")</f>
        <v/>
      </c>
      <c r="S168" s="75" t="str">
        <f aca="false">IF($R168="","",N(元データ_B!$B$166))</f>
        <v/>
      </c>
      <c r="T168" s="75" t="str">
        <f aca="false">IF($R168="","",N(元データ_B!$F$166))</f>
        <v/>
      </c>
      <c r="U168" s="74" t="str">
        <f aca="false">IF($R168="","",IF(COUNTIF(店舗マスタ!$B$5:$B$304,$R168)&gt;0,"登録済","未登録→マスタに追加"))</f>
        <v/>
      </c>
    </row>
    <row r="169" customFormat="false" ht="15" hidden="false" customHeight="false" outlineLevel="0" collapsed="false">
      <c r="A169" s="74" t="n">
        <v>167</v>
      </c>
      <c r="B169" s="74" t="str">
        <f aca="false">IF(元データ_PB合計!$A$167="","",元データ_PB合計!$A$167)</f>
        <v/>
      </c>
      <c r="C169" s="74" t="str">
        <f aca="false">IF(LEFT(B169,1)="(",IFERROR(VALUE(MID(B169,2,FIND(")",B169)-2)),""),"")</f>
        <v/>
      </c>
      <c r="D169" s="75" t="str">
        <f aca="false">IF($C169="","",N(元データ_PB合計!$B$167))</f>
        <v/>
      </c>
      <c r="E169" s="75" t="str">
        <f aca="false">IF($C169="","",N(元データ_PB合計!$C$167))</f>
        <v/>
      </c>
      <c r="F169" s="75" t="str">
        <f aca="false">IF($C169="","",N(元データ_PB合計!$F$167))</f>
        <v/>
      </c>
      <c r="G169" s="74" t="str">
        <f aca="false">IF($C169="","",IF(COUNTIF(店舗マスタ!$B$5:$B$304,$C169)&gt;0,"登録済","未登録→マスタに追加"))</f>
        <v/>
      </c>
      <c r="I169" s="74" t="n">
        <v>167</v>
      </c>
      <c r="J169" s="74" t="str">
        <f aca="false">IF(元データ_P!$A$167="","",元データ_P!$A$167)</f>
        <v/>
      </c>
      <c r="K169" s="74" t="str">
        <f aca="false">IF(LEFT(J169,1)="(",IFERROR(VALUE(MID(J169,2,FIND(")",J169)-2)),""),"")</f>
        <v/>
      </c>
      <c r="L169" s="75" t="str">
        <f aca="false">IF($K169="","",N(元データ_P!$B$167))</f>
        <v/>
      </c>
      <c r="M169" s="75" t="str">
        <f aca="false">IF($K169="","",N(元データ_P!$F$167))</f>
        <v/>
      </c>
      <c r="N169" s="74" t="str">
        <f aca="false">IF($K169="","",IF(COUNTIF(店舗マスタ!$B$5:$B$304,$K169)&gt;0,"登録済","未登録→マスタに追加"))</f>
        <v/>
      </c>
      <c r="P169" s="74" t="n">
        <v>167</v>
      </c>
      <c r="Q169" s="74" t="str">
        <f aca="false">IF(元データ_B!$A$167="","",元データ_B!$A$167)</f>
        <v/>
      </c>
      <c r="R169" s="74" t="str">
        <f aca="false">IF(LEFT(Q169,1)="(",IFERROR(VALUE(MID(Q169,2,FIND(")",Q169)-2)),""),"")</f>
        <v/>
      </c>
      <c r="S169" s="75" t="str">
        <f aca="false">IF($R169="","",N(元データ_B!$B$167))</f>
        <v/>
      </c>
      <c r="T169" s="75" t="str">
        <f aca="false">IF($R169="","",N(元データ_B!$F$167))</f>
        <v/>
      </c>
      <c r="U169" s="74" t="str">
        <f aca="false">IF($R169="","",IF(COUNTIF(店舗マスタ!$B$5:$B$304,$R169)&gt;0,"登録済","未登録→マスタに追加"))</f>
        <v/>
      </c>
    </row>
    <row r="170" customFormat="false" ht="15" hidden="false" customHeight="false" outlineLevel="0" collapsed="false">
      <c r="A170" s="74" t="n">
        <v>168</v>
      </c>
      <c r="B170" s="74" t="str">
        <f aca="false">IF(元データ_PB合計!$A$168="","",元データ_PB合計!$A$168)</f>
        <v/>
      </c>
      <c r="C170" s="74" t="str">
        <f aca="false">IF(LEFT(B170,1)="(",IFERROR(VALUE(MID(B170,2,FIND(")",B170)-2)),""),"")</f>
        <v/>
      </c>
      <c r="D170" s="75" t="str">
        <f aca="false">IF($C170="","",N(元データ_PB合計!$B$168))</f>
        <v/>
      </c>
      <c r="E170" s="75" t="str">
        <f aca="false">IF($C170="","",N(元データ_PB合計!$C$168))</f>
        <v/>
      </c>
      <c r="F170" s="75" t="str">
        <f aca="false">IF($C170="","",N(元データ_PB合計!$F$168))</f>
        <v/>
      </c>
      <c r="G170" s="74" t="str">
        <f aca="false">IF($C170="","",IF(COUNTIF(店舗マスタ!$B$5:$B$304,$C170)&gt;0,"登録済","未登録→マスタに追加"))</f>
        <v/>
      </c>
      <c r="I170" s="74" t="n">
        <v>168</v>
      </c>
      <c r="J170" s="74" t="str">
        <f aca="false">IF(元データ_P!$A$168="","",元データ_P!$A$168)</f>
        <v/>
      </c>
      <c r="K170" s="74" t="str">
        <f aca="false">IF(LEFT(J170,1)="(",IFERROR(VALUE(MID(J170,2,FIND(")",J170)-2)),""),"")</f>
        <v/>
      </c>
      <c r="L170" s="75" t="str">
        <f aca="false">IF($K170="","",N(元データ_P!$B$168))</f>
        <v/>
      </c>
      <c r="M170" s="75" t="str">
        <f aca="false">IF($K170="","",N(元データ_P!$F$168))</f>
        <v/>
      </c>
      <c r="N170" s="74" t="str">
        <f aca="false">IF($K170="","",IF(COUNTIF(店舗マスタ!$B$5:$B$304,$K170)&gt;0,"登録済","未登録→マスタに追加"))</f>
        <v/>
      </c>
      <c r="P170" s="74" t="n">
        <v>168</v>
      </c>
      <c r="Q170" s="74" t="str">
        <f aca="false">IF(元データ_B!$A$168="","",元データ_B!$A$168)</f>
        <v/>
      </c>
      <c r="R170" s="74" t="str">
        <f aca="false">IF(LEFT(Q170,1)="(",IFERROR(VALUE(MID(Q170,2,FIND(")",Q170)-2)),""),"")</f>
        <v/>
      </c>
      <c r="S170" s="75" t="str">
        <f aca="false">IF($R170="","",N(元データ_B!$B$168))</f>
        <v/>
      </c>
      <c r="T170" s="75" t="str">
        <f aca="false">IF($R170="","",N(元データ_B!$F$168))</f>
        <v/>
      </c>
      <c r="U170" s="74" t="str">
        <f aca="false">IF($R170="","",IF(COUNTIF(店舗マスタ!$B$5:$B$304,$R170)&gt;0,"登録済","未登録→マスタに追加"))</f>
        <v/>
      </c>
    </row>
    <row r="171" customFormat="false" ht="15" hidden="false" customHeight="false" outlineLevel="0" collapsed="false">
      <c r="A171" s="74" t="n">
        <v>169</v>
      </c>
      <c r="B171" s="74" t="str">
        <f aca="false">IF(元データ_PB合計!$A$169="","",元データ_PB合計!$A$169)</f>
        <v/>
      </c>
      <c r="C171" s="74" t="str">
        <f aca="false">IF(LEFT(B171,1)="(",IFERROR(VALUE(MID(B171,2,FIND(")",B171)-2)),""),"")</f>
        <v/>
      </c>
      <c r="D171" s="75" t="str">
        <f aca="false">IF($C171="","",N(元データ_PB合計!$B$169))</f>
        <v/>
      </c>
      <c r="E171" s="75" t="str">
        <f aca="false">IF($C171="","",N(元データ_PB合計!$C$169))</f>
        <v/>
      </c>
      <c r="F171" s="75" t="str">
        <f aca="false">IF($C171="","",N(元データ_PB合計!$F$169))</f>
        <v/>
      </c>
      <c r="G171" s="74" t="str">
        <f aca="false">IF($C171="","",IF(COUNTIF(店舗マスタ!$B$5:$B$304,$C171)&gt;0,"登録済","未登録→マスタに追加"))</f>
        <v/>
      </c>
      <c r="I171" s="74" t="n">
        <v>169</v>
      </c>
      <c r="J171" s="74" t="str">
        <f aca="false">IF(元データ_P!$A$169="","",元データ_P!$A$169)</f>
        <v/>
      </c>
      <c r="K171" s="74" t="str">
        <f aca="false">IF(LEFT(J171,1)="(",IFERROR(VALUE(MID(J171,2,FIND(")",J171)-2)),""),"")</f>
        <v/>
      </c>
      <c r="L171" s="75" t="str">
        <f aca="false">IF($K171="","",N(元データ_P!$B$169))</f>
        <v/>
      </c>
      <c r="M171" s="75" t="str">
        <f aca="false">IF($K171="","",N(元データ_P!$F$169))</f>
        <v/>
      </c>
      <c r="N171" s="74" t="str">
        <f aca="false">IF($K171="","",IF(COUNTIF(店舗マスタ!$B$5:$B$304,$K171)&gt;0,"登録済","未登録→マスタに追加"))</f>
        <v/>
      </c>
      <c r="P171" s="74" t="n">
        <v>169</v>
      </c>
      <c r="Q171" s="74" t="str">
        <f aca="false">IF(元データ_B!$A$169="","",元データ_B!$A$169)</f>
        <v/>
      </c>
      <c r="R171" s="74" t="str">
        <f aca="false">IF(LEFT(Q171,1)="(",IFERROR(VALUE(MID(Q171,2,FIND(")",Q171)-2)),""),"")</f>
        <v/>
      </c>
      <c r="S171" s="75" t="str">
        <f aca="false">IF($R171="","",N(元データ_B!$B$169))</f>
        <v/>
      </c>
      <c r="T171" s="75" t="str">
        <f aca="false">IF($R171="","",N(元データ_B!$F$169))</f>
        <v/>
      </c>
      <c r="U171" s="74" t="str">
        <f aca="false">IF($R171="","",IF(COUNTIF(店舗マスタ!$B$5:$B$304,$R171)&gt;0,"登録済","未登録→マスタに追加"))</f>
        <v/>
      </c>
    </row>
    <row r="172" customFormat="false" ht="15" hidden="false" customHeight="false" outlineLevel="0" collapsed="false">
      <c r="A172" s="74" t="n">
        <v>170</v>
      </c>
      <c r="B172" s="74" t="str">
        <f aca="false">IF(元データ_PB合計!$A$170="","",元データ_PB合計!$A$170)</f>
        <v/>
      </c>
      <c r="C172" s="74" t="str">
        <f aca="false">IF(LEFT(B172,1)="(",IFERROR(VALUE(MID(B172,2,FIND(")",B172)-2)),""),"")</f>
        <v/>
      </c>
      <c r="D172" s="75" t="str">
        <f aca="false">IF($C172="","",N(元データ_PB合計!$B$170))</f>
        <v/>
      </c>
      <c r="E172" s="75" t="str">
        <f aca="false">IF($C172="","",N(元データ_PB合計!$C$170))</f>
        <v/>
      </c>
      <c r="F172" s="75" t="str">
        <f aca="false">IF($C172="","",N(元データ_PB合計!$F$170))</f>
        <v/>
      </c>
      <c r="G172" s="74" t="str">
        <f aca="false">IF($C172="","",IF(COUNTIF(店舗マスタ!$B$5:$B$304,$C172)&gt;0,"登録済","未登録→マスタに追加"))</f>
        <v/>
      </c>
      <c r="I172" s="74" t="n">
        <v>170</v>
      </c>
      <c r="J172" s="74" t="str">
        <f aca="false">IF(元データ_P!$A$170="","",元データ_P!$A$170)</f>
        <v/>
      </c>
      <c r="K172" s="74" t="str">
        <f aca="false">IF(LEFT(J172,1)="(",IFERROR(VALUE(MID(J172,2,FIND(")",J172)-2)),""),"")</f>
        <v/>
      </c>
      <c r="L172" s="75" t="str">
        <f aca="false">IF($K172="","",N(元データ_P!$B$170))</f>
        <v/>
      </c>
      <c r="M172" s="75" t="str">
        <f aca="false">IF($K172="","",N(元データ_P!$F$170))</f>
        <v/>
      </c>
      <c r="N172" s="74" t="str">
        <f aca="false">IF($K172="","",IF(COUNTIF(店舗マスタ!$B$5:$B$304,$K172)&gt;0,"登録済","未登録→マスタに追加"))</f>
        <v/>
      </c>
      <c r="P172" s="74" t="n">
        <v>170</v>
      </c>
      <c r="Q172" s="74" t="str">
        <f aca="false">IF(元データ_B!$A$170="","",元データ_B!$A$170)</f>
        <v/>
      </c>
      <c r="R172" s="74" t="str">
        <f aca="false">IF(LEFT(Q172,1)="(",IFERROR(VALUE(MID(Q172,2,FIND(")",Q172)-2)),""),"")</f>
        <v/>
      </c>
      <c r="S172" s="75" t="str">
        <f aca="false">IF($R172="","",N(元データ_B!$B$170))</f>
        <v/>
      </c>
      <c r="T172" s="75" t="str">
        <f aca="false">IF($R172="","",N(元データ_B!$F$170))</f>
        <v/>
      </c>
      <c r="U172" s="74" t="str">
        <f aca="false">IF($R172="","",IF(COUNTIF(店舗マスタ!$B$5:$B$304,$R172)&gt;0,"登録済","未登録→マスタに追加"))</f>
        <v/>
      </c>
    </row>
    <row r="173" customFormat="false" ht="15" hidden="false" customHeight="false" outlineLevel="0" collapsed="false">
      <c r="A173" s="74" t="n">
        <v>171</v>
      </c>
      <c r="B173" s="74" t="str">
        <f aca="false">IF(元データ_PB合計!$A$171="","",元データ_PB合計!$A$171)</f>
        <v/>
      </c>
      <c r="C173" s="74" t="str">
        <f aca="false">IF(LEFT(B173,1)="(",IFERROR(VALUE(MID(B173,2,FIND(")",B173)-2)),""),"")</f>
        <v/>
      </c>
      <c r="D173" s="75" t="str">
        <f aca="false">IF($C173="","",N(元データ_PB合計!$B$171))</f>
        <v/>
      </c>
      <c r="E173" s="75" t="str">
        <f aca="false">IF($C173="","",N(元データ_PB合計!$C$171))</f>
        <v/>
      </c>
      <c r="F173" s="75" t="str">
        <f aca="false">IF($C173="","",N(元データ_PB合計!$F$171))</f>
        <v/>
      </c>
      <c r="G173" s="74" t="str">
        <f aca="false">IF($C173="","",IF(COUNTIF(店舗マスタ!$B$5:$B$304,$C173)&gt;0,"登録済","未登録→マスタに追加"))</f>
        <v/>
      </c>
      <c r="I173" s="74" t="n">
        <v>171</v>
      </c>
      <c r="J173" s="74" t="str">
        <f aca="false">IF(元データ_P!$A$171="","",元データ_P!$A$171)</f>
        <v/>
      </c>
      <c r="K173" s="74" t="str">
        <f aca="false">IF(LEFT(J173,1)="(",IFERROR(VALUE(MID(J173,2,FIND(")",J173)-2)),""),"")</f>
        <v/>
      </c>
      <c r="L173" s="75" t="str">
        <f aca="false">IF($K173="","",N(元データ_P!$B$171))</f>
        <v/>
      </c>
      <c r="M173" s="75" t="str">
        <f aca="false">IF($K173="","",N(元データ_P!$F$171))</f>
        <v/>
      </c>
      <c r="N173" s="74" t="str">
        <f aca="false">IF($K173="","",IF(COUNTIF(店舗マスタ!$B$5:$B$304,$K173)&gt;0,"登録済","未登録→マスタに追加"))</f>
        <v/>
      </c>
      <c r="P173" s="74" t="n">
        <v>171</v>
      </c>
      <c r="Q173" s="74" t="str">
        <f aca="false">IF(元データ_B!$A$171="","",元データ_B!$A$171)</f>
        <v/>
      </c>
      <c r="R173" s="74" t="str">
        <f aca="false">IF(LEFT(Q173,1)="(",IFERROR(VALUE(MID(Q173,2,FIND(")",Q173)-2)),""),"")</f>
        <v/>
      </c>
      <c r="S173" s="75" t="str">
        <f aca="false">IF($R173="","",N(元データ_B!$B$171))</f>
        <v/>
      </c>
      <c r="T173" s="75" t="str">
        <f aca="false">IF($R173="","",N(元データ_B!$F$171))</f>
        <v/>
      </c>
      <c r="U173" s="74" t="str">
        <f aca="false">IF($R173="","",IF(COUNTIF(店舗マスタ!$B$5:$B$304,$R173)&gt;0,"登録済","未登録→マスタに追加"))</f>
        <v/>
      </c>
    </row>
    <row r="174" customFormat="false" ht="15" hidden="false" customHeight="false" outlineLevel="0" collapsed="false">
      <c r="A174" s="74" t="n">
        <v>172</v>
      </c>
      <c r="B174" s="74" t="str">
        <f aca="false">IF(元データ_PB合計!$A$172="","",元データ_PB合計!$A$172)</f>
        <v/>
      </c>
      <c r="C174" s="74" t="str">
        <f aca="false">IF(LEFT(B174,1)="(",IFERROR(VALUE(MID(B174,2,FIND(")",B174)-2)),""),"")</f>
        <v/>
      </c>
      <c r="D174" s="75" t="str">
        <f aca="false">IF($C174="","",N(元データ_PB合計!$B$172))</f>
        <v/>
      </c>
      <c r="E174" s="75" t="str">
        <f aca="false">IF($C174="","",N(元データ_PB合計!$C$172))</f>
        <v/>
      </c>
      <c r="F174" s="75" t="str">
        <f aca="false">IF($C174="","",N(元データ_PB合計!$F$172))</f>
        <v/>
      </c>
      <c r="G174" s="74" t="str">
        <f aca="false">IF($C174="","",IF(COUNTIF(店舗マスタ!$B$5:$B$304,$C174)&gt;0,"登録済","未登録→マスタに追加"))</f>
        <v/>
      </c>
      <c r="I174" s="74" t="n">
        <v>172</v>
      </c>
      <c r="J174" s="74" t="str">
        <f aca="false">IF(元データ_P!$A$172="","",元データ_P!$A$172)</f>
        <v/>
      </c>
      <c r="K174" s="74" t="str">
        <f aca="false">IF(LEFT(J174,1)="(",IFERROR(VALUE(MID(J174,2,FIND(")",J174)-2)),""),"")</f>
        <v/>
      </c>
      <c r="L174" s="75" t="str">
        <f aca="false">IF($K174="","",N(元データ_P!$B$172))</f>
        <v/>
      </c>
      <c r="M174" s="75" t="str">
        <f aca="false">IF($K174="","",N(元データ_P!$F$172))</f>
        <v/>
      </c>
      <c r="N174" s="74" t="str">
        <f aca="false">IF($K174="","",IF(COUNTIF(店舗マスタ!$B$5:$B$304,$K174)&gt;0,"登録済","未登録→マスタに追加"))</f>
        <v/>
      </c>
      <c r="P174" s="74" t="n">
        <v>172</v>
      </c>
      <c r="Q174" s="74" t="str">
        <f aca="false">IF(元データ_B!$A$172="","",元データ_B!$A$172)</f>
        <v/>
      </c>
      <c r="R174" s="74" t="str">
        <f aca="false">IF(LEFT(Q174,1)="(",IFERROR(VALUE(MID(Q174,2,FIND(")",Q174)-2)),""),"")</f>
        <v/>
      </c>
      <c r="S174" s="75" t="str">
        <f aca="false">IF($R174="","",N(元データ_B!$B$172))</f>
        <v/>
      </c>
      <c r="T174" s="75" t="str">
        <f aca="false">IF($R174="","",N(元データ_B!$F$172))</f>
        <v/>
      </c>
      <c r="U174" s="74" t="str">
        <f aca="false">IF($R174="","",IF(COUNTIF(店舗マスタ!$B$5:$B$304,$R174)&gt;0,"登録済","未登録→マスタに追加"))</f>
        <v/>
      </c>
    </row>
    <row r="175" customFormat="false" ht="15" hidden="false" customHeight="false" outlineLevel="0" collapsed="false">
      <c r="A175" s="74" t="n">
        <v>173</v>
      </c>
      <c r="B175" s="74" t="str">
        <f aca="false">IF(元データ_PB合計!$A$173="","",元データ_PB合計!$A$173)</f>
        <v/>
      </c>
      <c r="C175" s="74" t="str">
        <f aca="false">IF(LEFT(B175,1)="(",IFERROR(VALUE(MID(B175,2,FIND(")",B175)-2)),""),"")</f>
        <v/>
      </c>
      <c r="D175" s="75" t="str">
        <f aca="false">IF($C175="","",N(元データ_PB合計!$B$173))</f>
        <v/>
      </c>
      <c r="E175" s="75" t="str">
        <f aca="false">IF($C175="","",N(元データ_PB合計!$C$173))</f>
        <v/>
      </c>
      <c r="F175" s="75" t="str">
        <f aca="false">IF($C175="","",N(元データ_PB合計!$F$173))</f>
        <v/>
      </c>
      <c r="G175" s="74" t="str">
        <f aca="false">IF($C175="","",IF(COUNTIF(店舗マスタ!$B$5:$B$304,$C175)&gt;0,"登録済","未登録→マスタに追加"))</f>
        <v/>
      </c>
      <c r="I175" s="74" t="n">
        <v>173</v>
      </c>
      <c r="J175" s="74" t="str">
        <f aca="false">IF(元データ_P!$A$173="","",元データ_P!$A$173)</f>
        <v/>
      </c>
      <c r="K175" s="74" t="str">
        <f aca="false">IF(LEFT(J175,1)="(",IFERROR(VALUE(MID(J175,2,FIND(")",J175)-2)),""),"")</f>
        <v/>
      </c>
      <c r="L175" s="75" t="str">
        <f aca="false">IF($K175="","",N(元データ_P!$B$173))</f>
        <v/>
      </c>
      <c r="M175" s="75" t="str">
        <f aca="false">IF($K175="","",N(元データ_P!$F$173))</f>
        <v/>
      </c>
      <c r="N175" s="74" t="str">
        <f aca="false">IF($K175="","",IF(COUNTIF(店舗マスタ!$B$5:$B$304,$K175)&gt;0,"登録済","未登録→マスタに追加"))</f>
        <v/>
      </c>
      <c r="P175" s="74" t="n">
        <v>173</v>
      </c>
      <c r="Q175" s="74" t="str">
        <f aca="false">IF(元データ_B!$A$173="","",元データ_B!$A$173)</f>
        <v/>
      </c>
      <c r="R175" s="74" t="str">
        <f aca="false">IF(LEFT(Q175,1)="(",IFERROR(VALUE(MID(Q175,2,FIND(")",Q175)-2)),""),"")</f>
        <v/>
      </c>
      <c r="S175" s="75" t="str">
        <f aca="false">IF($R175="","",N(元データ_B!$B$173))</f>
        <v/>
      </c>
      <c r="T175" s="75" t="str">
        <f aca="false">IF($R175="","",N(元データ_B!$F$173))</f>
        <v/>
      </c>
      <c r="U175" s="74" t="str">
        <f aca="false">IF($R175="","",IF(COUNTIF(店舗マスタ!$B$5:$B$304,$R175)&gt;0,"登録済","未登録→マスタに追加"))</f>
        <v/>
      </c>
    </row>
    <row r="176" customFormat="false" ht="15" hidden="false" customHeight="false" outlineLevel="0" collapsed="false">
      <c r="A176" s="74" t="n">
        <v>174</v>
      </c>
      <c r="B176" s="74" t="str">
        <f aca="false">IF(元データ_PB合計!$A$174="","",元データ_PB合計!$A$174)</f>
        <v/>
      </c>
      <c r="C176" s="74" t="str">
        <f aca="false">IF(LEFT(B176,1)="(",IFERROR(VALUE(MID(B176,2,FIND(")",B176)-2)),""),"")</f>
        <v/>
      </c>
      <c r="D176" s="75" t="str">
        <f aca="false">IF($C176="","",N(元データ_PB合計!$B$174))</f>
        <v/>
      </c>
      <c r="E176" s="75" t="str">
        <f aca="false">IF($C176="","",N(元データ_PB合計!$C$174))</f>
        <v/>
      </c>
      <c r="F176" s="75" t="str">
        <f aca="false">IF($C176="","",N(元データ_PB合計!$F$174))</f>
        <v/>
      </c>
      <c r="G176" s="74" t="str">
        <f aca="false">IF($C176="","",IF(COUNTIF(店舗マスタ!$B$5:$B$304,$C176)&gt;0,"登録済","未登録→マスタに追加"))</f>
        <v/>
      </c>
      <c r="I176" s="74" t="n">
        <v>174</v>
      </c>
      <c r="J176" s="74" t="str">
        <f aca="false">IF(元データ_P!$A$174="","",元データ_P!$A$174)</f>
        <v/>
      </c>
      <c r="K176" s="74" t="str">
        <f aca="false">IF(LEFT(J176,1)="(",IFERROR(VALUE(MID(J176,2,FIND(")",J176)-2)),""),"")</f>
        <v/>
      </c>
      <c r="L176" s="75" t="str">
        <f aca="false">IF($K176="","",N(元データ_P!$B$174))</f>
        <v/>
      </c>
      <c r="M176" s="75" t="str">
        <f aca="false">IF($K176="","",N(元データ_P!$F$174))</f>
        <v/>
      </c>
      <c r="N176" s="74" t="str">
        <f aca="false">IF($K176="","",IF(COUNTIF(店舗マスタ!$B$5:$B$304,$K176)&gt;0,"登録済","未登録→マスタに追加"))</f>
        <v/>
      </c>
      <c r="P176" s="74" t="n">
        <v>174</v>
      </c>
      <c r="Q176" s="74" t="str">
        <f aca="false">IF(元データ_B!$A$174="","",元データ_B!$A$174)</f>
        <v/>
      </c>
      <c r="R176" s="74" t="str">
        <f aca="false">IF(LEFT(Q176,1)="(",IFERROR(VALUE(MID(Q176,2,FIND(")",Q176)-2)),""),"")</f>
        <v/>
      </c>
      <c r="S176" s="75" t="str">
        <f aca="false">IF($R176="","",N(元データ_B!$B$174))</f>
        <v/>
      </c>
      <c r="T176" s="75" t="str">
        <f aca="false">IF($R176="","",N(元データ_B!$F$174))</f>
        <v/>
      </c>
      <c r="U176" s="74" t="str">
        <f aca="false">IF($R176="","",IF(COUNTIF(店舗マスタ!$B$5:$B$304,$R176)&gt;0,"登録済","未登録→マスタに追加"))</f>
        <v/>
      </c>
    </row>
    <row r="177" customFormat="false" ht="15" hidden="false" customHeight="false" outlineLevel="0" collapsed="false">
      <c r="A177" s="74" t="n">
        <v>175</v>
      </c>
      <c r="B177" s="74" t="str">
        <f aca="false">IF(元データ_PB合計!$A$175="","",元データ_PB合計!$A$175)</f>
        <v/>
      </c>
      <c r="C177" s="74" t="str">
        <f aca="false">IF(LEFT(B177,1)="(",IFERROR(VALUE(MID(B177,2,FIND(")",B177)-2)),""),"")</f>
        <v/>
      </c>
      <c r="D177" s="75" t="str">
        <f aca="false">IF($C177="","",N(元データ_PB合計!$B$175))</f>
        <v/>
      </c>
      <c r="E177" s="75" t="str">
        <f aca="false">IF($C177="","",N(元データ_PB合計!$C$175))</f>
        <v/>
      </c>
      <c r="F177" s="75" t="str">
        <f aca="false">IF($C177="","",N(元データ_PB合計!$F$175))</f>
        <v/>
      </c>
      <c r="G177" s="74" t="str">
        <f aca="false">IF($C177="","",IF(COUNTIF(店舗マスタ!$B$5:$B$304,$C177)&gt;0,"登録済","未登録→マスタに追加"))</f>
        <v/>
      </c>
      <c r="I177" s="74" t="n">
        <v>175</v>
      </c>
      <c r="J177" s="74" t="str">
        <f aca="false">IF(元データ_P!$A$175="","",元データ_P!$A$175)</f>
        <v/>
      </c>
      <c r="K177" s="74" t="str">
        <f aca="false">IF(LEFT(J177,1)="(",IFERROR(VALUE(MID(J177,2,FIND(")",J177)-2)),""),"")</f>
        <v/>
      </c>
      <c r="L177" s="75" t="str">
        <f aca="false">IF($K177="","",N(元データ_P!$B$175))</f>
        <v/>
      </c>
      <c r="M177" s="75" t="str">
        <f aca="false">IF($K177="","",N(元データ_P!$F$175))</f>
        <v/>
      </c>
      <c r="N177" s="74" t="str">
        <f aca="false">IF($K177="","",IF(COUNTIF(店舗マスタ!$B$5:$B$304,$K177)&gt;0,"登録済","未登録→マスタに追加"))</f>
        <v/>
      </c>
      <c r="P177" s="74" t="n">
        <v>175</v>
      </c>
      <c r="Q177" s="74" t="str">
        <f aca="false">IF(元データ_B!$A$175="","",元データ_B!$A$175)</f>
        <v/>
      </c>
      <c r="R177" s="74" t="str">
        <f aca="false">IF(LEFT(Q177,1)="(",IFERROR(VALUE(MID(Q177,2,FIND(")",Q177)-2)),""),"")</f>
        <v/>
      </c>
      <c r="S177" s="75" t="str">
        <f aca="false">IF($R177="","",N(元データ_B!$B$175))</f>
        <v/>
      </c>
      <c r="T177" s="75" t="str">
        <f aca="false">IF($R177="","",N(元データ_B!$F$175))</f>
        <v/>
      </c>
      <c r="U177" s="74" t="str">
        <f aca="false">IF($R177="","",IF(COUNTIF(店舗マスタ!$B$5:$B$304,$R177)&gt;0,"登録済","未登録→マスタに追加"))</f>
        <v/>
      </c>
    </row>
    <row r="178" customFormat="false" ht="15" hidden="false" customHeight="false" outlineLevel="0" collapsed="false">
      <c r="A178" s="74" t="n">
        <v>176</v>
      </c>
      <c r="B178" s="74" t="str">
        <f aca="false">IF(元データ_PB合計!$A$176="","",元データ_PB合計!$A$176)</f>
        <v/>
      </c>
      <c r="C178" s="74" t="str">
        <f aca="false">IF(LEFT(B178,1)="(",IFERROR(VALUE(MID(B178,2,FIND(")",B178)-2)),""),"")</f>
        <v/>
      </c>
      <c r="D178" s="75" t="str">
        <f aca="false">IF($C178="","",N(元データ_PB合計!$B$176))</f>
        <v/>
      </c>
      <c r="E178" s="75" t="str">
        <f aca="false">IF($C178="","",N(元データ_PB合計!$C$176))</f>
        <v/>
      </c>
      <c r="F178" s="75" t="str">
        <f aca="false">IF($C178="","",N(元データ_PB合計!$F$176))</f>
        <v/>
      </c>
      <c r="G178" s="74" t="str">
        <f aca="false">IF($C178="","",IF(COUNTIF(店舗マスタ!$B$5:$B$304,$C178)&gt;0,"登録済","未登録→マスタに追加"))</f>
        <v/>
      </c>
      <c r="I178" s="74" t="n">
        <v>176</v>
      </c>
      <c r="J178" s="74" t="str">
        <f aca="false">IF(元データ_P!$A$176="","",元データ_P!$A$176)</f>
        <v/>
      </c>
      <c r="K178" s="74" t="str">
        <f aca="false">IF(LEFT(J178,1)="(",IFERROR(VALUE(MID(J178,2,FIND(")",J178)-2)),""),"")</f>
        <v/>
      </c>
      <c r="L178" s="75" t="str">
        <f aca="false">IF($K178="","",N(元データ_P!$B$176))</f>
        <v/>
      </c>
      <c r="M178" s="75" t="str">
        <f aca="false">IF($K178="","",N(元データ_P!$F$176))</f>
        <v/>
      </c>
      <c r="N178" s="74" t="str">
        <f aca="false">IF($K178="","",IF(COUNTIF(店舗マスタ!$B$5:$B$304,$K178)&gt;0,"登録済","未登録→マスタに追加"))</f>
        <v/>
      </c>
      <c r="P178" s="74" t="n">
        <v>176</v>
      </c>
      <c r="Q178" s="74" t="str">
        <f aca="false">IF(元データ_B!$A$176="","",元データ_B!$A$176)</f>
        <v/>
      </c>
      <c r="R178" s="74" t="str">
        <f aca="false">IF(LEFT(Q178,1)="(",IFERROR(VALUE(MID(Q178,2,FIND(")",Q178)-2)),""),"")</f>
        <v/>
      </c>
      <c r="S178" s="75" t="str">
        <f aca="false">IF($R178="","",N(元データ_B!$B$176))</f>
        <v/>
      </c>
      <c r="T178" s="75" t="str">
        <f aca="false">IF($R178="","",N(元データ_B!$F$176))</f>
        <v/>
      </c>
      <c r="U178" s="74" t="str">
        <f aca="false">IF($R178="","",IF(COUNTIF(店舗マスタ!$B$5:$B$304,$R178)&gt;0,"登録済","未登録→マスタに追加"))</f>
        <v/>
      </c>
    </row>
    <row r="179" customFormat="false" ht="15" hidden="false" customHeight="false" outlineLevel="0" collapsed="false">
      <c r="A179" s="74" t="n">
        <v>177</v>
      </c>
      <c r="B179" s="74" t="str">
        <f aca="false">IF(元データ_PB合計!$A$177="","",元データ_PB合計!$A$177)</f>
        <v/>
      </c>
      <c r="C179" s="74" t="str">
        <f aca="false">IF(LEFT(B179,1)="(",IFERROR(VALUE(MID(B179,2,FIND(")",B179)-2)),""),"")</f>
        <v/>
      </c>
      <c r="D179" s="75" t="str">
        <f aca="false">IF($C179="","",N(元データ_PB合計!$B$177))</f>
        <v/>
      </c>
      <c r="E179" s="75" t="str">
        <f aca="false">IF($C179="","",N(元データ_PB合計!$C$177))</f>
        <v/>
      </c>
      <c r="F179" s="75" t="str">
        <f aca="false">IF($C179="","",N(元データ_PB合計!$F$177))</f>
        <v/>
      </c>
      <c r="G179" s="74" t="str">
        <f aca="false">IF($C179="","",IF(COUNTIF(店舗マスタ!$B$5:$B$304,$C179)&gt;0,"登録済","未登録→マスタに追加"))</f>
        <v/>
      </c>
      <c r="I179" s="74" t="n">
        <v>177</v>
      </c>
      <c r="J179" s="74" t="str">
        <f aca="false">IF(元データ_P!$A$177="","",元データ_P!$A$177)</f>
        <v/>
      </c>
      <c r="K179" s="74" t="str">
        <f aca="false">IF(LEFT(J179,1)="(",IFERROR(VALUE(MID(J179,2,FIND(")",J179)-2)),""),"")</f>
        <v/>
      </c>
      <c r="L179" s="75" t="str">
        <f aca="false">IF($K179="","",N(元データ_P!$B$177))</f>
        <v/>
      </c>
      <c r="M179" s="75" t="str">
        <f aca="false">IF($K179="","",N(元データ_P!$F$177))</f>
        <v/>
      </c>
      <c r="N179" s="74" t="str">
        <f aca="false">IF($K179="","",IF(COUNTIF(店舗マスタ!$B$5:$B$304,$K179)&gt;0,"登録済","未登録→マスタに追加"))</f>
        <v/>
      </c>
      <c r="P179" s="74" t="n">
        <v>177</v>
      </c>
      <c r="Q179" s="74" t="str">
        <f aca="false">IF(元データ_B!$A$177="","",元データ_B!$A$177)</f>
        <v/>
      </c>
      <c r="R179" s="74" t="str">
        <f aca="false">IF(LEFT(Q179,1)="(",IFERROR(VALUE(MID(Q179,2,FIND(")",Q179)-2)),""),"")</f>
        <v/>
      </c>
      <c r="S179" s="75" t="str">
        <f aca="false">IF($R179="","",N(元データ_B!$B$177))</f>
        <v/>
      </c>
      <c r="T179" s="75" t="str">
        <f aca="false">IF($R179="","",N(元データ_B!$F$177))</f>
        <v/>
      </c>
      <c r="U179" s="74" t="str">
        <f aca="false">IF($R179="","",IF(COUNTIF(店舗マスタ!$B$5:$B$304,$R179)&gt;0,"登録済","未登録→マスタに追加"))</f>
        <v/>
      </c>
    </row>
    <row r="180" customFormat="false" ht="15" hidden="false" customHeight="false" outlineLevel="0" collapsed="false">
      <c r="A180" s="74" t="n">
        <v>178</v>
      </c>
      <c r="B180" s="74" t="str">
        <f aca="false">IF(元データ_PB合計!$A$178="","",元データ_PB合計!$A$178)</f>
        <v/>
      </c>
      <c r="C180" s="74" t="str">
        <f aca="false">IF(LEFT(B180,1)="(",IFERROR(VALUE(MID(B180,2,FIND(")",B180)-2)),""),"")</f>
        <v/>
      </c>
      <c r="D180" s="75" t="str">
        <f aca="false">IF($C180="","",N(元データ_PB合計!$B$178))</f>
        <v/>
      </c>
      <c r="E180" s="75" t="str">
        <f aca="false">IF($C180="","",N(元データ_PB合計!$C$178))</f>
        <v/>
      </c>
      <c r="F180" s="75" t="str">
        <f aca="false">IF($C180="","",N(元データ_PB合計!$F$178))</f>
        <v/>
      </c>
      <c r="G180" s="74" t="str">
        <f aca="false">IF($C180="","",IF(COUNTIF(店舗マスタ!$B$5:$B$304,$C180)&gt;0,"登録済","未登録→マスタに追加"))</f>
        <v/>
      </c>
      <c r="I180" s="74" t="n">
        <v>178</v>
      </c>
      <c r="J180" s="74" t="str">
        <f aca="false">IF(元データ_P!$A$178="","",元データ_P!$A$178)</f>
        <v/>
      </c>
      <c r="K180" s="74" t="str">
        <f aca="false">IF(LEFT(J180,1)="(",IFERROR(VALUE(MID(J180,2,FIND(")",J180)-2)),""),"")</f>
        <v/>
      </c>
      <c r="L180" s="75" t="str">
        <f aca="false">IF($K180="","",N(元データ_P!$B$178))</f>
        <v/>
      </c>
      <c r="M180" s="75" t="str">
        <f aca="false">IF($K180="","",N(元データ_P!$F$178))</f>
        <v/>
      </c>
      <c r="N180" s="74" t="str">
        <f aca="false">IF($K180="","",IF(COUNTIF(店舗マスタ!$B$5:$B$304,$K180)&gt;0,"登録済","未登録→マスタに追加"))</f>
        <v/>
      </c>
      <c r="P180" s="74" t="n">
        <v>178</v>
      </c>
      <c r="Q180" s="74" t="str">
        <f aca="false">IF(元データ_B!$A$178="","",元データ_B!$A$178)</f>
        <v/>
      </c>
      <c r="R180" s="74" t="str">
        <f aca="false">IF(LEFT(Q180,1)="(",IFERROR(VALUE(MID(Q180,2,FIND(")",Q180)-2)),""),"")</f>
        <v/>
      </c>
      <c r="S180" s="75" t="str">
        <f aca="false">IF($R180="","",N(元データ_B!$B$178))</f>
        <v/>
      </c>
      <c r="T180" s="75" t="str">
        <f aca="false">IF($R180="","",N(元データ_B!$F$178))</f>
        <v/>
      </c>
      <c r="U180" s="74" t="str">
        <f aca="false">IF($R180="","",IF(COUNTIF(店舗マスタ!$B$5:$B$304,$R180)&gt;0,"登録済","未登録→マスタに追加"))</f>
        <v/>
      </c>
    </row>
    <row r="181" customFormat="false" ht="15" hidden="false" customHeight="false" outlineLevel="0" collapsed="false">
      <c r="A181" s="74" t="n">
        <v>179</v>
      </c>
      <c r="B181" s="74" t="str">
        <f aca="false">IF(元データ_PB合計!$A$179="","",元データ_PB合計!$A$179)</f>
        <v/>
      </c>
      <c r="C181" s="74" t="str">
        <f aca="false">IF(LEFT(B181,1)="(",IFERROR(VALUE(MID(B181,2,FIND(")",B181)-2)),""),"")</f>
        <v/>
      </c>
      <c r="D181" s="75" t="str">
        <f aca="false">IF($C181="","",N(元データ_PB合計!$B$179))</f>
        <v/>
      </c>
      <c r="E181" s="75" t="str">
        <f aca="false">IF($C181="","",N(元データ_PB合計!$C$179))</f>
        <v/>
      </c>
      <c r="F181" s="75" t="str">
        <f aca="false">IF($C181="","",N(元データ_PB合計!$F$179))</f>
        <v/>
      </c>
      <c r="G181" s="74" t="str">
        <f aca="false">IF($C181="","",IF(COUNTIF(店舗マスタ!$B$5:$B$304,$C181)&gt;0,"登録済","未登録→マスタに追加"))</f>
        <v/>
      </c>
      <c r="I181" s="74" t="n">
        <v>179</v>
      </c>
      <c r="J181" s="74" t="str">
        <f aca="false">IF(元データ_P!$A$179="","",元データ_P!$A$179)</f>
        <v/>
      </c>
      <c r="K181" s="74" t="str">
        <f aca="false">IF(LEFT(J181,1)="(",IFERROR(VALUE(MID(J181,2,FIND(")",J181)-2)),""),"")</f>
        <v/>
      </c>
      <c r="L181" s="75" t="str">
        <f aca="false">IF($K181="","",N(元データ_P!$B$179))</f>
        <v/>
      </c>
      <c r="M181" s="75" t="str">
        <f aca="false">IF($K181="","",N(元データ_P!$F$179))</f>
        <v/>
      </c>
      <c r="N181" s="74" t="str">
        <f aca="false">IF($K181="","",IF(COUNTIF(店舗マスタ!$B$5:$B$304,$K181)&gt;0,"登録済","未登録→マスタに追加"))</f>
        <v/>
      </c>
      <c r="P181" s="74" t="n">
        <v>179</v>
      </c>
      <c r="Q181" s="74" t="str">
        <f aca="false">IF(元データ_B!$A$179="","",元データ_B!$A$179)</f>
        <v/>
      </c>
      <c r="R181" s="74" t="str">
        <f aca="false">IF(LEFT(Q181,1)="(",IFERROR(VALUE(MID(Q181,2,FIND(")",Q181)-2)),""),"")</f>
        <v/>
      </c>
      <c r="S181" s="75" t="str">
        <f aca="false">IF($R181="","",N(元データ_B!$B$179))</f>
        <v/>
      </c>
      <c r="T181" s="75" t="str">
        <f aca="false">IF($R181="","",N(元データ_B!$F$179))</f>
        <v/>
      </c>
      <c r="U181" s="74" t="str">
        <f aca="false">IF($R181="","",IF(COUNTIF(店舗マスタ!$B$5:$B$304,$R181)&gt;0,"登録済","未登録→マスタに追加"))</f>
        <v/>
      </c>
    </row>
    <row r="182" customFormat="false" ht="15" hidden="false" customHeight="false" outlineLevel="0" collapsed="false">
      <c r="A182" s="74" t="n">
        <v>180</v>
      </c>
      <c r="B182" s="74" t="str">
        <f aca="false">IF(元データ_PB合計!$A$180="","",元データ_PB合計!$A$180)</f>
        <v/>
      </c>
      <c r="C182" s="74" t="str">
        <f aca="false">IF(LEFT(B182,1)="(",IFERROR(VALUE(MID(B182,2,FIND(")",B182)-2)),""),"")</f>
        <v/>
      </c>
      <c r="D182" s="75" t="str">
        <f aca="false">IF($C182="","",N(元データ_PB合計!$B$180))</f>
        <v/>
      </c>
      <c r="E182" s="75" t="str">
        <f aca="false">IF($C182="","",N(元データ_PB合計!$C$180))</f>
        <v/>
      </c>
      <c r="F182" s="75" t="str">
        <f aca="false">IF($C182="","",N(元データ_PB合計!$F$180))</f>
        <v/>
      </c>
      <c r="G182" s="74" t="str">
        <f aca="false">IF($C182="","",IF(COUNTIF(店舗マスタ!$B$5:$B$304,$C182)&gt;0,"登録済","未登録→マスタに追加"))</f>
        <v/>
      </c>
      <c r="I182" s="74" t="n">
        <v>180</v>
      </c>
      <c r="J182" s="74" t="str">
        <f aca="false">IF(元データ_P!$A$180="","",元データ_P!$A$180)</f>
        <v/>
      </c>
      <c r="K182" s="74" t="str">
        <f aca="false">IF(LEFT(J182,1)="(",IFERROR(VALUE(MID(J182,2,FIND(")",J182)-2)),""),"")</f>
        <v/>
      </c>
      <c r="L182" s="75" t="str">
        <f aca="false">IF($K182="","",N(元データ_P!$B$180))</f>
        <v/>
      </c>
      <c r="M182" s="75" t="str">
        <f aca="false">IF($K182="","",N(元データ_P!$F$180))</f>
        <v/>
      </c>
      <c r="N182" s="74" t="str">
        <f aca="false">IF($K182="","",IF(COUNTIF(店舗マスタ!$B$5:$B$304,$K182)&gt;0,"登録済","未登録→マスタに追加"))</f>
        <v/>
      </c>
      <c r="P182" s="74" t="n">
        <v>180</v>
      </c>
      <c r="Q182" s="74" t="str">
        <f aca="false">IF(元データ_B!$A$180="","",元データ_B!$A$180)</f>
        <v/>
      </c>
      <c r="R182" s="74" t="str">
        <f aca="false">IF(LEFT(Q182,1)="(",IFERROR(VALUE(MID(Q182,2,FIND(")",Q182)-2)),""),"")</f>
        <v/>
      </c>
      <c r="S182" s="75" t="str">
        <f aca="false">IF($R182="","",N(元データ_B!$B$180))</f>
        <v/>
      </c>
      <c r="T182" s="75" t="str">
        <f aca="false">IF($R182="","",N(元データ_B!$F$180))</f>
        <v/>
      </c>
      <c r="U182" s="74" t="str">
        <f aca="false">IF($R182="","",IF(COUNTIF(店舗マスタ!$B$5:$B$304,$R182)&gt;0,"登録済","未登録→マスタに追加"))</f>
        <v/>
      </c>
    </row>
    <row r="183" customFormat="false" ht="15" hidden="false" customHeight="false" outlineLevel="0" collapsed="false">
      <c r="A183" s="74" t="n">
        <v>181</v>
      </c>
      <c r="B183" s="74" t="str">
        <f aca="false">IF(元データ_PB合計!$A$181="","",元データ_PB合計!$A$181)</f>
        <v/>
      </c>
      <c r="C183" s="74" t="str">
        <f aca="false">IF(LEFT(B183,1)="(",IFERROR(VALUE(MID(B183,2,FIND(")",B183)-2)),""),"")</f>
        <v/>
      </c>
      <c r="D183" s="75" t="str">
        <f aca="false">IF($C183="","",N(元データ_PB合計!$B$181))</f>
        <v/>
      </c>
      <c r="E183" s="75" t="str">
        <f aca="false">IF($C183="","",N(元データ_PB合計!$C$181))</f>
        <v/>
      </c>
      <c r="F183" s="75" t="str">
        <f aca="false">IF($C183="","",N(元データ_PB合計!$F$181))</f>
        <v/>
      </c>
      <c r="G183" s="74" t="str">
        <f aca="false">IF($C183="","",IF(COUNTIF(店舗マスタ!$B$5:$B$304,$C183)&gt;0,"登録済","未登録→マスタに追加"))</f>
        <v/>
      </c>
      <c r="I183" s="74" t="n">
        <v>181</v>
      </c>
      <c r="J183" s="74" t="str">
        <f aca="false">IF(元データ_P!$A$181="","",元データ_P!$A$181)</f>
        <v/>
      </c>
      <c r="K183" s="74" t="str">
        <f aca="false">IF(LEFT(J183,1)="(",IFERROR(VALUE(MID(J183,2,FIND(")",J183)-2)),""),"")</f>
        <v/>
      </c>
      <c r="L183" s="75" t="str">
        <f aca="false">IF($K183="","",N(元データ_P!$B$181))</f>
        <v/>
      </c>
      <c r="M183" s="75" t="str">
        <f aca="false">IF($K183="","",N(元データ_P!$F$181))</f>
        <v/>
      </c>
      <c r="N183" s="74" t="str">
        <f aca="false">IF($K183="","",IF(COUNTIF(店舗マスタ!$B$5:$B$304,$K183)&gt;0,"登録済","未登録→マスタに追加"))</f>
        <v/>
      </c>
      <c r="P183" s="74" t="n">
        <v>181</v>
      </c>
      <c r="Q183" s="74" t="str">
        <f aca="false">IF(元データ_B!$A$181="","",元データ_B!$A$181)</f>
        <v/>
      </c>
      <c r="R183" s="74" t="str">
        <f aca="false">IF(LEFT(Q183,1)="(",IFERROR(VALUE(MID(Q183,2,FIND(")",Q183)-2)),""),"")</f>
        <v/>
      </c>
      <c r="S183" s="75" t="str">
        <f aca="false">IF($R183="","",N(元データ_B!$B$181))</f>
        <v/>
      </c>
      <c r="T183" s="75" t="str">
        <f aca="false">IF($R183="","",N(元データ_B!$F$181))</f>
        <v/>
      </c>
      <c r="U183" s="74" t="str">
        <f aca="false">IF($R183="","",IF(COUNTIF(店舗マスタ!$B$5:$B$304,$R183)&gt;0,"登録済","未登録→マスタに追加"))</f>
        <v/>
      </c>
    </row>
    <row r="184" customFormat="false" ht="15" hidden="false" customHeight="false" outlineLevel="0" collapsed="false">
      <c r="A184" s="74" t="n">
        <v>182</v>
      </c>
      <c r="B184" s="74" t="str">
        <f aca="false">IF(元データ_PB合計!$A$182="","",元データ_PB合計!$A$182)</f>
        <v/>
      </c>
      <c r="C184" s="74" t="str">
        <f aca="false">IF(LEFT(B184,1)="(",IFERROR(VALUE(MID(B184,2,FIND(")",B184)-2)),""),"")</f>
        <v/>
      </c>
      <c r="D184" s="75" t="str">
        <f aca="false">IF($C184="","",N(元データ_PB合計!$B$182))</f>
        <v/>
      </c>
      <c r="E184" s="75" t="str">
        <f aca="false">IF($C184="","",N(元データ_PB合計!$C$182))</f>
        <v/>
      </c>
      <c r="F184" s="75" t="str">
        <f aca="false">IF($C184="","",N(元データ_PB合計!$F$182))</f>
        <v/>
      </c>
      <c r="G184" s="74" t="str">
        <f aca="false">IF($C184="","",IF(COUNTIF(店舗マスタ!$B$5:$B$304,$C184)&gt;0,"登録済","未登録→マスタに追加"))</f>
        <v/>
      </c>
      <c r="I184" s="74" t="n">
        <v>182</v>
      </c>
      <c r="J184" s="74" t="str">
        <f aca="false">IF(元データ_P!$A$182="","",元データ_P!$A$182)</f>
        <v/>
      </c>
      <c r="K184" s="74" t="str">
        <f aca="false">IF(LEFT(J184,1)="(",IFERROR(VALUE(MID(J184,2,FIND(")",J184)-2)),""),"")</f>
        <v/>
      </c>
      <c r="L184" s="75" t="str">
        <f aca="false">IF($K184="","",N(元データ_P!$B$182))</f>
        <v/>
      </c>
      <c r="M184" s="75" t="str">
        <f aca="false">IF($K184="","",N(元データ_P!$F$182))</f>
        <v/>
      </c>
      <c r="N184" s="74" t="str">
        <f aca="false">IF($K184="","",IF(COUNTIF(店舗マスタ!$B$5:$B$304,$K184)&gt;0,"登録済","未登録→マスタに追加"))</f>
        <v/>
      </c>
      <c r="P184" s="74" t="n">
        <v>182</v>
      </c>
      <c r="Q184" s="74" t="str">
        <f aca="false">IF(元データ_B!$A$182="","",元データ_B!$A$182)</f>
        <v/>
      </c>
      <c r="R184" s="74" t="str">
        <f aca="false">IF(LEFT(Q184,1)="(",IFERROR(VALUE(MID(Q184,2,FIND(")",Q184)-2)),""),"")</f>
        <v/>
      </c>
      <c r="S184" s="75" t="str">
        <f aca="false">IF($R184="","",N(元データ_B!$B$182))</f>
        <v/>
      </c>
      <c r="T184" s="75" t="str">
        <f aca="false">IF($R184="","",N(元データ_B!$F$182))</f>
        <v/>
      </c>
      <c r="U184" s="74" t="str">
        <f aca="false">IF($R184="","",IF(COUNTIF(店舗マスタ!$B$5:$B$304,$R184)&gt;0,"登録済","未登録→マスタに追加"))</f>
        <v/>
      </c>
    </row>
    <row r="185" customFormat="false" ht="15" hidden="false" customHeight="false" outlineLevel="0" collapsed="false">
      <c r="A185" s="74" t="n">
        <v>183</v>
      </c>
      <c r="B185" s="74" t="str">
        <f aca="false">IF(元データ_PB合計!$A$183="","",元データ_PB合計!$A$183)</f>
        <v/>
      </c>
      <c r="C185" s="74" t="str">
        <f aca="false">IF(LEFT(B185,1)="(",IFERROR(VALUE(MID(B185,2,FIND(")",B185)-2)),""),"")</f>
        <v/>
      </c>
      <c r="D185" s="75" t="str">
        <f aca="false">IF($C185="","",N(元データ_PB合計!$B$183))</f>
        <v/>
      </c>
      <c r="E185" s="75" t="str">
        <f aca="false">IF($C185="","",N(元データ_PB合計!$C$183))</f>
        <v/>
      </c>
      <c r="F185" s="75" t="str">
        <f aca="false">IF($C185="","",N(元データ_PB合計!$F$183))</f>
        <v/>
      </c>
      <c r="G185" s="74" t="str">
        <f aca="false">IF($C185="","",IF(COUNTIF(店舗マスタ!$B$5:$B$304,$C185)&gt;0,"登録済","未登録→マスタに追加"))</f>
        <v/>
      </c>
      <c r="I185" s="74" t="n">
        <v>183</v>
      </c>
      <c r="J185" s="74" t="str">
        <f aca="false">IF(元データ_P!$A$183="","",元データ_P!$A$183)</f>
        <v/>
      </c>
      <c r="K185" s="74" t="str">
        <f aca="false">IF(LEFT(J185,1)="(",IFERROR(VALUE(MID(J185,2,FIND(")",J185)-2)),""),"")</f>
        <v/>
      </c>
      <c r="L185" s="75" t="str">
        <f aca="false">IF($K185="","",N(元データ_P!$B$183))</f>
        <v/>
      </c>
      <c r="M185" s="75" t="str">
        <f aca="false">IF($K185="","",N(元データ_P!$F$183))</f>
        <v/>
      </c>
      <c r="N185" s="74" t="str">
        <f aca="false">IF($K185="","",IF(COUNTIF(店舗マスタ!$B$5:$B$304,$K185)&gt;0,"登録済","未登録→マスタに追加"))</f>
        <v/>
      </c>
      <c r="P185" s="74" t="n">
        <v>183</v>
      </c>
      <c r="Q185" s="74" t="str">
        <f aca="false">IF(元データ_B!$A$183="","",元データ_B!$A$183)</f>
        <v/>
      </c>
      <c r="R185" s="74" t="str">
        <f aca="false">IF(LEFT(Q185,1)="(",IFERROR(VALUE(MID(Q185,2,FIND(")",Q185)-2)),""),"")</f>
        <v/>
      </c>
      <c r="S185" s="75" t="str">
        <f aca="false">IF($R185="","",N(元データ_B!$B$183))</f>
        <v/>
      </c>
      <c r="T185" s="75" t="str">
        <f aca="false">IF($R185="","",N(元データ_B!$F$183))</f>
        <v/>
      </c>
      <c r="U185" s="74" t="str">
        <f aca="false">IF($R185="","",IF(COUNTIF(店舗マスタ!$B$5:$B$304,$R185)&gt;0,"登録済","未登録→マスタに追加"))</f>
        <v/>
      </c>
    </row>
    <row r="186" customFormat="false" ht="15" hidden="false" customHeight="false" outlineLevel="0" collapsed="false">
      <c r="A186" s="74" t="n">
        <v>184</v>
      </c>
      <c r="B186" s="74" t="str">
        <f aca="false">IF(元データ_PB合計!$A$184="","",元データ_PB合計!$A$184)</f>
        <v/>
      </c>
      <c r="C186" s="74" t="str">
        <f aca="false">IF(LEFT(B186,1)="(",IFERROR(VALUE(MID(B186,2,FIND(")",B186)-2)),""),"")</f>
        <v/>
      </c>
      <c r="D186" s="75" t="str">
        <f aca="false">IF($C186="","",N(元データ_PB合計!$B$184))</f>
        <v/>
      </c>
      <c r="E186" s="75" t="str">
        <f aca="false">IF($C186="","",N(元データ_PB合計!$C$184))</f>
        <v/>
      </c>
      <c r="F186" s="75" t="str">
        <f aca="false">IF($C186="","",N(元データ_PB合計!$F$184))</f>
        <v/>
      </c>
      <c r="G186" s="74" t="str">
        <f aca="false">IF($C186="","",IF(COUNTIF(店舗マスタ!$B$5:$B$304,$C186)&gt;0,"登録済","未登録→マスタに追加"))</f>
        <v/>
      </c>
      <c r="I186" s="74" t="n">
        <v>184</v>
      </c>
      <c r="J186" s="74" t="str">
        <f aca="false">IF(元データ_P!$A$184="","",元データ_P!$A$184)</f>
        <v/>
      </c>
      <c r="K186" s="74" t="str">
        <f aca="false">IF(LEFT(J186,1)="(",IFERROR(VALUE(MID(J186,2,FIND(")",J186)-2)),""),"")</f>
        <v/>
      </c>
      <c r="L186" s="75" t="str">
        <f aca="false">IF($K186="","",N(元データ_P!$B$184))</f>
        <v/>
      </c>
      <c r="M186" s="75" t="str">
        <f aca="false">IF($K186="","",N(元データ_P!$F$184))</f>
        <v/>
      </c>
      <c r="N186" s="74" t="str">
        <f aca="false">IF($K186="","",IF(COUNTIF(店舗マスタ!$B$5:$B$304,$K186)&gt;0,"登録済","未登録→マスタに追加"))</f>
        <v/>
      </c>
      <c r="P186" s="74" t="n">
        <v>184</v>
      </c>
      <c r="Q186" s="74" t="str">
        <f aca="false">IF(元データ_B!$A$184="","",元データ_B!$A$184)</f>
        <v/>
      </c>
      <c r="R186" s="74" t="str">
        <f aca="false">IF(LEFT(Q186,1)="(",IFERROR(VALUE(MID(Q186,2,FIND(")",Q186)-2)),""),"")</f>
        <v/>
      </c>
      <c r="S186" s="75" t="str">
        <f aca="false">IF($R186="","",N(元データ_B!$B$184))</f>
        <v/>
      </c>
      <c r="T186" s="75" t="str">
        <f aca="false">IF($R186="","",N(元データ_B!$F$184))</f>
        <v/>
      </c>
      <c r="U186" s="74" t="str">
        <f aca="false">IF($R186="","",IF(COUNTIF(店舗マスタ!$B$5:$B$304,$R186)&gt;0,"登録済","未登録→マスタに追加"))</f>
        <v/>
      </c>
    </row>
    <row r="187" customFormat="false" ht="15" hidden="false" customHeight="false" outlineLevel="0" collapsed="false">
      <c r="A187" s="74" t="n">
        <v>185</v>
      </c>
      <c r="B187" s="74" t="str">
        <f aca="false">IF(元データ_PB合計!$A$185="","",元データ_PB合計!$A$185)</f>
        <v/>
      </c>
      <c r="C187" s="74" t="str">
        <f aca="false">IF(LEFT(B187,1)="(",IFERROR(VALUE(MID(B187,2,FIND(")",B187)-2)),""),"")</f>
        <v/>
      </c>
      <c r="D187" s="75" t="str">
        <f aca="false">IF($C187="","",N(元データ_PB合計!$B$185))</f>
        <v/>
      </c>
      <c r="E187" s="75" t="str">
        <f aca="false">IF($C187="","",N(元データ_PB合計!$C$185))</f>
        <v/>
      </c>
      <c r="F187" s="75" t="str">
        <f aca="false">IF($C187="","",N(元データ_PB合計!$F$185))</f>
        <v/>
      </c>
      <c r="G187" s="74" t="str">
        <f aca="false">IF($C187="","",IF(COUNTIF(店舗マスタ!$B$5:$B$304,$C187)&gt;0,"登録済","未登録→マスタに追加"))</f>
        <v/>
      </c>
      <c r="I187" s="74" t="n">
        <v>185</v>
      </c>
      <c r="J187" s="74" t="str">
        <f aca="false">IF(元データ_P!$A$185="","",元データ_P!$A$185)</f>
        <v/>
      </c>
      <c r="K187" s="74" t="str">
        <f aca="false">IF(LEFT(J187,1)="(",IFERROR(VALUE(MID(J187,2,FIND(")",J187)-2)),""),"")</f>
        <v/>
      </c>
      <c r="L187" s="75" t="str">
        <f aca="false">IF($K187="","",N(元データ_P!$B$185))</f>
        <v/>
      </c>
      <c r="M187" s="75" t="str">
        <f aca="false">IF($K187="","",N(元データ_P!$F$185))</f>
        <v/>
      </c>
      <c r="N187" s="74" t="str">
        <f aca="false">IF($K187="","",IF(COUNTIF(店舗マスタ!$B$5:$B$304,$K187)&gt;0,"登録済","未登録→マスタに追加"))</f>
        <v/>
      </c>
      <c r="P187" s="74" t="n">
        <v>185</v>
      </c>
      <c r="Q187" s="74" t="str">
        <f aca="false">IF(元データ_B!$A$185="","",元データ_B!$A$185)</f>
        <v/>
      </c>
      <c r="R187" s="74" t="str">
        <f aca="false">IF(LEFT(Q187,1)="(",IFERROR(VALUE(MID(Q187,2,FIND(")",Q187)-2)),""),"")</f>
        <v/>
      </c>
      <c r="S187" s="75" t="str">
        <f aca="false">IF($R187="","",N(元データ_B!$B$185))</f>
        <v/>
      </c>
      <c r="T187" s="75" t="str">
        <f aca="false">IF($R187="","",N(元データ_B!$F$185))</f>
        <v/>
      </c>
      <c r="U187" s="74" t="str">
        <f aca="false">IF($R187="","",IF(COUNTIF(店舗マスタ!$B$5:$B$304,$R187)&gt;0,"登録済","未登録→マスタに追加"))</f>
        <v/>
      </c>
    </row>
    <row r="188" customFormat="false" ht="15" hidden="false" customHeight="false" outlineLevel="0" collapsed="false">
      <c r="A188" s="74" t="n">
        <v>186</v>
      </c>
      <c r="B188" s="74" t="str">
        <f aca="false">IF(元データ_PB合計!$A$186="","",元データ_PB合計!$A$186)</f>
        <v/>
      </c>
      <c r="C188" s="74" t="str">
        <f aca="false">IF(LEFT(B188,1)="(",IFERROR(VALUE(MID(B188,2,FIND(")",B188)-2)),""),"")</f>
        <v/>
      </c>
      <c r="D188" s="75" t="str">
        <f aca="false">IF($C188="","",N(元データ_PB合計!$B$186))</f>
        <v/>
      </c>
      <c r="E188" s="75" t="str">
        <f aca="false">IF($C188="","",N(元データ_PB合計!$C$186))</f>
        <v/>
      </c>
      <c r="F188" s="75" t="str">
        <f aca="false">IF($C188="","",N(元データ_PB合計!$F$186))</f>
        <v/>
      </c>
      <c r="G188" s="74" t="str">
        <f aca="false">IF($C188="","",IF(COUNTIF(店舗マスタ!$B$5:$B$304,$C188)&gt;0,"登録済","未登録→マスタに追加"))</f>
        <v/>
      </c>
      <c r="I188" s="74" t="n">
        <v>186</v>
      </c>
      <c r="J188" s="74" t="str">
        <f aca="false">IF(元データ_P!$A$186="","",元データ_P!$A$186)</f>
        <v/>
      </c>
      <c r="K188" s="74" t="str">
        <f aca="false">IF(LEFT(J188,1)="(",IFERROR(VALUE(MID(J188,2,FIND(")",J188)-2)),""),"")</f>
        <v/>
      </c>
      <c r="L188" s="75" t="str">
        <f aca="false">IF($K188="","",N(元データ_P!$B$186))</f>
        <v/>
      </c>
      <c r="M188" s="75" t="str">
        <f aca="false">IF($K188="","",N(元データ_P!$F$186))</f>
        <v/>
      </c>
      <c r="N188" s="74" t="str">
        <f aca="false">IF($K188="","",IF(COUNTIF(店舗マスタ!$B$5:$B$304,$K188)&gt;0,"登録済","未登録→マスタに追加"))</f>
        <v/>
      </c>
      <c r="P188" s="74" t="n">
        <v>186</v>
      </c>
      <c r="Q188" s="74" t="str">
        <f aca="false">IF(元データ_B!$A$186="","",元データ_B!$A$186)</f>
        <v/>
      </c>
      <c r="R188" s="74" t="str">
        <f aca="false">IF(LEFT(Q188,1)="(",IFERROR(VALUE(MID(Q188,2,FIND(")",Q188)-2)),""),"")</f>
        <v/>
      </c>
      <c r="S188" s="75" t="str">
        <f aca="false">IF($R188="","",N(元データ_B!$B$186))</f>
        <v/>
      </c>
      <c r="T188" s="75" t="str">
        <f aca="false">IF($R188="","",N(元データ_B!$F$186))</f>
        <v/>
      </c>
      <c r="U188" s="74" t="str">
        <f aca="false">IF($R188="","",IF(COUNTIF(店舗マスタ!$B$5:$B$304,$R188)&gt;0,"登録済","未登録→マスタに追加"))</f>
        <v/>
      </c>
    </row>
    <row r="189" customFormat="false" ht="15" hidden="false" customHeight="false" outlineLevel="0" collapsed="false">
      <c r="A189" s="74" t="n">
        <v>187</v>
      </c>
      <c r="B189" s="74" t="str">
        <f aca="false">IF(元データ_PB合計!$A$187="","",元データ_PB合計!$A$187)</f>
        <v/>
      </c>
      <c r="C189" s="74" t="str">
        <f aca="false">IF(LEFT(B189,1)="(",IFERROR(VALUE(MID(B189,2,FIND(")",B189)-2)),""),"")</f>
        <v/>
      </c>
      <c r="D189" s="75" t="str">
        <f aca="false">IF($C189="","",N(元データ_PB合計!$B$187))</f>
        <v/>
      </c>
      <c r="E189" s="75" t="str">
        <f aca="false">IF($C189="","",N(元データ_PB合計!$C$187))</f>
        <v/>
      </c>
      <c r="F189" s="75" t="str">
        <f aca="false">IF($C189="","",N(元データ_PB合計!$F$187))</f>
        <v/>
      </c>
      <c r="G189" s="74" t="str">
        <f aca="false">IF($C189="","",IF(COUNTIF(店舗マスタ!$B$5:$B$304,$C189)&gt;0,"登録済","未登録→マスタに追加"))</f>
        <v/>
      </c>
      <c r="I189" s="74" t="n">
        <v>187</v>
      </c>
      <c r="J189" s="74" t="str">
        <f aca="false">IF(元データ_P!$A$187="","",元データ_P!$A$187)</f>
        <v/>
      </c>
      <c r="K189" s="74" t="str">
        <f aca="false">IF(LEFT(J189,1)="(",IFERROR(VALUE(MID(J189,2,FIND(")",J189)-2)),""),"")</f>
        <v/>
      </c>
      <c r="L189" s="75" t="str">
        <f aca="false">IF($K189="","",N(元データ_P!$B$187))</f>
        <v/>
      </c>
      <c r="M189" s="75" t="str">
        <f aca="false">IF($K189="","",N(元データ_P!$F$187))</f>
        <v/>
      </c>
      <c r="N189" s="74" t="str">
        <f aca="false">IF($K189="","",IF(COUNTIF(店舗マスタ!$B$5:$B$304,$K189)&gt;0,"登録済","未登録→マスタに追加"))</f>
        <v/>
      </c>
      <c r="P189" s="74" t="n">
        <v>187</v>
      </c>
      <c r="Q189" s="74" t="str">
        <f aca="false">IF(元データ_B!$A$187="","",元データ_B!$A$187)</f>
        <v/>
      </c>
      <c r="R189" s="74" t="str">
        <f aca="false">IF(LEFT(Q189,1)="(",IFERROR(VALUE(MID(Q189,2,FIND(")",Q189)-2)),""),"")</f>
        <v/>
      </c>
      <c r="S189" s="75" t="str">
        <f aca="false">IF($R189="","",N(元データ_B!$B$187))</f>
        <v/>
      </c>
      <c r="T189" s="75" t="str">
        <f aca="false">IF($R189="","",N(元データ_B!$F$187))</f>
        <v/>
      </c>
      <c r="U189" s="74" t="str">
        <f aca="false">IF($R189="","",IF(COUNTIF(店舗マスタ!$B$5:$B$304,$R189)&gt;0,"登録済","未登録→マスタに追加"))</f>
        <v/>
      </c>
    </row>
    <row r="190" customFormat="false" ht="15" hidden="false" customHeight="false" outlineLevel="0" collapsed="false">
      <c r="A190" s="74" t="n">
        <v>188</v>
      </c>
      <c r="B190" s="74" t="str">
        <f aca="false">IF(元データ_PB合計!$A$188="","",元データ_PB合計!$A$188)</f>
        <v/>
      </c>
      <c r="C190" s="74" t="str">
        <f aca="false">IF(LEFT(B190,1)="(",IFERROR(VALUE(MID(B190,2,FIND(")",B190)-2)),""),"")</f>
        <v/>
      </c>
      <c r="D190" s="75" t="str">
        <f aca="false">IF($C190="","",N(元データ_PB合計!$B$188))</f>
        <v/>
      </c>
      <c r="E190" s="75" t="str">
        <f aca="false">IF($C190="","",N(元データ_PB合計!$C$188))</f>
        <v/>
      </c>
      <c r="F190" s="75" t="str">
        <f aca="false">IF($C190="","",N(元データ_PB合計!$F$188))</f>
        <v/>
      </c>
      <c r="G190" s="74" t="str">
        <f aca="false">IF($C190="","",IF(COUNTIF(店舗マスタ!$B$5:$B$304,$C190)&gt;0,"登録済","未登録→マスタに追加"))</f>
        <v/>
      </c>
      <c r="I190" s="74" t="n">
        <v>188</v>
      </c>
      <c r="J190" s="74" t="str">
        <f aca="false">IF(元データ_P!$A$188="","",元データ_P!$A$188)</f>
        <v/>
      </c>
      <c r="K190" s="74" t="str">
        <f aca="false">IF(LEFT(J190,1)="(",IFERROR(VALUE(MID(J190,2,FIND(")",J190)-2)),""),"")</f>
        <v/>
      </c>
      <c r="L190" s="75" t="str">
        <f aca="false">IF($K190="","",N(元データ_P!$B$188))</f>
        <v/>
      </c>
      <c r="M190" s="75" t="str">
        <f aca="false">IF($K190="","",N(元データ_P!$F$188))</f>
        <v/>
      </c>
      <c r="N190" s="74" t="str">
        <f aca="false">IF($K190="","",IF(COUNTIF(店舗マスタ!$B$5:$B$304,$K190)&gt;0,"登録済","未登録→マスタに追加"))</f>
        <v/>
      </c>
      <c r="P190" s="74" t="n">
        <v>188</v>
      </c>
      <c r="Q190" s="74" t="str">
        <f aca="false">IF(元データ_B!$A$188="","",元データ_B!$A$188)</f>
        <v/>
      </c>
      <c r="R190" s="74" t="str">
        <f aca="false">IF(LEFT(Q190,1)="(",IFERROR(VALUE(MID(Q190,2,FIND(")",Q190)-2)),""),"")</f>
        <v/>
      </c>
      <c r="S190" s="75" t="str">
        <f aca="false">IF($R190="","",N(元データ_B!$B$188))</f>
        <v/>
      </c>
      <c r="T190" s="75" t="str">
        <f aca="false">IF($R190="","",N(元データ_B!$F$188))</f>
        <v/>
      </c>
      <c r="U190" s="74" t="str">
        <f aca="false">IF($R190="","",IF(COUNTIF(店舗マスタ!$B$5:$B$304,$R190)&gt;0,"登録済","未登録→マスタに追加"))</f>
        <v/>
      </c>
    </row>
    <row r="191" customFormat="false" ht="15" hidden="false" customHeight="false" outlineLevel="0" collapsed="false">
      <c r="A191" s="74" t="n">
        <v>189</v>
      </c>
      <c r="B191" s="74" t="str">
        <f aca="false">IF(元データ_PB合計!$A$189="","",元データ_PB合計!$A$189)</f>
        <v/>
      </c>
      <c r="C191" s="74" t="str">
        <f aca="false">IF(LEFT(B191,1)="(",IFERROR(VALUE(MID(B191,2,FIND(")",B191)-2)),""),"")</f>
        <v/>
      </c>
      <c r="D191" s="75" t="str">
        <f aca="false">IF($C191="","",N(元データ_PB合計!$B$189))</f>
        <v/>
      </c>
      <c r="E191" s="75" t="str">
        <f aca="false">IF($C191="","",N(元データ_PB合計!$C$189))</f>
        <v/>
      </c>
      <c r="F191" s="75" t="str">
        <f aca="false">IF($C191="","",N(元データ_PB合計!$F$189))</f>
        <v/>
      </c>
      <c r="G191" s="74" t="str">
        <f aca="false">IF($C191="","",IF(COUNTIF(店舗マスタ!$B$5:$B$304,$C191)&gt;0,"登録済","未登録→マスタに追加"))</f>
        <v/>
      </c>
      <c r="I191" s="74" t="n">
        <v>189</v>
      </c>
      <c r="J191" s="74" t="str">
        <f aca="false">IF(元データ_P!$A$189="","",元データ_P!$A$189)</f>
        <v/>
      </c>
      <c r="K191" s="74" t="str">
        <f aca="false">IF(LEFT(J191,1)="(",IFERROR(VALUE(MID(J191,2,FIND(")",J191)-2)),""),"")</f>
        <v/>
      </c>
      <c r="L191" s="75" t="str">
        <f aca="false">IF($K191="","",N(元データ_P!$B$189))</f>
        <v/>
      </c>
      <c r="M191" s="75" t="str">
        <f aca="false">IF($K191="","",N(元データ_P!$F$189))</f>
        <v/>
      </c>
      <c r="N191" s="74" t="str">
        <f aca="false">IF($K191="","",IF(COUNTIF(店舗マスタ!$B$5:$B$304,$K191)&gt;0,"登録済","未登録→マスタに追加"))</f>
        <v/>
      </c>
      <c r="P191" s="74" t="n">
        <v>189</v>
      </c>
      <c r="Q191" s="74" t="str">
        <f aca="false">IF(元データ_B!$A$189="","",元データ_B!$A$189)</f>
        <v/>
      </c>
      <c r="R191" s="74" t="str">
        <f aca="false">IF(LEFT(Q191,1)="(",IFERROR(VALUE(MID(Q191,2,FIND(")",Q191)-2)),""),"")</f>
        <v/>
      </c>
      <c r="S191" s="75" t="str">
        <f aca="false">IF($R191="","",N(元データ_B!$B$189))</f>
        <v/>
      </c>
      <c r="T191" s="75" t="str">
        <f aca="false">IF($R191="","",N(元データ_B!$F$189))</f>
        <v/>
      </c>
      <c r="U191" s="74" t="str">
        <f aca="false">IF($R191="","",IF(COUNTIF(店舗マスタ!$B$5:$B$304,$R191)&gt;0,"登録済","未登録→マスタに追加"))</f>
        <v/>
      </c>
    </row>
    <row r="192" customFormat="false" ht="15" hidden="false" customHeight="false" outlineLevel="0" collapsed="false">
      <c r="A192" s="74" t="n">
        <v>190</v>
      </c>
      <c r="B192" s="74" t="str">
        <f aca="false">IF(元データ_PB合計!$A$190="","",元データ_PB合計!$A$190)</f>
        <v/>
      </c>
      <c r="C192" s="74" t="str">
        <f aca="false">IF(LEFT(B192,1)="(",IFERROR(VALUE(MID(B192,2,FIND(")",B192)-2)),""),"")</f>
        <v/>
      </c>
      <c r="D192" s="75" t="str">
        <f aca="false">IF($C192="","",N(元データ_PB合計!$B$190))</f>
        <v/>
      </c>
      <c r="E192" s="75" t="str">
        <f aca="false">IF($C192="","",N(元データ_PB合計!$C$190))</f>
        <v/>
      </c>
      <c r="F192" s="75" t="str">
        <f aca="false">IF($C192="","",N(元データ_PB合計!$F$190))</f>
        <v/>
      </c>
      <c r="G192" s="74" t="str">
        <f aca="false">IF($C192="","",IF(COUNTIF(店舗マスタ!$B$5:$B$304,$C192)&gt;0,"登録済","未登録→マスタに追加"))</f>
        <v/>
      </c>
      <c r="I192" s="74" t="n">
        <v>190</v>
      </c>
      <c r="J192" s="74" t="str">
        <f aca="false">IF(元データ_P!$A$190="","",元データ_P!$A$190)</f>
        <v/>
      </c>
      <c r="K192" s="74" t="str">
        <f aca="false">IF(LEFT(J192,1)="(",IFERROR(VALUE(MID(J192,2,FIND(")",J192)-2)),""),"")</f>
        <v/>
      </c>
      <c r="L192" s="75" t="str">
        <f aca="false">IF($K192="","",N(元データ_P!$B$190))</f>
        <v/>
      </c>
      <c r="M192" s="75" t="str">
        <f aca="false">IF($K192="","",N(元データ_P!$F$190))</f>
        <v/>
      </c>
      <c r="N192" s="74" t="str">
        <f aca="false">IF($K192="","",IF(COUNTIF(店舗マスタ!$B$5:$B$304,$K192)&gt;0,"登録済","未登録→マスタに追加"))</f>
        <v/>
      </c>
      <c r="P192" s="74" t="n">
        <v>190</v>
      </c>
      <c r="Q192" s="74" t="str">
        <f aca="false">IF(元データ_B!$A$190="","",元データ_B!$A$190)</f>
        <v/>
      </c>
      <c r="R192" s="74" t="str">
        <f aca="false">IF(LEFT(Q192,1)="(",IFERROR(VALUE(MID(Q192,2,FIND(")",Q192)-2)),""),"")</f>
        <v/>
      </c>
      <c r="S192" s="75" t="str">
        <f aca="false">IF($R192="","",N(元データ_B!$B$190))</f>
        <v/>
      </c>
      <c r="T192" s="75" t="str">
        <f aca="false">IF($R192="","",N(元データ_B!$F$190))</f>
        <v/>
      </c>
      <c r="U192" s="74" t="str">
        <f aca="false">IF($R192="","",IF(COUNTIF(店舗マスタ!$B$5:$B$304,$R192)&gt;0,"登録済","未登録→マスタに追加"))</f>
        <v/>
      </c>
    </row>
    <row r="193" customFormat="false" ht="15" hidden="false" customHeight="false" outlineLevel="0" collapsed="false">
      <c r="A193" s="74" t="n">
        <v>191</v>
      </c>
      <c r="B193" s="74" t="str">
        <f aca="false">IF(元データ_PB合計!$A$191="","",元データ_PB合計!$A$191)</f>
        <v/>
      </c>
      <c r="C193" s="74" t="str">
        <f aca="false">IF(LEFT(B193,1)="(",IFERROR(VALUE(MID(B193,2,FIND(")",B193)-2)),""),"")</f>
        <v/>
      </c>
      <c r="D193" s="75" t="str">
        <f aca="false">IF($C193="","",N(元データ_PB合計!$B$191))</f>
        <v/>
      </c>
      <c r="E193" s="75" t="str">
        <f aca="false">IF($C193="","",N(元データ_PB合計!$C$191))</f>
        <v/>
      </c>
      <c r="F193" s="75" t="str">
        <f aca="false">IF($C193="","",N(元データ_PB合計!$F$191))</f>
        <v/>
      </c>
      <c r="G193" s="74" t="str">
        <f aca="false">IF($C193="","",IF(COUNTIF(店舗マスタ!$B$5:$B$304,$C193)&gt;0,"登録済","未登録→マスタに追加"))</f>
        <v/>
      </c>
      <c r="I193" s="74" t="n">
        <v>191</v>
      </c>
      <c r="J193" s="74" t="str">
        <f aca="false">IF(元データ_P!$A$191="","",元データ_P!$A$191)</f>
        <v/>
      </c>
      <c r="K193" s="74" t="str">
        <f aca="false">IF(LEFT(J193,1)="(",IFERROR(VALUE(MID(J193,2,FIND(")",J193)-2)),""),"")</f>
        <v/>
      </c>
      <c r="L193" s="75" t="str">
        <f aca="false">IF($K193="","",N(元データ_P!$B$191))</f>
        <v/>
      </c>
      <c r="M193" s="75" t="str">
        <f aca="false">IF($K193="","",N(元データ_P!$F$191))</f>
        <v/>
      </c>
      <c r="N193" s="74" t="str">
        <f aca="false">IF($K193="","",IF(COUNTIF(店舗マスタ!$B$5:$B$304,$K193)&gt;0,"登録済","未登録→マスタに追加"))</f>
        <v/>
      </c>
      <c r="P193" s="74" t="n">
        <v>191</v>
      </c>
      <c r="Q193" s="74" t="str">
        <f aca="false">IF(元データ_B!$A$191="","",元データ_B!$A$191)</f>
        <v/>
      </c>
      <c r="R193" s="74" t="str">
        <f aca="false">IF(LEFT(Q193,1)="(",IFERROR(VALUE(MID(Q193,2,FIND(")",Q193)-2)),""),"")</f>
        <v/>
      </c>
      <c r="S193" s="75" t="str">
        <f aca="false">IF($R193="","",N(元データ_B!$B$191))</f>
        <v/>
      </c>
      <c r="T193" s="75" t="str">
        <f aca="false">IF($R193="","",N(元データ_B!$F$191))</f>
        <v/>
      </c>
      <c r="U193" s="74" t="str">
        <f aca="false">IF($R193="","",IF(COUNTIF(店舗マスタ!$B$5:$B$304,$R193)&gt;0,"登録済","未登録→マスタに追加"))</f>
        <v/>
      </c>
    </row>
    <row r="194" customFormat="false" ht="15" hidden="false" customHeight="false" outlineLevel="0" collapsed="false">
      <c r="A194" s="74" t="n">
        <v>192</v>
      </c>
      <c r="B194" s="74" t="str">
        <f aca="false">IF(元データ_PB合計!$A$192="","",元データ_PB合計!$A$192)</f>
        <v/>
      </c>
      <c r="C194" s="74" t="str">
        <f aca="false">IF(LEFT(B194,1)="(",IFERROR(VALUE(MID(B194,2,FIND(")",B194)-2)),""),"")</f>
        <v/>
      </c>
      <c r="D194" s="75" t="str">
        <f aca="false">IF($C194="","",N(元データ_PB合計!$B$192))</f>
        <v/>
      </c>
      <c r="E194" s="75" t="str">
        <f aca="false">IF($C194="","",N(元データ_PB合計!$C$192))</f>
        <v/>
      </c>
      <c r="F194" s="75" t="str">
        <f aca="false">IF($C194="","",N(元データ_PB合計!$F$192))</f>
        <v/>
      </c>
      <c r="G194" s="74" t="str">
        <f aca="false">IF($C194="","",IF(COUNTIF(店舗マスタ!$B$5:$B$304,$C194)&gt;0,"登録済","未登録→マスタに追加"))</f>
        <v/>
      </c>
      <c r="I194" s="74" t="n">
        <v>192</v>
      </c>
      <c r="J194" s="74" t="str">
        <f aca="false">IF(元データ_P!$A$192="","",元データ_P!$A$192)</f>
        <v/>
      </c>
      <c r="K194" s="74" t="str">
        <f aca="false">IF(LEFT(J194,1)="(",IFERROR(VALUE(MID(J194,2,FIND(")",J194)-2)),""),"")</f>
        <v/>
      </c>
      <c r="L194" s="75" t="str">
        <f aca="false">IF($K194="","",N(元データ_P!$B$192))</f>
        <v/>
      </c>
      <c r="M194" s="75" t="str">
        <f aca="false">IF($K194="","",N(元データ_P!$F$192))</f>
        <v/>
      </c>
      <c r="N194" s="74" t="str">
        <f aca="false">IF($K194="","",IF(COUNTIF(店舗マスタ!$B$5:$B$304,$K194)&gt;0,"登録済","未登録→マスタに追加"))</f>
        <v/>
      </c>
      <c r="P194" s="74" t="n">
        <v>192</v>
      </c>
      <c r="Q194" s="74" t="str">
        <f aca="false">IF(元データ_B!$A$192="","",元データ_B!$A$192)</f>
        <v/>
      </c>
      <c r="R194" s="74" t="str">
        <f aca="false">IF(LEFT(Q194,1)="(",IFERROR(VALUE(MID(Q194,2,FIND(")",Q194)-2)),""),"")</f>
        <v/>
      </c>
      <c r="S194" s="75" t="str">
        <f aca="false">IF($R194="","",N(元データ_B!$B$192))</f>
        <v/>
      </c>
      <c r="T194" s="75" t="str">
        <f aca="false">IF($R194="","",N(元データ_B!$F$192))</f>
        <v/>
      </c>
      <c r="U194" s="74" t="str">
        <f aca="false">IF($R194="","",IF(COUNTIF(店舗マスタ!$B$5:$B$304,$R194)&gt;0,"登録済","未登録→マスタに追加"))</f>
        <v/>
      </c>
    </row>
    <row r="195" customFormat="false" ht="15" hidden="false" customHeight="false" outlineLevel="0" collapsed="false">
      <c r="A195" s="74" t="n">
        <v>193</v>
      </c>
      <c r="B195" s="74" t="str">
        <f aca="false">IF(元データ_PB合計!$A$193="","",元データ_PB合計!$A$193)</f>
        <v/>
      </c>
      <c r="C195" s="74" t="str">
        <f aca="false">IF(LEFT(B195,1)="(",IFERROR(VALUE(MID(B195,2,FIND(")",B195)-2)),""),"")</f>
        <v/>
      </c>
      <c r="D195" s="75" t="str">
        <f aca="false">IF($C195="","",N(元データ_PB合計!$B$193))</f>
        <v/>
      </c>
      <c r="E195" s="75" t="str">
        <f aca="false">IF($C195="","",N(元データ_PB合計!$C$193))</f>
        <v/>
      </c>
      <c r="F195" s="75" t="str">
        <f aca="false">IF($C195="","",N(元データ_PB合計!$F$193))</f>
        <v/>
      </c>
      <c r="G195" s="74" t="str">
        <f aca="false">IF($C195="","",IF(COUNTIF(店舗マスタ!$B$5:$B$304,$C195)&gt;0,"登録済","未登録→マスタに追加"))</f>
        <v/>
      </c>
      <c r="I195" s="74" t="n">
        <v>193</v>
      </c>
      <c r="J195" s="74" t="str">
        <f aca="false">IF(元データ_P!$A$193="","",元データ_P!$A$193)</f>
        <v/>
      </c>
      <c r="K195" s="74" t="str">
        <f aca="false">IF(LEFT(J195,1)="(",IFERROR(VALUE(MID(J195,2,FIND(")",J195)-2)),""),"")</f>
        <v/>
      </c>
      <c r="L195" s="75" t="str">
        <f aca="false">IF($K195="","",N(元データ_P!$B$193))</f>
        <v/>
      </c>
      <c r="M195" s="75" t="str">
        <f aca="false">IF($K195="","",N(元データ_P!$F$193))</f>
        <v/>
      </c>
      <c r="N195" s="74" t="str">
        <f aca="false">IF($K195="","",IF(COUNTIF(店舗マスタ!$B$5:$B$304,$K195)&gt;0,"登録済","未登録→マスタに追加"))</f>
        <v/>
      </c>
      <c r="P195" s="74" t="n">
        <v>193</v>
      </c>
      <c r="Q195" s="74" t="str">
        <f aca="false">IF(元データ_B!$A$193="","",元データ_B!$A$193)</f>
        <v/>
      </c>
      <c r="R195" s="74" t="str">
        <f aca="false">IF(LEFT(Q195,1)="(",IFERROR(VALUE(MID(Q195,2,FIND(")",Q195)-2)),""),"")</f>
        <v/>
      </c>
      <c r="S195" s="75" t="str">
        <f aca="false">IF($R195="","",N(元データ_B!$B$193))</f>
        <v/>
      </c>
      <c r="T195" s="75" t="str">
        <f aca="false">IF($R195="","",N(元データ_B!$F$193))</f>
        <v/>
      </c>
      <c r="U195" s="74" t="str">
        <f aca="false">IF($R195="","",IF(COUNTIF(店舗マスタ!$B$5:$B$304,$R195)&gt;0,"登録済","未登録→マスタに追加"))</f>
        <v/>
      </c>
    </row>
    <row r="196" customFormat="false" ht="15" hidden="false" customHeight="false" outlineLevel="0" collapsed="false">
      <c r="A196" s="74" t="n">
        <v>194</v>
      </c>
      <c r="B196" s="74" t="str">
        <f aca="false">IF(元データ_PB合計!$A$194="","",元データ_PB合計!$A$194)</f>
        <v/>
      </c>
      <c r="C196" s="74" t="str">
        <f aca="false">IF(LEFT(B196,1)="(",IFERROR(VALUE(MID(B196,2,FIND(")",B196)-2)),""),"")</f>
        <v/>
      </c>
      <c r="D196" s="75" t="str">
        <f aca="false">IF($C196="","",N(元データ_PB合計!$B$194))</f>
        <v/>
      </c>
      <c r="E196" s="75" t="str">
        <f aca="false">IF($C196="","",N(元データ_PB合計!$C$194))</f>
        <v/>
      </c>
      <c r="F196" s="75" t="str">
        <f aca="false">IF($C196="","",N(元データ_PB合計!$F$194))</f>
        <v/>
      </c>
      <c r="G196" s="74" t="str">
        <f aca="false">IF($C196="","",IF(COUNTIF(店舗マスタ!$B$5:$B$304,$C196)&gt;0,"登録済","未登録→マスタに追加"))</f>
        <v/>
      </c>
      <c r="I196" s="74" t="n">
        <v>194</v>
      </c>
      <c r="J196" s="74" t="str">
        <f aca="false">IF(元データ_P!$A$194="","",元データ_P!$A$194)</f>
        <v/>
      </c>
      <c r="K196" s="74" t="str">
        <f aca="false">IF(LEFT(J196,1)="(",IFERROR(VALUE(MID(J196,2,FIND(")",J196)-2)),""),"")</f>
        <v/>
      </c>
      <c r="L196" s="75" t="str">
        <f aca="false">IF($K196="","",N(元データ_P!$B$194))</f>
        <v/>
      </c>
      <c r="M196" s="75" t="str">
        <f aca="false">IF($K196="","",N(元データ_P!$F$194))</f>
        <v/>
      </c>
      <c r="N196" s="74" t="str">
        <f aca="false">IF($K196="","",IF(COUNTIF(店舗マスタ!$B$5:$B$304,$K196)&gt;0,"登録済","未登録→マスタに追加"))</f>
        <v/>
      </c>
      <c r="P196" s="74" t="n">
        <v>194</v>
      </c>
      <c r="Q196" s="74" t="str">
        <f aca="false">IF(元データ_B!$A$194="","",元データ_B!$A$194)</f>
        <v/>
      </c>
      <c r="R196" s="74" t="str">
        <f aca="false">IF(LEFT(Q196,1)="(",IFERROR(VALUE(MID(Q196,2,FIND(")",Q196)-2)),""),"")</f>
        <v/>
      </c>
      <c r="S196" s="75" t="str">
        <f aca="false">IF($R196="","",N(元データ_B!$B$194))</f>
        <v/>
      </c>
      <c r="T196" s="75" t="str">
        <f aca="false">IF($R196="","",N(元データ_B!$F$194))</f>
        <v/>
      </c>
      <c r="U196" s="74" t="str">
        <f aca="false">IF($R196="","",IF(COUNTIF(店舗マスタ!$B$5:$B$304,$R196)&gt;0,"登録済","未登録→マスタに追加"))</f>
        <v/>
      </c>
    </row>
    <row r="197" customFormat="false" ht="15" hidden="false" customHeight="false" outlineLevel="0" collapsed="false">
      <c r="A197" s="74" t="n">
        <v>195</v>
      </c>
      <c r="B197" s="74" t="str">
        <f aca="false">IF(元データ_PB合計!$A$195="","",元データ_PB合計!$A$195)</f>
        <v/>
      </c>
      <c r="C197" s="74" t="str">
        <f aca="false">IF(LEFT(B197,1)="(",IFERROR(VALUE(MID(B197,2,FIND(")",B197)-2)),""),"")</f>
        <v/>
      </c>
      <c r="D197" s="75" t="str">
        <f aca="false">IF($C197="","",N(元データ_PB合計!$B$195))</f>
        <v/>
      </c>
      <c r="E197" s="75" t="str">
        <f aca="false">IF($C197="","",N(元データ_PB合計!$C$195))</f>
        <v/>
      </c>
      <c r="F197" s="75" t="str">
        <f aca="false">IF($C197="","",N(元データ_PB合計!$F$195))</f>
        <v/>
      </c>
      <c r="G197" s="74" t="str">
        <f aca="false">IF($C197="","",IF(COUNTIF(店舗マスタ!$B$5:$B$304,$C197)&gt;0,"登録済","未登録→マスタに追加"))</f>
        <v/>
      </c>
      <c r="I197" s="74" t="n">
        <v>195</v>
      </c>
      <c r="J197" s="74" t="str">
        <f aca="false">IF(元データ_P!$A$195="","",元データ_P!$A$195)</f>
        <v/>
      </c>
      <c r="K197" s="74" t="str">
        <f aca="false">IF(LEFT(J197,1)="(",IFERROR(VALUE(MID(J197,2,FIND(")",J197)-2)),""),"")</f>
        <v/>
      </c>
      <c r="L197" s="75" t="str">
        <f aca="false">IF($K197="","",N(元データ_P!$B$195))</f>
        <v/>
      </c>
      <c r="M197" s="75" t="str">
        <f aca="false">IF($K197="","",N(元データ_P!$F$195))</f>
        <v/>
      </c>
      <c r="N197" s="74" t="str">
        <f aca="false">IF($K197="","",IF(COUNTIF(店舗マスタ!$B$5:$B$304,$K197)&gt;0,"登録済","未登録→マスタに追加"))</f>
        <v/>
      </c>
      <c r="P197" s="74" t="n">
        <v>195</v>
      </c>
      <c r="Q197" s="74" t="str">
        <f aca="false">IF(元データ_B!$A$195="","",元データ_B!$A$195)</f>
        <v/>
      </c>
      <c r="R197" s="74" t="str">
        <f aca="false">IF(LEFT(Q197,1)="(",IFERROR(VALUE(MID(Q197,2,FIND(")",Q197)-2)),""),"")</f>
        <v/>
      </c>
      <c r="S197" s="75" t="str">
        <f aca="false">IF($R197="","",N(元データ_B!$B$195))</f>
        <v/>
      </c>
      <c r="T197" s="75" t="str">
        <f aca="false">IF($R197="","",N(元データ_B!$F$195))</f>
        <v/>
      </c>
      <c r="U197" s="74" t="str">
        <f aca="false">IF($R197="","",IF(COUNTIF(店舗マスタ!$B$5:$B$304,$R197)&gt;0,"登録済","未登録→マスタに追加"))</f>
        <v/>
      </c>
    </row>
    <row r="198" customFormat="false" ht="15" hidden="false" customHeight="false" outlineLevel="0" collapsed="false">
      <c r="A198" s="74" t="n">
        <v>196</v>
      </c>
      <c r="B198" s="74" t="str">
        <f aca="false">IF(元データ_PB合計!$A$196="","",元データ_PB合計!$A$196)</f>
        <v/>
      </c>
      <c r="C198" s="74" t="str">
        <f aca="false">IF(LEFT(B198,1)="(",IFERROR(VALUE(MID(B198,2,FIND(")",B198)-2)),""),"")</f>
        <v/>
      </c>
      <c r="D198" s="75" t="str">
        <f aca="false">IF($C198="","",N(元データ_PB合計!$B$196))</f>
        <v/>
      </c>
      <c r="E198" s="75" t="str">
        <f aca="false">IF($C198="","",N(元データ_PB合計!$C$196))</f>
        <v/>
      </c>
      <c r="F198" s="75" t="str">
        <f aca="false">IF($C198="","",N(元データ_PB合計!$F$196))</f>
        <v/>
      </c>
      <c r="G198" s="74" t="str">
        <f aca="false">IF($C198="","",IF(COUNTIF(店舗マスタ!$B$5:$B$304,$C198)&gt;0,"登録済","未登録→マスタに追加"))</f>
        <v/>
      </c>
      <c r="I198" s="74" t="n">
        <v>196</v>
      </c>
      <c r="J198" s="74" t="str">
        <f aca="false">IF(元データ_P!$A$196="","",元データ_P!$A$196)</f>
        <v/>
      </c>
      <c r="K198" s="74" t="str">
        <f aca="false">IF(LEFT(J198,1)="(",IFERROR(VALUE(MID(J198,2,FIND(")",J198)-2)),""),"")</f>
        <v/>
      </c>
      <c r="L198" s="75" t="str">
        <f aca="false">IF($K198="","",N(元データ_P!$B$196))</f>
        <v/>
      </c>
      <c r="M198" s="75" t="str">
        <f aca="false">IF($K198="","",N(元データ_P!$F$196))</f>
        <v/>
      </c>
      <c r="N198" s="74" t="str">
        <f aca="false">IF($K198="","",IF(COUNTIF(店舗マスタ!$B$5:$B$304,$K198)&gt;0,"登録済","未登録→マスタに追加"))</f>
        <v/>
      </c>
      <c r="P198" s="74" t="n">
        <v>196</v>
      </c>
      <c r="Q198" s="74" t="str">
        <f aca="false">IF(元データ_B!$A$196="","",元データ_B!$A$196)</f>
        <v/>
      </c>
      <c r="R198" s="74" t="str">
        <f aca="false">IF(LEFT(Q198,1)="(",IFERROR(VALUE(MID(Q198,2,FIND(")",Q198)-2)),""),"")</f>
        <v/>
      </c>
      <c r="S198" s="75" t="str">
        <f aca="false">IF($R198="","",N(元データ_B!$B$196))</f>
        <v/>
      </c>
      <c r="T198" s="75" t="str">
        <f aca="false">IF($R198="","",N(元データ_B!$F$196))</f>
        <v/>
      </c>
      <c r="U198" s="74" t="str">
        <f aca="false">IF($R198="","",IF(COUNTIF(店舗マスタ!$B$5:$B$304,$R198)&gt;0,"登録済","未登録→マスタに追加"))</f>
        <v/>
      </c>
    </row>
    <row r="199" customFormat="false" ht="15" hidden="false" customHeight="false" outlineLevel="0" collapsed="false">
      <c r="A199" s="74" t="n">
        <v>197</v>
      </c>
      <c r="B199" s="74" t="str">
        <f aca="false">IF(元データ_PB合計!$A$197="","",元データ_PB合計!$A$197)</f>
        <v/>
      </c>
      <c r="C199" s="74" t="str">
        <f aca="false">IF(LEFT(B199,1)="(",IFERROR(VALUE(MID(B199,2,FIND(")",B199)-2)),""),"")</f>
        <v/>
      </c>
      <c r="D199" s="75" t="str">
        <f aca="false">IF($C199="","",N(元データ_PB合計!$B$197))</f>
        <v/>
      </c>
      <c r="E199" s="75" t="str">
        <f aca="false">IF($C199="","",N(元データ_PB合計!$C$197))</f>
        <v/>
      </c>
      <c r="F199" s="75" t="str">
        <f aca="false">IF($C199="","",N(元データ_PB合計!$F$197))</f>
        <v/>
      </c>
      <c r="G199" s="74" t="str">
        <f aca="false">IF($C199="","",IF(COUNTIF(店舗マスタ!$B$5:$B$304,$C199)&gt;0,"登録済","未登録→マスタに追加"))</f>
        <v/>
      </c>
      <c r="I199" s="74" t="n">
        <v>197</v>
      </c>
      <c r="J199" s="74" t="str">
        <f aca="false">IF(元データ_P!$A$197="","",元データ_P!$A$197)</f>
        <v/>
      </c>
      <c r="K199" s="74" t="str">
        <f aca="false">IF(LEFT(J199,1)="(",IFERROR(VALUE(MID(J199,2,FIND(")",J199)-2)),""),"")</f>
        <v/>
      </c>
      <c r="L199" s="75" t="str">
        <f aca="false">IF($K199="","",N(元データ_P!$B$197))</f>
        <v/>
      </c>
      <c r="M199" s="75" t="str">
        <f aca="false">IF($K199="","",N(元データ_P!$F$197))</f>
        <v/>
      </c>
      <c r="N199" s="74" t="str">
        <f aca="false">IF($K199="","",IF(COUNTIF(店舗マスタ!$B$5:$B$304,$K199)&gt;0,"登録済","未登録→マスタに追加"))</f>
        <v/>
      </c>
      <c r="P199" s="74" t="n">
        <v>197</v>
      </c>
      <c r="Q199" s="74" t="str">
        <f aca="false">IF(元データ_B!$A$197="","",元データ_B!$A$197)</f>
        <v/>
      </c>
      <c r="R199" s="74" t="str">
        <f aca="false">IF(LEFT(Q199,1)="(",IFERROR(VALUE(MID(Q199,2,FIND(")",Q199)-2)),""),"")</f>
        <v/>
      </c>
      <c r="S199" s="75" t="str">
        <f aca="false">IF($R199="","",N(元データ_B!$B$197))</f>
        <v/>
      </c>
      <c r="T199" s="75" t="str">
        <f aca="false">IF($R199="","",N(元データ_B!$F$197))</f>
        <v/>
      </c>
      <c r="U199" s="74" t="str">
        <f aca="false">IF($R199="","",IF(COUNTIF(店舗マスタ!$B$5:$B$304,$R199)&gt;0,"登録済","未登録→マスタに追加"))</f>
        <v/>
      </c>
    </row>
    <row r="200" customFormat="false" ht="15" hidden="false" customHeight="false" outlineLevel="0" collapsed="false">
      <c r="A200" s="74" t="n">
        <v>198</v>
      </c>
      <c r="B200" s="74" t="str">
        <f aca="false">IF(元データ_PB合計!$A$198="","",元データ_PB合計!$A$198)</f>
        <v/>
      </c>
      <c r="C200" s="74" t="str">
        <f aca="false">IF(LEFT(B200,1)="(",IFERROR(VALUE(MID(B200,2,FIND(")",B200)-2)),""),"")</f>
        <v/>
      </c>
      <c r="D200" s="75" t="str">
        <f aca="false">IF($C200="","",N(元データ_PB合計!$B$198))</f>
        <v/>
      </c>
      <c r="E200" s="75" t="str">
        <f aca="false">IF($C200="","",N(元データ_PB合計!$C$198))</f>
        <v/>
      </c>
      <c r="F200" s="75" t="str">
        <f aca="false">IF($C200="","",N(元データ_PB合計!$F$198))</f>
        <v/>
      </c>
      <c r="G200" s="74" t="str">
        <f aca="false">IF($C200="","",IF(COUNTIF(店舗マスタ!$B$5:$B$304,$C200)&gt;0,"登録済","未登録→マスタに追加"))</f>
        <v/>
      </c>
      <c r="I200" s="74" t="n">
        <v>198</v>
      </c>
      <c r="J200" s="74" t="str">
        <f aca="false">IF(元データ_P!$A$198="","",元データ_P!$A$198)</f>
        <v/>
      </c>
      <c r="K200" s="74" t="str">
        <f aca="false">IF(LEFT(J200,1)="(",IFERROR(VALUE(MID(J200,2,FIND(")",J200)-2)),""),"")</f>
        <v/>
      </c>
      <c r="L200" s="75" t="str">
        <f aca="false">IF($K200="","",N(元データ_P!$B$198))</f>
        <v/>
      </c>
      <c r="M200" s="75" t="str">
        <f aca="false">IF($K200="","",N(元データ_P!$F$198))</f>
        <v/>
      </c>
      <c r="N200" s="74" t="str">
        <f aca="false">IF($K200="","",IF(COUNTIF(店舗マスタ!$B$5:$B$304,$K200)&gt;0,"登録済","未登録→マスタに追加"))</f>
        <v/>
      </c>
      <c r="P200" s="74" t="n">
        <v>198</v>
      </c>
      <c r="Q200" s="74" t="str">
        <f aca="false">IF(元データ_B!$A$198="","",元データ_B!$A$198)</f>
        <v/>
      </c>
      <c r="R200" s="74" t="str">
        <f aca="false">IF(LEFT(Q200,1)="(",IFERROR(VALUE(MID(Q200,2,FIND(")",Q200)-2)),""),"")</f>
        <v/>
      </c>
      <c r="S200" s="75" t="str">
        <f aca="false">IF($R200="","",N(元データ_B!$B$198))</f>
        <v/>
      </c>
      <c r="T200" s="75" t="str">
        <f aca="false">IF($R200="","",N(元データ_B!$F$198))</f>
        <v/>
      </c>
      <c r="U200" s="74" t="str">
        <f aca="false">IF($R200="","",IF(COUNTIF(店舗マスタ!$B$5:$B$304,$R200)&gt;0,"登録済","未登録→マスタに追加"))</f>
        <v/>
      </c>
    </row>
    <row r="201" customFormat="false" ht="15" hidden="false" customHeight="false" outlineLevel="0" collapsed="false">
      <c r="A201" s="74" t="n">
        <v>199</v>
      </c>
      <c r="B201" s="74" t="str">
        <f aca="false">IF(元データ_PB合計!$A$199="","",元データ_PB合計!$A$199)</f>
        <v/>
      </c>
      <c r="C201" s="74" t="str">
        <f aca="false">IF(LEFT(B201,1)="(",IFERROR(VALUE(MID(B201,2,FIND(")",B201)-2)),""),"")</f>
        <v/>
      </c>
      <c r="D201" s="75" t="str">
        <f aca="false">IF($C201="","",N(元データ_PB合計!$B$199))</f>
        <v/>
      </c>
      <c r="E201" s="75" t="str">
        <f aca="false">IF($C201="","",N(元データ_PB合計!$C$199))</f>
        <v/>
      </c>
      <c r="F201" s="75" t="str">
        <f aca="false">IF($C201="","",N(元データ_PB合計!$F$199))</f>
        <v/>
      </c>
      <c r="G201" s="74" t="str">
        <f aca="false">IF($C201="","",IF(COUNTIF(店舗マスタ!$B$5:$B$304,$C201)&gt;0,"登録済","未登録→マスタに追加"))</f>
        <v/>
      </c>
      <c r="I201" s="74" t="n">
        <v>199</v>
      </c>
      <c r="J201" s="74" t="str">
        <f aca="false">IF(元データ_P!$A$199="","",元データ_P!$A$199)</f>
        <v/>
      </c>
      <c r="K201" s="74" t="str">
        <f aca="false">IF(LEFT(J201,1)="(",IFERROR(VALUE(MID(J201,2,FIND(")",J201)-2)),""),"")</f>
        <v/>
      </c>
      <c r="L201" s="75" t="str">
        <f aca="false">IF($K201="","",N(元データ_P!$B$199))</f>
        <v/>
      </c>
      <c r="M201" s="75" t="str">
        <f aca="false">IF($K201="","",N(元データ_P!$F$199))</f>
        <v/>
      </c>
      <c r="N201" s="74" t="str">
        <f aca="false">IF($K201="","",IF(COUNTIF(店舗マスタ!$B$5:$B$304,$K201)&gt;0,"登録済","未登録→マスタに追加"))</f>
        <v/>
      </c>
      <c r="P201" s="74" t="n">
        <v>199</v>
      </c>
      <c r="Q201" s="74" t="str">
        <f aca="false">IF(元データ_B!$A$199="","",元データ_B!$A$199)</f>
        <v/>
      </c>
      <c r="R201" s="74" t="str">
        <f aca="false">IF(LEFT(Q201,1)="(",IFERROR(VALUE(MID(Q201,2,FIND(")",Q201)-2)),""),"")</f>
        <v/>
      </c>
      <c r="S201" s="75" t="str">
        <f aca="false">IF($R201="","",N(元データ_B!$B$199))</f>
        <v/>
      </c>
      <c r="T201" s="75" t="str">
        <f aca="false">IF($R201="","",N(元データ_B!$F$199))</f>
        <v/>
      </c>
      <c r="U201" s="74" t="str">
        <f aca="false">IF($R201="","",IF(COUNTIF(店舗マスタ!$B$5:$B$304,$R201)&gt;0,"登録済","未登録→マスタに追加"))</f>
        <v/>
      </c>
    </row>
    <row r="202" customFormat="false" ht="15" hidden="false" customHeight="false" outlineLevel="0" collapsed="false">
      <c r="A202" s="74" t="n">
        <v>200</v>
      </c>
      <c r="B202" s="74" t="str">
        <f aca="false">IF(元データ_PB合計!$A$200="","",元データ_PB合計!$A$200)</f>
        <v/>
      </c>
      <c r="C202" s="74" t="str">
        <f aca="false">IF(LEFT(B202,1)="(",IFERROR(VALUE(MID(B202,2,FIND(")",B202)-2)),""),"")</f>
        <v/>
      </c>
      <c r="D202" s="75" t="str">
        <f aca="false">IF($C202="","",N(元データ_PB合計!$B$200))</f>
        <v/>
      </c>
      <c r="E202" s="75" t="str">
        <f aca="false">IF($C202="","",N(元データ_PB合計!$C$200))</f>
        <v/>
      </c>
      <c r="F202" s="75" t="str">
        <f aca="false">IF($C202="","",N(元データ_PB合計!$F$200))</f>
        <v/>
      </c>
      <c r="G202" s="74" t="str">
        <f aca="false">IF($C202="","",IF(COUNTIF(店舗マスタ!$B$5:$B$304,$C202)&gt;0,"登録済","未登録→マスタに追加"))</f>
        <v/>
      </c>
      <c r="I202" s="74" t="n">
        <v>200</v>
      </c>
      <c r="J202" s="74" t="str">
        <f aca="false">IF(元データ_P!$A$200="","",元データ_P!$A$200)</f>
        <v/>
      </c>
      <c r="K202" s="74" t="str">
        <f aca="false">IF(LEFT(J202,1)="(",IFERROR(VALUE(MID(J202,2,FIND(")",J202)-2)),""),"")</f>
        <v/>
      </c>
      <c r="L202" s="75" t="str">
        <f aca="false">IF($K202="","",N(元データ_P!$B$200))</f>
        <v/>
      </c>
      <c r="M202" s="75" t="str">
        <f aca="false">IF($K202="","",N(元データ_P!$F$200))</f>
        <v/>
      </c>
      <c r="N202" s="74" t="str">
        <f aca="false">IF($K202="","",IF(COUNTIF(店舗マスタ!$B$5:$B$304,$K202)&gt;0,"登録済","未登録→マスタに追加"))</f>
        <v/>
      </c>
      <c r="P202" s="74" t="n">
        <v>200</v>
      </c>
      <c r="Q202" s="74" t="str">
        <f aca="false">IF(元データ_B!$A$200="","",元データ_B!$A$200)</f>
        <v/>
      </c>
      <c r="R202" s="74" t="str">
        <f aca="false">IF(LEFT(Q202,1)="(",IFERROR(VALUE(MID(Q202,2,FIND(")",Q202)-2)),""),"")</f>
        <v/>
      </c>
      <c r="S202" s="75" t="str">
        <f aca="false">IF($R202="","",N(元データ_B!$B$200))</f>
        <v/>
      </c>
      <c r="T202" s="75" t="str">
        <f aca="false">IF($R202="","",N(元データ_B!$F$200))</f>
        <v/>
      </c>
      <c r="U202" s="74" t="str">
        <f aca="false">IF($R202="","",IF(COUNTIF(店舗マスタ!$B$5:$B$304,$R202)&gt;0,"登録済","未登録→マスタに追加"))</f>
        <v/>
      </c>
    </row>
    <row r="203" customFormat="false" ht="15" hidden="false" customHeight="false" outlineLevel="0" collapsed="false">
      <c r="A203" s="74" t="n">
        <v>201</v>
      </c>
      <c r="B203" s="74" t="str">
        <f aca="false">IF(元データ_PB合計!$A$201="","",元データ_PB合計!$A$201)</f>
        <v/>
      </c>
      <c r="C203" s="74" t="str">
        <f aca="false">IF(LEFT(B203,1)="(",IFERROR(VALUE(MID(B203,2,FIND(")",B203)-2)),""),"")</f>
        <v/>
      </c>
      <c r="D203" s="75" t="str">
        <f aca="false">IF($C203="","",N(元データ_PB合計!$B$201))</f>
        <v/>
      </c>
      <c r="E203" s="75" t="str">
        <f aca="false">IF($C203="","",N(元データ_PB合計!$C$201))</f>
        <v/>
      </c>
      <c r="F203" s="75" t="str">
        <f aca="false">IF($C203="","",N(元データ_PB合計!$F$201))</f>
        <v/>
      </c>
      <c r="G203" s="74" t="str">
        <f aca="false">IF($C203="","",IF(COUNTIF(店舗マスタ!$B$5:$B$304,$C203)&gt;0,"登録済","未登録→マスタに追加"))</f>
        <v/>
      </c>
      <c r="I203" s="74" t="n">
        <v>201</v>
      </c>
      <c r="J203" s="74" t="str">
        <f aca="false">IF(元データ_P!$A$201="","",元データ_P!$A$201)</f>
        <v/>
      </c>
      <c r="K203" s="74" t="str">
        <f aca="false">IF(LEFT(J203,1)="(",IFERROR(VALUE(MID(J203,2,FIND(")",J203)-2)),""),"")</f>
        <v/>
      </c>
      <c r="L203" s="75" t="str">
        <f aca="false">IF($K203="","",N(元データ_P!$B$201))</f>
        <v/>
      </c>
      <c r="M203" s="75" t="str">
        <f aca="false">IF($K203="","",N(元データ_P!$F$201))</f>
        <v/>
      </c>
      <c r="N203" s="74" t="str">
        <f aca="false">IF($K203="","",IF(COUNTIF(店舗マスタ!$B$5:$B$304,$K203)&gt;0,"登録済","未登録→マスタに追加"))</f>
        <v/>
      </c>
      <c r="P203" s="74" t="n">
        <v>201</v>
      </c>
      <c r="Q203" s="74" t="str">
        <f aca="false">IF(元データ_B!$A$201="","",元データ_B!$A$201)</f>
        <v/>
      </c>
      <c r="R203" s="74" t="str">
        <f aca="false">IF(LEFT(Q203,1)="(",IFERROR(VALUE(MID(Q203,2,FIND(")",Q203)-2)),""),"")</f>
        <v/>
      </c>
      <c r="S203" s="75" t="str">
        <f aca="false">IF($R203="","",N(元データ_B!$B$201))</f>
        <v/>
      </c>
      <c r="T203" s="75" t="str">
        <f aca="false">IF($R203="","",N(元データ_B!$F$201))</f>
        <v/>
      </c>
      <c r="U203" s="74" t="str">
        <f aca="false">IF($R203="","",IF(COUNTIF(店舗マスタ!$B$5:$B$304,$R203)&gt;0,"登録済","未登録→マスタに追加"))</f>
        <v/>
      </c>
    </row>
    <row r="204" customFormat="false" ht="15" hidden="false" customHeight="false" outlineLevel="0" collapsed="false">
      <c r="A204" s="74" t="n">
        <v>202</v>
      </c>
      <c r="B204" s="74" t="str">
        <f aca="false">IF(元データ_PB合計!$A$202="","",元データ_PB合計!$A$202)</f>
        <v/>
      </c>
      <c r="C204" s="74" t="str">
        <f aca="false">IF(LEFT(B204,1)="(",IFERROR(VALUE(MID(B204,2,FIND(")",B204)-2)),""),"")</f>
        <v/>
      </c>
      <c r="D204" s="75" t="str">
        <f aca="false">IF($C204="","",N(元データ_PB合計!$B$202))</f>
        <v/>
      </c>
      <c r="E204" s="75" t="str">
        <f aca="false">IF($C204="","",N(元データ_PB合計!$C$202))</f>
        <v/>
      </c>
      <c r="F204" s="75" t="str">
        <f aca="false">IF($C204="","",N(元データ_PB合計!$F$202))</f>
        <v/>
      </c>
      <c r="G204" s="74" t="str">
        <f aca="false">IF($C204="","",IF(COUNTIF(店舗マスタ!$B$5:$B$304,$C204)&gt;0,"登録済","未登録→マスタに追加"))</f>
        <v/>
      </c>
      <c r="I204" s="74" t="n">
        <v>202</v>
      </c>
      <c r="J204" s="74" t="str">
        <f aca="false">IF(元データ_P!$A$202="","",元データ_P!$A$202)</f>
        <v/>
      </c>
      <c r="K204" s="74" t="str">
        <f aca="false">IF(LEFT(J204,1)="(",IFERROR(VALUE(MID(J204,2,FIND(")",J204)-2)),""),"")</f>
        <v/>
      </c>
      <c r="L204" s="75" t="str">
        <f aca="false">IF($K204="","",N(元データ_P!$B$202))</f>
        <v/>
      </c>
      <c r="M204" s="75" t="str">
        <f aca="false">IF($K204="","",N(元データ_P!$F$202))</f>
        <v/>
      </c>
      <c r="N204" s="74" t="str">
        <f aca="false">IF($K204="","",IF(COUNTIF(店舗マスタ!$B$5:$B$304,$K204)&gt;0,"登録済","未登録→マスタに追加"))</f>
        <v/>
      </c>
      <c r="P204" s="74" t="n">
        <v>202</v>
      </c>
      <c r="Q204" s="74" t="str">
        <f aca="false">IF(元データ_B!$A$202="","",元データ_B!$A$202)</f>
        <v/>
      </c>
      <c r="R204" s="74" t="str">
        <f aca="false">IF(LEFT(Q204,1)="(",IFERROR(VALUE(MID(Q204,2,FIND(")",Q204)-2)),""),"")</f>
        <v/>
      </c>
      <c r="S204" s="75" t="str">
        <f aca="false">IF($R204="","",N(元データ_B!$B$202))</f>
        <v/>
      </c>
      <c r="T204" s="75" t="str">
        <f aca="false">IF($R204="","",N(元データ_B!$F$202))</f>
        <v/>
      </c>
      <c r="U204" s="74" t="str">
        <f aca="false">IF($R204="","",IF(COUNTIF(店舗マスタ!$B$5:$B$304,$R204)&gt;0,"登録済","未登録→マスタに追加"))</f>
        <v/>
      </c>
    </row>
    <row r="205" customFormat="false" ht="15" hidden="false" customHeight="false" outlineLevel="0" collapsed="false">
      <c r="A205" s="74" t="n">
        <v>203</v>
      </c>
      <c r="B205" s="74" t="str">
        <f aca="false">IF(元データ_PB合計!$A$203="","",元データ_PB合計!$A$203)</f>
        <v/>
      </c>
      <c r="C205" s="74" t="str">
        <f aca="false">IF(LEFT(B205,1)="(",IFERROR(VALUE(MID(B205,2,FIND(")",B205)-2)),""),"")</f>
        <v/>
      </c>
      <c r="D205" s="75" t="str">
        <f aca="false">IF($C205="","",N(元データ_PB合計!$B$203))</f>
        <v/>
      </c>
      <c r="E205" s="75" t="str">
        <f aca="false">IF($C205="","",N(元データ_PB合計!$C$203))</f>
        <v/>
      </c>
      <c r="F205" s="75" t="str">
        <f aca="false">IF($C205="","",N(元データ_PB合計!$F$203))</f>
        <v/>
      </c>
      <c r="G205" s="74" t="str">
        <f aca="false">IF($C205="","",IF(COUNTIF(店舗マスタ!$B$5:$B$304,$C205)&gt;0,"登録済","未登録→マスタに追加"))</f>
        <v/>
      </c>
      <c r="I205" s="74" t="n">
        <v>203</v>
      </c>
      <c r="J205" s="74" t="str">
        <f aca="false">IF(元データ_P!$A$203="","",元データ_P!$A$203)</f>
        <v/>
      </c>
      <c r="K205" s="74" t="str">
        <f aca="false">IF(LEFT(J205,1)="(",IFERROR(VALUE(MID(J205,2,FIND(")",J205)-2)),""),"")</f>
        <v/>
      </c>
      <c r="L205" s="75" t="str">
        <f aca="false">IF($K205="","",N(元データ_P!$B$203))</f>
        <v/>
      </c>
      <c r="M205" s="75" t="str">
        <f aca="false">IF($K205="","",N(元データ_P!$F$203))</f>
        <v/>
      </c>
      <c r="N205" s="74" t="str">
        <f aca="false">IF($K205="","",IF(COUNTIF(店舗マスタ!$B$5:$B$304,$K205)&gt;0,"登録済","未登録→マスタに追加"))</f>
        <v/>
      </c>
      <c r="P205" s="74" t="n">
        <v>203</v>
      </c>
      <c r="Q205" s="74" t="str">
        <f aca="false">IF(元データ_B!$A$203="","",元データ_B!$A$203)</f>
        <v/>
      </c>
      <c r="R205" s="74" t="str">
        <f aca="false">IF(LEFT(Q205,1)="(",IFERROR(VALUE(MID(Q205,2,FIND(")",Q205)-2)),""),"")</f>
        <v/>
      </c>
      <c r="S205" s="75" t="str">
        <f aca="false">IF($R205="","",N(元データ_B!$B$203))</f>
        <v/>
      </c>
      <c r="T205" s="75" t="str">
        <f aca="false">IF($R205="","",N(元データ_B!$F$203))</f>
        <v/>
      </c>
      <c r="U205" s="74" t="str">
        <f aca="false">IF($R205="","",IF(COUNTIF(店舗マスタ!$B$5:$B$304,$R205)&gt;0,"登録済","未登録→マスタに追加"))</f>
        <v/>
      </c>
    </row>
    <row r="206" customFormat="false" ht="15" hidden="false" customHeight="false" outlineLevel="0" collapsed="false">
      <c r="A206" s="74" t="n">
        <v>204</v>
      </c>
      <c r="B206" s="74" t="str">
        <f aca="false">IF(元データ_PB合計!$A$204="","",元データ_PB合計!$A$204)</f>
        <v/>
      </c>
      <c r="C206" s="74" t="str">
        <f aca="false">IF(LEFT(B206,1)="(",IFERROR(VALUE(MID(B206,2,FIND(")",B206)-2)),""),"")</f>
        <v/>
      </c>
      <c r="D206" s="75" t="str">
        <f aca="false">IF($C206="","",N(元データ_PB合計!$B$204))</f>
        <v/>
      </c>
      <c r="E206" s="75" t="str">
        <f aca="false">IF($C206="","",N(元データ_PB合計!$C$204))</f>
        <v/>
      </c>
      <c r="F206" s="75" t="str">
        <f aca="false">IF($C206="","",N(元データ_PB合計!$F$204))</f>
        <v/>
      </c>
      <c r="G206" s="74" t="str">
        <f aca="false">IF($C206="","",IF(COUNTIF(店舗マスタ!$B$5:$B$304,$C206)&gt;0,"登録済","未登録→マスタに追加"))</f>
        <v/>
      </c>
      <c r="I206" s="74" t="n">
        <v>204</v>
      </c>
      <c r="J206" s="74" t="str">
        <f aca="false">IF(元データ_P!$A$204="","",元データ_P!$A$204)</f>
        <v/>
      </c>
      <c r="K206" s="74" t="str">
        <f aca="false">IF(LEFT(J206,1)="(",IFERROR(VALUE(MID(J206,2,FIND(")",J206)-2)),""),"")</f>
        <v/>
      </c>
      <c r="L206" s="75" t="str">
        <f aca="false">IF($K206="","",N(元データ_P!$B$204))</f>
        <v/>
      </c>
      <c r="M206" s="75" t="str">
        <f aca="false">IF($K206="","",N(元データ_P!$F$204))</f>
        <v/>
      </c>
      <c r="N206" s="74" t="str">
        <f aca="false">IF($K206="","",IF(COUNTIF(店舗マスタ!$B$5:$B$304,$K206)&gt;0,"登録済","未登録→マスタに追加"))</f>
        <v/>
      </c>
      <c r="P206" s="74" t="n">
        <v>204</v>
      </c>
      <c r="Q206" s="74" t="str">
        <f aca="false">IF(元データ_B!$A$204="","",元データ_B!$A$204)</f>
        <v/>
      </c>
      <c r="R206" s="74" t="str">
        <f aca="false">IF(LEFT(Q206,1)="(",IFERROR(VALUE(MID(Q206,2,FIND(")",Q206)-2)),""),"")</f>
        <v/>
      </c>
      <c r="S206" s="75" t="str">
        <f aca="false">IF($R206="","",N(元データ_B!$B$204))</f>
        <v/>
      </c>
      <c r="T206" s="75" t="str">
        <f aca="false">IF($R206="","",N(元データ_B!$F$204))</f>
        <v/>
      </c>
      <c r="U206" s="74" t="str">
        <f aca="false">IF($R206="","",IF(COUNTIF(店舗マスタ!$B$5:$B$304,$R206)&gt;0,"登録済","未登録→マスタに追加"))</f>
        <v/>
      </c>
    </row>
    <row r="207" customFormat="false" ht="15" hidden="false" customHeight="false" outlineLevel="0" collapsed="false">
      <c r="A207" s="74" t="n">
        <v>205</v>
      </c>
      <c r="B207" s="74" t="str">
        <f aca="false">IF(元データ_PB合計!$A$205="","",元データ_PB合計!$A$205)</f>
        <v/>
      </c>
      <c r="C207" s="74" t="str">
        <f aca="false">IF(LEFT(B207,1)="(",IFERROR(VALUE(MID(B207,2,FIND(")",B207)-2)),""),"")</f>
        <v/>
      </c>
      <c r="D207" s="75" t="str">
        <f aca="false">IF($C207="","",N(元データ_PB合計!$B$205))</f>
        <v/>
      </c>
      <c r="E207" s="75" t="str">
        <f aca="false">IF($C207="","",N(元データ_PB合計!$C$205))</f>
        <v/>
      </c>
      <c r="F207" s="75" t="str">
        <f aca="false">IF($C207="","",N(元データ_PB合計!$F$205))</f>
        <v/>
      </c>
      <c r="G207" s="74" t="str">
        <f aca="false">IF($C207="","",IF(COUNTIF(店舗マスタ!$B$5:$B$304,$C207)&gt;0,"登録済","未登録→マスタに追加"))</f>
        <v/>
      </c>
      <c r="I207" s="74" t="n">
        <v>205</v>
      </c>
      <c r="J207" s="74" t="str">
        <f aca="false">IF(元データ_P!$A$205="","",元データ_P!$A$205)</f>
        <v/>
      </c>
      <c r="K207" s="74" t="str">
        <f aca="false">IF(LEFT(J207,1)="(",IFERROR(VALUE(MID(J207,2,FIND(")",J207)-2)),""),"")</f>
        <v/>
      </c>
      <c r="L207" s="75" t="str">
        <f aca="false">IF($K207="","",N(元データ_P!$B$205))</f>
        <v/>
      </c>
      <c r="M207" s="75" t="str">
        <f aca="false">IF($K207="","",N(元データ_P!$F$205))</f>
        <v/>
      </c>
      <c r="N207" s="74" t="str">
        <f aca="false">IF($K207="","",IF(COUNTIF(店舗マスタ!$B$5:$B$304,$K207)&gt;0,"登録済","未登録→マスタに追加"))</f>
        <v/>
      </c>
      <c r="P207" s="74" t="n">
        <v>205</v>
      </c>
      <c r="Q207" s="74" t="str">
        <f aca="false">IF(元データ_B!$A$205="","",元データ_B!$A$205)</f>
        <v/>
      </c>
      <c r="R207" s="74" t="str">
        <f aca="false">IF(LEFT(Q207,1)="(",IFERROR(VALUE(MID(Q207,2,FIND(")",Q207)-2)),""),"")</f>
        <v/>
      </c>
      <c r="S207" s="75" t="str">
        <f aca="false">IF($R207="","",N(元データ_B!$B$205))</f>
        <v/>
      </c>
      <c r="T207" s="75" t="str">
        <f aca="false">IF($R207="","",N(元データ_B!$F$205))</f>
        <v/>
      </c>
      <c r="U207" s="74" t="str">
        <f aca="false">IF($R207="","",IF(COUNTIF(店舗マスタ!$B$5:$B$304,$R207)&gt;0,"登録済","未登録→マスタに追加"))</f>
        <v/>
      </c>
    </row>
    <row r="208" customFormat="false" ht="15" hidden="false" customHeight="false" outlineLevel="0" collapsed="false">
      <c r="A208" s="74" t="n">
        <v>206</v>
      </c>
      <c r="B208" s="74" t="str">
        <f aca="false">IF(元データ_PB合計!$A$206="","",元データ_PB合計!$A$206)</f>
        <v/>
      </c>
      <c r="C208" s="74" t="str">
        <f aca="false">IF(LEFT(B208,1)="(",IFERROR(VALUE(MID(B208,2,FIND(")",B208)-2)),""),"")</f>
        <v/>
      </c>
      <c r="D208" s="75" t="str">
        <f aca="false">IF($C208="","",N(元データ_PB合計!$B$206))</f>
        <v/>
      </c>
      <c r="E208" s="75" t="str">
        <f aca="false">IF($C208="","",N(元データ_PB合計!$C$206))</f>
        <v/>
      </c>
      <c r="F208" s="75" t="str">
        <f aca="false">IF($C208="","",N(元データ_PB合計!$F$206))</f>
        <v/>
      </c>
      <c r="G208" s="74" t="str">
        <f aca="false">IF($C208="","",IF(COUNTIF(店舗マスタ!$B$5:$B$304,$C208)&gt;0,"登録済","未登録→マスタに追加"))</f>
        <v/>
      </c>
      <c r="I208" s="74" t="n">
        <v>206</v>
      </c>
      <c r="J208" s="74" t="str">
        <f aca="false">IF(元データ_P!$A$206="","",元データ_P!$A$206)</f>
        <v/>
      </c>
      <c r="K208" s="74" t="str">
        <f aca="false">IF(LEFT(J208,1)="(",IFERROR(VALUE(MID(J208,2,FIND(")",J208)-2)),""),"")</f>
        <v/>
      </c>
      <c r="L208" s="75" t="str">
        <f aca="false">IF($K208="","",N(元データ_P!$B$206))</f>
        <v/>
      </c>
      <c r="M208" s="75" t="str">
        <f aca="false">IF($K208="","",N(元データ_P!$F$206))</f>
        <v/>
      </c>
      <c r="N208" s="74" t="str">
        <f aca="false">IF($K208="","",IF(COUNTIF(店舗マスタ!$B$5:$B$304,$K208)&gt;0,"登録済","未登録→マスタに追加"))</f>
        <v/>
      </c>
      <c r="P208" s="74" t="n">
        <v>206</v>
      </c>
      <c r="Q208" s="74" t="str">
        <f aca="false">IF(元データ_B!$A$206="","",元データ_B!$A$206)</f>
        <v/>
      </c>
      <c r="R208" s="74" t="str">
        <f aca="false">IF(LEFT(Q208,1)="(",IFERROR(VALUE(MID(Q208,2,FIND(")",Q208)-2)),""),"")</f>
        <v/>
      </c>
      <c r="S208" s="75" t="str">
        <f aca="false">IF($R208="","",N(元データ_B!$B$206))</f>
        <v/>
      </c>
      <c r="T208" s="75" t="str">
        <f aca="false">IF($R208="","",N(元データ_B!$F$206))</f>
        <v/>
      </c>
      <c r="U208" s="74" t="str">
        <f aca="false">IF($R208="","",IF(COUNTIF(店舗マスタ!$B$5:$B$304,$R208)&gt;0,"登録済","未登録→マスタに追加"))</f>
        <v/>
      </c>
    </row>
    <row r="209" customFormat="false" ht="15" hidden="false" customHeight="false" outlineLevel="0" collapsed="false">
      <c r="A209" s="74" t="n">
        <v>207</v>
      </c>
      <c r="B209" s="74" t="str">
        <f aca="false">IF(元データ_PB合計!$A$207="","",元データ_PB合計!$A$207)</f>
        <v/>
      </c>
      <c r="C209" s="74" t="str">
        <f aca="false">IF(LEFT(B209,1)="(",IFERROR(VALUE(MID(B209,2,FIND(")",B209)-2)),""),"")</f>
        <v/>
      </c>
      <c r="D209" s="75" t="str">
        <f aca="false">IF($C209="","",N(元データ_PB合計!$B$207))</f>
        <v/>
      </c>
      <c r="E209" s="75" t="str">
        <f aca="false">IF($C209="","",N(元データ_PB合計!$C$207))</f>
        <v/>
      </c>
      <c r="F209" s="75" t="str">
        <f aca="false">IF($C209="","",N(元データ_PB合計!$F$207))</f>
        <v/>
      </c>
      <c r="G209" s="74" t="str">
        <f aca="false">IF($C209="","",IF(COUNTIF(店舗マスタ!$B$5:$B$304,$C209)&gt;0,"登録済","未登録→マスタに追加"))</f>
        <v/>
      </c>
      <c r="I209" s="74" t="n">
        <v>207</v>
      </c>
      <c r="J209" s="74" t="str">
        <f aca="false">IF(元データ_P!$A$207="","",元データ_P!$A$207)</f>
        <v/>
      </c>
      <c r="K209" s="74" t="str">
        <f aca="false">IF(LEFT(J209,1)="(",IFERROR(VALUE(MID(J209,2,FIND(")",J209)-2)),""),"")</f>
        <v/>
      </c>
      <c r="L209" s="75" t="str">
        <f aca="false">IF($K209="","",N(元データ_P!$B$207))</f>
        <v/>
      </c>
      <c r="M209" s="75" t="str">
        <f aca="false">IF($K209="","",N(元データ_P!$F$207))</f>
        <v/>
      </c>
      <c r="N209" s="74" t="str">
        <f aca="false">IF($K209="","",IF(COUNTIF(店舗マスタ!$B$5:$B$304,$K209)&gt;0,"登録済","未登録→マスタに追加"))</f>
        <v/>
      </c>
      <c r="P209" s="74" t="n">
        <v>207</v>
      </c>
      <c r="Q209" s="74" t="str">
        <f aca="false">IF(元データ_B!$A$207="","",元データ_B!$A$207)</f>
        <v/>
      </c>
      <c r="R209" s="74" t="str">
        <f aca="false">IF(LEFT(Q209,1)="(",IFERROR(VALUE(MID(Q209,2,FIND(")",Q209)-2)),""),"")</f>
        <v/>
      </c>
      <c r="S209" s="75" t="str">
        <f aca="false">IF($R209="","",N(元データ_B!$B$207))</f>
        <v/>
      </c>
      <c r="T209" s="75" t="str">
        <f aca="false">IF($R209="","",N(元データ_B!$F$207))</f>
        <v/>
      </c>
      <c r="U209" s="74" t="str">
        <f aca="false">IF($R209="","",IF(COUNTIF(店舗マスタ!$B$5:$B$304,$R209)&gt;0,"登録済","未登録→マスタに追加"))</f>
        <v/>
      </c>
    </row>
    <row r="210" customFormat="false" ht="15" hidden="false" customHeight="false" outlineLevel="0" collapsed="false">
      <c r="A210" s="74" t="n">
        <v>208</v>
      </c>
      <c r="B210" s="74" t="str">
        <f aca="false">IF(元データ_PB合計!$A$208="","",元データ_PB合計!$A$208)</f>
        <v/>
      </c>
      <c r="C210" s="74" t="str">
        <f aca="false">IF(LEFT(B210,1)="(",IFERROR(VALUE(MID(B210,2,FIND(")",B210)-2)),""),"")</f>
        <v/>
      </c>
      <c r="D210" s="75" t="str">
        <f aca="false">IF($C210="","",N(元データ_PB合計!$B$208))</f>
        <v/>
      </c>
      <c r="E210" s="75" t="str">
        <f aca="false">IF($C210="","",N(元データ_PB合計!$C$208))</f>
        <v/>
      </c>
      <c r="F210" s="75" t="str">
        <f aca="false">IF($C210="","",N(元データ_PB合計!$F$208))</f>
        <v/>
      </c>
      <c r="G210" s="74" t="str">
        <f aca="false">IF($C210="","",IF(COUNTIF(店舗マスタ!$B$5:$B$304,$C210)&gt;0,"登録済","未登録→マスタに追加"))</f>
        <v/>
      </c>
      <c r="I210" s="74" t="n">
        <v>208</v>
      </c>
      <c r="J210" s="74" t="str">
        <f aca="false">IF(元データ_P!$A$208="","",元データ_P!$A$208)</f>
        <v/>
      </c>
      <c r="K210" s="74" t="str">
        <f aca="false">IF(LEFT(J210,1)="(",IFERROR(VALUE(MID(J210,2,FIND(")",J210)-2)),""),"")</f>
        <v/>
      </c>
      <c r="L210" s="75" t="str">
        <f aca="false">IF($K210="","",N(元データ_P!$B$208))</f>
        <v/>
      </c>
      <c r="M210" s="75" t="str">
        <f aca="false">IF($K210="","",N(元データ_P!$F$208))</f>
        <v/>
      </c>
      <c r="N210" s="74" t="str">
        <f aca="false">IF($K210="","",IF(COUNTIF(店舗マスタ!$B$5:$B$304,$K210)&gt;0,"登録済","未登録→マスタに追加"))</f>
        <v/>
      </c>
      <c r="P210" s="74" t="n">
        <v>208</v>
      </c>
      <c r="Q210" s="74" t="str">
        <f aca="false">IF(元データ_B!$A$208="","",元データ_B!$A$208)</f>
        <v/>
      </c>
      <c r="R210" s="74" t="str">
        <f aca="false">IF(LEFT(Q210,1)="(",IFERROR(VALUE(MID(Q210,2,FIND(")",Q210)-2)),""),"")</f>
        <v/>
      </c>
      <c r="S210" s="75" t="str">
        <f aca="false">IF($R210="","",N(元データ_B!$B$208))</f>
        <v/>
      </c>
      <c r="T210" s="75" t="str">
        <f aca="false">IF($R210="","",N(元データ_B!$F$208))</f>
        <v/>
      </c>
      <c r="U210" s="74" t="str">
        <f aca="false">IF($R210="","",IF(COUNTIF(店舗マスタ!$B$5:$B$304,$R210)&gt;0,"登録済","未登録→マスタに追加"))</f>
        <v/>
      </c>
    </row>
    <row r="211" customFormat="false" ht="15" hidden="false" customHeight="false" outlineLevel="0" collapsed="false">
      <c r="A211" s="74" t="n">
        <v>209</v>
      </c>
      <c r="B211" s="74" t="str">
        <f aca="false">IF(元データ_PB合計!$A$209="","",元データ_PB合計!$A$209)</f>
        <v/>
      </c>
      <c r="C211" s="74" t="str">
        <f aca="false">IF(LEFT(B211,1)="(",IFERROR(VALUE(MID(B211,2,FIND(")",B211)-2)),""),"")</f>
        <v/>
      </c>
      <c r="D211" s="75" t="str">
        <f aca="false">IF($C211="","",N(元データ_PB合計!$B$209))</f>
        <v/>
      </c>
      <c r="E211" s="75" t="str">
        <f aca="false">IF($C211="","",N(元データ_PB合計!$C$209))</f>
        <v/>
      </c>
      <c r="F211" s="75" t="str">
        <f aca="false">IF($C211="","",N(元データ_PB合計!$F$209))</f>
        <v/>
      </c>
      <c r="G211" s="74" t="str">
        <f aca="false">IF($C211="","",IF(COUNTIF(店舗マスタ!$B$5:$B$304,$C211)&gt;0,"登録済","未登録→マスタに追加"))</f>
        <v/>
      </c>
      <c r="I211" s="74" t="n">
        <v>209</v>
      </c>
      <c r="J211" s="74" t="str">
        <f aca="false">IF(元データ_P!$A$209="","",元データ_P!$A$209)</f>
        <v/>
      </c>
      <c r="K211" s="74" t="str">
        <f aca="false">IF(LEFT(J211,1)="(",IFERROR(VALUE(MID(J211,2,FIND(")",J211)-2)),""),"")</f>
        <v/>
      </c>
      <c r="L211" s="75" t="str">
        <f aca="false">IF($K211="","",N(元データ_P!$B$209))</f>
        <v/>
      </c>
      <c r="M211" s="75" t="str">
        <f aca="false">IF($K211="","",N(元データ_P!$F$209))</f>
        <v/>
      </c>
      <c r="N211" s="74" t="str">
        <f aca="false">IF($K211="","",IF(COUNTIF(店舗マスタ!$B$5:$B$304,$K211)&gt;0,"登録済","未登録→マスタに追加"))</f>
        <v/>
      </c>
      <c r="P211" s="74" t="n">
        <v>209</v>
      </c>
      <c r="Q211" s="74" t="str">
        <f aca="false">IF(元データ_B!$A$209="","",元データ_B!$A$209)</f>
        <v/>
      </c>
      <c r="R211" s="74" t="str">
        <f aca="false">IF(LEFT(Q211,1)="(",IFERROR(VALUE(MID(Q211,2,FIND(")",Q211)-2)),""),"")</f>
        <v/>
      </c>
      <c r="S211" s="75" t="str">
        <f aca="false">IF($R211="","",N(元データ_B!$B$209))</f>
        <v/>
      </c>
      <c r="T211" s="75" t="str">
        <f aca="false">IF($R211="","",N(元データ_B!$F$209))</f>
        <v/>
      </c>
      <c r="U211" s="74" t="str">
        <f aca="false">IF($R211="","",IF(COUNTIF(店舗マスタ!$B$5:$B$304,$R211)&gt;0,"登録済","未登録→マスタに追加"))</f>
        <v/>
      </c>
    </row>
    <row r="212" customFormat="false" ht="15" hidden="false" customHeight="false" outlineLevel="0" collapsed="false">
      <c r="A212" s="74" t="n">
        <v>210</v>
      </c>
      <c r="B212" s="74" t="str">
        <f aca="false">IF(元データ_PB合計!$A$210="","",元データ_PB合計!$A$210)</f>
        <v/>
      </c>
      <c r="C212" s="74" t="str">
        <f aca="false">IF(LEFT(B212,1)="(",IFERROR(VALUE(MID(B212,2,FIND(")",B212)-2)),""),"")</f>
        <v/>
      </c>
      <c r="D212" s="75" t="str">
        <f aca="false">IF($C212="","",N(元データ_PB合計!$B$210))</f>
        <v/>
      </c>
      <c r="E212" s="75" t="str">
        <f aca="false">IF($C212="","",N(元データ_PB合計!$C$210))</f>
        <v/>
      </c>
      <c r="F212" s="75" t="str">
        <f aca="false">IF($C212="","",N(元データ_PB合計!$F$210))</f>
        <v/>
      </c>
      <c r="G212" s="74" t="str">
        <f aca="false">IF($C212="","",IF(COUNTIF(店舗マスタ!$B$5:$B$304,$C212)&gt;0,"登録済","未登録→マスタに追加"))</f>
        <v/>
      </c>
      <c r="I212" s="74" t="n">
        <v>210</v>
      </c>
      <c r="J212" s="74" t="str">
        <f aca="false">IF(元データ_P!$A$210="","",元データ_P!$A$210)</f>
        <v/>
      </c>
      <c r="K212" s="74" t="str">
        <f aca="false">IF(LEFT(J212,1)="(",IFERROR(VALUE(MID(J212,2,FIND(")",J212)-2)),""),"")</f>
        <v/>
      </c>
      <c r="L212" s="75" t="str">
        <f aca="false">IF($K212="","",N(元データ_P!$B$210))</f>
        <v/>
      </c>
      <c r="M212" s="75" t="str">
        <f aca="false">IF($K212="","",N(元データ_P!$F$210))</f>
        <v/>
      </c>
      <c r="N212" s="74" t="str">
        <f aca="false">IF($K212="","",IF(COUNTIF(店舗マスタ!$B$5:$B$304,$K212)&gt;0,"登録済","未登録→マスタに追加"))</f>
        <v/>
      </c>
      <c r="P212" s="74" t="n">
        <v>210</v>
      </c>
      <c r="Q212" s="74" t="str">
        <f aca="false">IF(元データ_B!$A$210="","",元データ_B!$A$210)</f>
        <v/>
      </c>
      <c r="R212" s="74" t="str">
        <f aca="false">IF(LEFT(Q212,1)="(",IFERROR(VALUE(MID(Q212,2,FIND(")",Q212)-2)),""),"")</f>
        <v/>
      </c>
      <c r="S212" s="75" t="str">
        <f aca="false">IF($R212="","",N(元データ_B!$B$210))</f>
        <v/>
      </c>
      <c r="T212" s="75" t="str">
        <f aca="false">IF($R212="","",N(元データ_B!$F$210))</f>
        <v/>
      </c>
      <c r="U212" s="74" t="str">
        <f aca="false">IF($R212="","",IF(COUNTIF(店舗マスタ!$B$5:$B$304,$R212)&gt;0,"登録済","未登録→マスタに追加"))</f>
        <v/>
      </c>
    </row>
    <row r="213" customFormat="false" ht="15" hidden="false" customHeight="false" outlineLevel="0" collapsed="false">
      <c r="A213" s="74" t="n">
        <v>211</v>
      </c>
      <c r="B213" s="74" t="str">
        <f aca="false">IF(元データ_PB合計!$A$211="","",元データ_PB合計!$A$211)</f>
        <v/>
      </c>
      <c r="C213" s="74" t="str">
        <f aca="false">IF(LEFT(B213,1)="(",IFERROR(VALUE(MID(B213,2,FIND(")",B213)-2)),""),"")</f>
        <v/>
      </c>
      <c r="D213" s="75" t="str">
        <f aca="false">IF($C213="","",N(元データ_PB合計!$B$211))</f>
        <v/>
      </c>
      <c r="E213" s="75" t="str">
        <f aca="false">IF($C213="","",N(元データ_PB合計!$C$211))</f>
        <v/>
      </c>
      <c r="F213" s="75" t="str">
        <f aca="false">IF($C213="","",N(元データ_PB合計!$F$211))</f>
        <v/>
      </c>
      <c r="G213" s="74" t="str">
        <f aca="false">IF($C213="","",IF(COUNTIF(店舗マスタ!$B$5:$B$304,$C213)&gt;0,"登録済","未登録→マスタに追加"))</f>
        <v/>
      </c>
      <c r="I213" s="74" t="n">
        <v>211</v>
      </c>
      <c r="J213" s="74" t="str">
        <f aca="false">IF(元データ_P!$A$211="","",元データ_P!$A$211)</f>
        <v/>
      </c>
      <c r="K213" s="74" t="str">
        <f aca="false">IF(LEFT(J213,1)="(",IFERROR(VALUE(MID(J213,2,FIND(")",J213)-2)),""),"")</f>
        <v/>
      </c>
      <c r="L213" s="75" t="str">
        <f aca="false">IF($K213="","",N(元データ_P!$B$211))</f>
        <v/>
      </c>
      <c r="M213" s="75" t="str">
        <f aca="false">IF($K213="","",N(元データ_P!$F$211))</f>
        <v/>
      </c>
      <c r="N213" s="74" t="str">
        <f aca="false">IF($K213="","",IF(COUNTIF(店舗マスタ!$B$5:$B$304,$K213)&gt;0,"登録済","未登録→マスタに追加"))</f>
        <v/>
      </c>
      <c r="P213" s="74" t="n">
        <v>211</v>
      </c>
      <c r="Q213" s="74" t="str">
        <f aca="false">IF(元データ_B!$A$211="","",元データ_B!$A$211)</f>
        <v/>
      </c>
      <c r="R213" s="74" t="str">
        <f aca="false">IF(LEFT(Q213,1)="(",IFERROR(VALUE(MID(Q213,2,FIND(")",Q213)-2)),""),"")</f>
        <v/>
      </c>
      <c r="S213" s="75" t="str">
        <f aca="false">IF($R213="","",N(元データ_B!$B$211))</f>
        <v/>
      </c>
      <c r="T213" s="75" t="str">
        <f aca="false">IF($R213="","",N(元データ_B!$F$211))</f>
        <v/>
      </c>
      <c r="U213" s="74" t="str">
        <f aca="false">IF($R213="","",IF(COUNTIF(店舗マスタ!$B$5:$B$304,$R213)&gt;0,"登録済","未登録→マスタに追加"))</f>
        <v/>
      </c>
    </row>
    <row r="214" customFormat="false" ht="15" hidden="false" customHeight="false" outlineLevel="0" collapsed="false">
      <c r="A214" s="74" t="n">
        <v>212</v>
      </c>
      <c r="B214" s="74" t="str">
        <f aca="false">IF(元データ_PB合計!$A$212="","",元データ_PB合計!$A$212)</f>
        <v/>
      </c>
      <c r="C214" s="74" t="str">
        <f aca="false">IF(LEFT(B214,1)="(",IFERROR(VALUE(MID(B214,2,FIND(")",B214)-2)),""),"")</f>
        <v/>
      </c>
      <c r="D214" s="75" t="str">
        <f aca="false">IF($C214="","",N(元データ_PB合計!$B$212))</f>
        <v/>
      </c>
      <c r="E214" s="75" t="str">
        <f aca="false">IF($C214="","",N(元データ_PB合計!$C$212))</f>
        <v/>
      </c>
      <c r="F214" s="75" t="str">
        <f aca="false">IF($C214="","",N(元データ_PB合計!$F$212))</f>
        <v/>
      </c>
      <c r="G214" s="74" t="str">
        <f aca="false">IF($C214="","",IF(COUNTIF(店舗マスタ!$B$5:$B$304,$C214)&gt;0,"登録済","未登録→マスタに追加"))</f>
        <v/>
      </c>
      <c r="I214" s="74" t="n">
        <v>212</v>
      </c>
      <c r="J214" s="74" t="str">
        <f aca="false">IF(元データ_P!$A$212="","",元データ_P!$A$212)</f>
        <v/>
      </c>
      <c r="K214" s="74" t="str">
        <f aca="false">IF(LEFT(J214,1)="(",IFERROR(VALUE(MID(J214,2,FIND(")",J214)-2)),""),"")</f>
        <v/>
      </c>
      <c r="L214" s="75" t="str">
        <f aca="false">IF($K214="","",N(元データ_P!$B$212))</f>
        <v/>
      </c>
      <c r="M214" s="75" t="str">
        <f aca="false">IF($K214="","",N(元データ_P!$F$212))</f>
        <v/>
      </c>
      <c r="N214" s="74" t="str">
        <f aca="false">IF($K214="","",IF(COUNTIF(店舗マスタ!$B$5:$B$304,$K214)&gt;0,"登録済","未登録→マスタに追加"))</f>
        <v/>
      </c>
      <c r="P214" s="74" t="n">
        <v>212</v>
      </c>
      <c r="Q214" s="74" t="str">
        <f aca="false">IF(元データ_B!$A$212="","",元データ_B!$A$212)</f>
        <v/>
      </c>
      <c r="R214" s="74" t="str">
        <f aca="false">IF(LEFT(Q214,1)="(",IFERROR(VALUE(MID(Q214,2,FIND(")",Q214)-2)),""),"")</f>
        <v/>
      </c>
      <c r="S214" s="75" t="str">
        <f aca="false">IF($R214="","",N(元データ_B!$B$212))</f>
        <v/>
      </c>
      <c r="T214" s="75" t="str">
        <f aca="false">IF($R214="","",N(元データ_B!$F$212))</f>
        <v/>
      </c>
      <c r="U214" s="74" t="str">
        <f aca="false">IF($R214="","",IF(COUNTIF(店舗マスタ!$B$5:$B$304,$R214)&gt;0,"登録済","未登録→マスタに追加"))</f>
        <v/>
      </c>
    </row>
    <row r="215" customFormat="false" ht="15" hidden="false" customHeight="false" outlineLevel="0" collapsed="false">
      <c r="A215" s="74" t="n">
        <v>213</v>
      </c>
      <c r="B215" s="74" t="str">
        <f aca="false">IF(元データ_PB合計!$A$213="","",元データ_PB合計!$A$213)</f>
        <v/>
      </c>
      <c r="C215" s="74" t="str">
        <f aca="false">IF(LEFT(B215,1)="(",IFERROR(VALUE(MID(B215,2,FIND(")",B215)-2)),""),"")</f>
        <v/>
      </c>
      <c r="D215" s="75" t="str">
        <f aca="false">IF($C215="","",N(元データ_PB合計!$B$213))</f>
        <v/>
      </c>
      <c r="E215" s="75" t="str">
        <f aca="false">IF($C215="","",N(元データ_PB合計!$C$213))</f>
        <v/>
      </c>
      <c r="F215" s="75" t="str">
        <f aca="false">IF($C215="","",N(元データ_PB合計!$F$213))</f>
        <v/>
      </c>
      <c r="G215" s="74" t="str">
        <f aca="false">IF($C215="","",IF(COUNTIF(店舗マスタ!$B$5:$B$304,$C215)&gt;0,"登録済","未登録→マスタに追加"))</f>
        <v/>
      </c>
      <c r="I215" s="74" t="n">
        <v>213</v>
      </c>
      <c r="J215" s="74" t="str">
        <f aca="false">IF(元データ_P!$A$213="","",元データ_P!$A$213)</f>
        <v/>
      </c>
      <c r="K215" s="74" t="str">
        <f aca="false">IF(LEFT(J215,1)="(",IFERROR(VALUE(MID(J215,2,FIND(")",J215)-2)),""),"")</f>
        <v/>
      </c>
      <c r="L215" s="75" t="str">
        <f aca="false">IF($K215="","",N(元データ_P!$B$213))</f>
        <v/>
      </c>
      <c r="M215" s="75" t="str">
        <f aca="false">IF($K215="","",N(元データ_P!$F$213))</f>
        <v/>
      </c>
      <c r="N215" s="74" t="str">
        <f aca="false">IF($K215="","",IF(COUNTIF(店舗マスタ!$B$5:$B$304,$K215)&gt;0,"登録済","未登録→マスタに追加"))</f>
        <v/>
      </c>
      <c r="P215" s="74" t="n">
        <v>213</v>
      </c>
      <c r="Q215" s="74" t="str">
        <f aca="false">IF(元データ_B!$A$213="","",元データ_B!$A$213)</f>
        <v/>
      </c>
      <c r="R215" s="74" t="str">
        <f aca="false">IF(LEFT(Q215,1)="(",IFERROR(VALUE(MID(Q215,2,FIND(")",Q215)-2)),""),"")</f>
        <v/>
      </c>
      <c r="S215" s="75" t="str">
        <f aca="false">IF($R215="","",N(元データ_B!$B$213))</f>
        <v/>
      </c>
      <c r="T215" s="75" t="str">
        <f aca="false">IF($R215="","",N(元データ_B!$F$213))</f>
        <v/>
      </c>
      <c r="U215" s="74" t="str">
        <f aca="false">IF($R215="","",IF(COUNTIF(店舗マスタ!$B$5:$B$304,$R215)&gt;0,"登録済","未登録→マスタに追加"))</f>
        <v/>
      </c>
    </row>
    <row r="216" customFormat="false" ht="15" hidden="false" customHeight="false" outlineLevel="0" collapsed="false">
      <c r="A216" s="74" t="n">
        <v>214</v>
      </c>
      <c r="B216" s="74" t="str">
        <f aca="false">IF(元データ_PB合計!$A$214="","",元データ_PB合計!$A$214)</f>
        <v/>
      </c>
      <c r="C216" s="74" t="str">
        <f aca="false">IF(LEFT(B216,1)="(",IFERROR(VALUE(MID(B216,2,FIND(")",B216)-2)),""),"")</f>
        <v/>
      </c>
      <c r="D216" s="75" t="str">
        <f aca="false">IF($C216="","",N(元データ_PB合計!$B$214))</f>
        <v/>
      </c>
      <c r="E216" s="75" t="str">
        <f aca="false">IF($C216="","",N(元データ_PB合計!$C$214))</f>
        <v/>
      </c>
      <c r="F216" s="75" t="str">
        <f aca="false">IF($C216="","",N(元データ_PB合計!$F$214))</f>
        <v/>
      </c>
      <c r="G216" s="74" t="str">
        <f aca="false">IF($C216="","",IF(COUNTIF(店舗マスタ!$B$5:$B$304,$C216)&gt;0,"登録済","未登録→マスタに追加"))</f>
        <v/>
      </c>
      <c r="I216" s="74" t="n">
        <v>214</v>
      </c>
      <c r="J216" s="74" t="str">
        <f aca="false">IF(元データ_P!$A$214="","",元データ_P!$A$214)</f>
        <v/>
      </c>
      <c r="K216" s="74" t="str">
        <f aca="false">IF(LEFT(J216,1)="(",IFERROR(VALUE(MID(J216,2,FIND(")",J216)-2)),""),"")</f>
        <v/>
      </c>
      <c r="L216" s="75" t="str">
        <f aca="false">IF($K216="","",N(元データ_P!$B$214))</f>
        <v/>
      </c>
      <c r="M216" s="75" t="str">
        <f aca="false">IF($K216="","",N(元データ_P!$F$214))</f>
        <v/>
      </c>
      <c r="N216" s="74" t="str">
        <f aca="false">IF($K216="","",IF(COUNTIF(店舗マスタ!$B$5:$B$304,$K216)&gt;0,"登録済","未登録→マスタに追加"))</f>
        <v/>
      </c>
      <c r="P216" s="74" t="n">
        <v>214</v>
      </c>
      <c r="Q216" s="74" t="str">
        <f aca="false">IF(元データ_B!$A$214="","",元データ_B!$A$214)</f>
        <v/>
      </c>
      <c r="R216" s="74" t="str">
        <f aca="false">IF(LEFT(Q216,1)="(",IFERROR(VALUE(MID(Q216,2,FIND(")",Q216)-2)),""),"")</f>
        <v/>
      </c>
      <c r="S216" s="75" t="str">
        <f aca="false">IF($R216="","",N(元データ_B!$B$214))</f>
        <v/>
      </c>
      <c r="T216" s="75" t="str">
        <f aca="false">IF($R216="","",N(元データ_B!$F$214))</f>
        <v/>
      </c>
      <c r="U216" s="74" t="str">
        <f aca="false">IF($R216="","",IF(COUNTIF(店舗マスタ!$B$5:$B$304,$R216)&gt;0,"登録済","未登録→マスタに追加"))</f>
        <v/>
      </c>
    </row>
    <row r="217" customFormat="false" ht="15" hidden="false" customHeight="false" outlineLevel="0" collapsed="false">
      <c r="A217" s="74" t="n">
        <v>215</v>
      </c>
      <c r="B217" s="74" t="str">
        <f aca="false">IF(元データ_PB合計!$A$215="","",元データ_PB合計!$A$215)</f>
        <v/>
      </c>
      <c r="C217" s="74" t="str">
        <f aca="false">IF(LEFT(B217,1)="(",IFERROR(VALUE(MID(B217,2,FIND(")",B217)-2)),""),"")</f>
        <v/>
      </c>
      <c r="D217" s="75" t="str">
        <f aca="false">IF($C217="","",N(元データ_PB合計!$B$215))</f>
        <v/>
      </c>
      <c r="E217" s="75" t="str">
        <f aca="false">IF($C217="","",N(元データ_PB合計!$C$215))</f>
        <v/>
      </c>
      <c r="F217" s="75" t="str">
        <f aca="false">IF($C217="","",N(元データ_PB合計!$F$215))</f>
        <v/>
      </c>
      <c r="G217" s="74" t="str">
        <f aca="false">IF($C217="","",IF(COUNTIF(店舗マスタ!$B$5:$B$304,$C217)&gt;0,"登録済","未登録→マスタに追加"))</f>
        <v/>
      </c>
      <c r="I217" s="74" t="n">
        <v>215</v>
      </c>
      <c r="J217" s="74" t="str">
        <f aca="false">IF(元データ_P!$A$215="","",元データ_P!$A$215)</f>
        <v/>
      </c>
      <c r="K217" s="74" t="str">
        <f aca="false">IF(LEFT(J217,1)="(",IFERROR(VALUE(MID(J217,2,FIND(")",J217)-2)),""),"")</f>
        <v/>
      </c>
      <c r="L217" s="75" t="str">
        <f aca="false">IF($K217="","",N(元データ_P!$B$215))</f>
        <v/>
      </c>
      <c r="M217" s="75" t="str">
        <f aca="false">IF($K217="","",N(元データ_P!$F$215))</f>
        <v/>
      </c>
      <c r="N217" s="74" t="str">
        <f aca="false">IF($K217="","",IF(COUNTIF(店舗マスタ!$B$5:$B$304,$K217)&gt;0,"登録済","未登録→マスタに追加"))</f>
        <v/>
      </c>
      <c r="P217" s="74" t="n">
        <v>215</v>
      </c>
      <c r="Q217" s="74" t="str">
        <f aca="false">IF(元データ_B!$A$215="","",元データ_B!$A$215)</f>
        <v/>
      </c>
      <c r="R217" s="74" t="str">
        <f aca="false">IF(LEFT(Q217,1)="(",IFERROR(VALUE(MID(Q217,2,FIND(")",Q217)-2)),""),"")</f>
        <v/>
      </c>
      <c r="S217" s="75" t="str">
        <f aca="false">IF($R217="","",N(元データ_B!$B$215))</f>
        <v/>
      </c>
      <c r="T217" s="75" t="str">
        <f aca="false">IF($R217="","",N(元データ_B!$F$215))</f>
        <v/>
      </c>
      <c r="U217" s="74" t="str">
        <f aca="false">IF($R217="","",IF(COUNTIF(店舗マスタ!$B$5:$B$304,$R217)&gt;0,"登録済","未登録→マスタに追加"))</f>
        <v/>
      </c>
    </row>
    <row r="218" customFormat="false" ht="15" hidden="false" customHeight="false" outlineLevel="0" collapsed="false">
      <c r="A218" s="74" t="n">
        <v>216</v>
      </c>
      <c r="B218" s="74" t="str">
        <f aca="false">IF(元データ_PB合計!$A$216="","",元データ_PB合計!$A$216)</f>
        <v/>
      </c>
      <c r="C218" s="74" t="str">
        <f aca="false">IF(LEFT(B218,1)="(",IFERROR(VALUE(MID(B218,2,FIND(")",B218)-2)),""),"")</f>
        <v/>
      </c>
      <c r="D218" s="75" t="str">
        <f aca="false">IF($C218="","",N(元データ_PB合計!$B$216))</f>
        <v/>
      </c>
      <c r="E218" s="75" t="str">
        <f aca="false">IF($C218="","",N(元データ_PB合計!$C$216))</f>
        <v/>
      </c>
      <c r="F218" s="75" t="str">
        <f aca="false">IF($C218="","",N(元データ_PB合計!$F$216))</f>
        <v/>
      </c>
      <c r="G218" s="74" t="str">
        <f aca="false">IF($C218="","",IF(COUNTIF(店舗マスタ!$B$5:$B$304,$C218)&gt;0,"登録済","未登録→マスタに追加"))</f>
        <v/>
      </c>
      <c r="I218" s="74" t="n">
        <v>216</v>
      </c>
      <c r="J218" s="74" t="str">
        <f aca="false">IF(元データ_P!$A$216="","",元データ_P!$A$216)</f>
        <v/>
      </c>
      <c r="K218" s="74" t="str">
        <f aca="false">IF(LEFT(J218,1)="(",IFERROR(VALUE(MID(J218,2,FIND(")",J218)-2)),""),"")</f>
        <v/>
      </c>
      <c r="L218" s="75" t="str">
        <f aca="false">IF($K218="","",N(元データ_P!$B$216))</f>
        <v/>
      </c>
      <c r="M218" s="75" t="str">
        <f aca="false">IF($K218="","",N(元データ_P!$F$216))</f>
        <v/>
      </c>
      <c r="N218" s="74" t="str">
        <f aca="false">IF($K218="","",IF(COUNTIF(店舗マスタ!$B$5:$B$304,$K218)&gt;0,"登録済","未登録→マスタに追加"))</f>
        <v/>
      </c>
      <c r="P218" s="74" t="n">
        <v>216</v>
      </c>
      <c r="Q218" s="74" t="str">
        <f aca="false">IF(元データ_B!$A$216="","",元データ_B!$A$216)</f>
        <v/>
      </c>
      <c r="R218" s="74" t="str">
        <f aca="false">IF(LEFT(Q218,1)="(",IFERROR(VALUE(MID(Q218,2,FIND(")",Q218)-2)),""),"")</f>
        <v/>
      </c>
      <c r="S218" s="75" t="str">
        <f aca="false">IF($R218="","",N(元データ_B!$B$216))</f>
        <v/>
      </c>
      <c r="T218" s="75" t="str">
        <f aca="false">IF($R218="","",N(元データ_B!$F$216))</f>
        <v/>
      </c>
      <c r="U218" s="74" t="str">
        <f aca="false">IF($R218="","",IF(COUNTIF(店舗マスタ!$B$5:$B$304,$R218)&gt;0,"登録済","未登録→マスタに追加"))</f>
        <v/>
      </c>
    </row>
    <row r="219" customFormat="false" ht="15" hidden="false" customHeight="false" outlineLevel="0" collapsed="false">
      <c r="A219" s="74" t="n">
        <v>217</v>
      </c>
      <c r="B219" s="74" t="str">
        <f aca="false">IF(元データ_PB合計!$A$217="","",元データ_PB合計!$A$217)</f>
        <v/>
      </c>
      <c r="C219" s="74" t="str">
        <f aca="false">IF(LEFT(B219,1)="(",IFERROR(VALUE(MID(B219,2,FIND(")",B219)-2)),""),"")</f>
        <v/>
      </c>
      <c r="D219" s="75" t="str">
        <f aca="false">IF($C219="","",N(元データ_PB合計!$B$217))</f>
        <v/>
      </c>
      <c r="E219" s="75" t="str">
        <f aca="false">IF($C219="","",N(元データ_PB合計!$C$217))</f>
        <v/>
      </c>
      <c r="F219" s="75" t="str">
        <f aca="false">IF($C219="","",N(元データ_PB合計!$F$217))</f>
        <v/>
      </c>
      <c r="G219" s="74" t="str">
        <f aca="false">IF($C219="","",IF(COUNTIF(店舗マスタ!$B$5:$B$304,$C219)&gt;0,"登録済","未登録→マスタに追加"))</f>
        <v/>
      </c>
      <c r="I219" s="74" t="n">
        <v>217</v>
      </c>
      <c r="J219" s="74" t="str">
        <f aca="false">IF(元データ_P!$A$217="","",元データ_P!$A$217)</f>
        <v/>
      </c>
      <c r="K219" s="74" t="str">
        <f aca="false">IF(LEFT(J219,1)="(",IFERROR(VALUE(MID(J219,2,FIND(")",J219)-2)),""),"")</f>
        <v/>
      </c>
      <c r="L219" s="75" t="str">
        <f aca="false">IF($K219="","",N(元データ_P!$B$217))</f>
        <v/>
      </c>
      <c r="M219" s="75" t="str">
        <f aca="false">IF($K219="","",N(元データ_P!$F$217))</f>
        <v/>
      </c>
      <c r="N219" s="74" t="str">
        <f aca="false">IF($K219="","",IF(COUNTIF(店舗マスタ!$B$5:$B$304,$K219)&gt;0,"登録済","未登録→マスタに追加"))</f>
        <v/>
      </c>
      <c r="P219" s="74" t="n">
        <v>217</v>
      </c>
      <c r="Q219" s="74" t="str">
        <f aca="false">IF(元データ_B!$A$217="","",元データ_B!$A$217)</f>
        <v/>
      </c>
      <c r="R219" s="74" t="str">
        <f aca="false">IF(LEFT(Q219,1)="(",IFERROR(VALUE(MID(Q219,2,FIND(")",Q219)-2)),""),"")</f>
        <v/>
      </c>
      <c r="S219" s="75" t="str">
        <f aca="false">IF($R219="","",N(元データ_B!$B$217))</f>
        <v/>
      </c>
      <c r="T219" s="75" t="str">
        <f aca="false">IF($R219="","",N(元データ_B!$F$217))</f>
        <v/>
      </c>
      <c r="U219" s="74" t="str">
        <f aca="false">IF($R219="","",IF(COUNTIF(店舗マスタ!$B$5:$B$304,$R219)&gt;0,"登録済","未登録→マスタに追加"))</f>
        <v/>
      </c>
    </row>
    <row r="220" customFormat="false" ht="15" hidden="false" customHeight="false" outlineLevel="0" collapsed="false">
      <c r="A220" s="74" t="n">
        <v>218</v>
      </c>
      <c r="B220" s="74" t="str">
        <f aca="false">IF(元データ_PB合計!$A$218="","",元データ_PB合計!$A$218)</f>
        <v/>
      </c>
      <c r="C220" s="74" t="str">
        <f aca="false">IF(LEFT(B220,1)="(",IFERROR(VALUE(MID(B220,2,FIND(")",B220)-2)),""),"")</f>
        <v/>
      </c>
      <c r="D220" s="75" t="str">
        <f aca="false">IF($C220="","",N(元データ_PB合計!$B$218))</f>
        <v/>
      </c>
      <c r="E220" s="75" t="str">
        <f aca="false">IF($C220="","",N(元データ_PB合計!$C$218))</f>
        <v/>
      </c>
      <c r="F220" s="75" t="str">
        <f aca="false">IF($C220="","",N(元データ_PB合計!$F$218))</f>
        <v/>
      </c>
      <c r="G220" s="74" t="str">
        <f aca="false">IF($C220="","",IF(COUNTIF(店舗マスタ!$B$5:$B$304,$C220)&gt;0,"登録済","未登録→マスタに追加"))</f>
        <v/>
      </c>
      <c r="I220" s="74" t="n">
        <v>218</v>
      </c>
      <c r="J220" s="74" t="str">
        <f aca="false">IF(元データ_P!$A$218="","",元データ_P!$A$218)</f>
        <v/>
      </c>
      <c r="K220" s="74" t="str">
        <f aca="false">IF(LEFT(J220,1)="(",IFERROR(VALUE(MID(J220,2,FIND(")",J220)-2)),""),"")</f>
        <v/>
      </c>
      <c r="L220" s="75" t="str">
        <f aca="false">IF($K220="","",N(元データ_P!$B$218))</f>
        <v/>
      </c>
      <c r="M220" s="75" t="str">
        <f aca="false">IF($K220="","",N(元データ_P!$F$218))</f>
        <v/>
      </c>
      <c r="N220" s="74" t="str">
        <f aca="false">IF($K220="","",IF(COUNTIF(店舗マスタ!$B$5:$B$304,$K220)&gt;0,"登録済","未登録→マスタに追加"))</f>
        <v/>
      </c>
      <c r="P220" s="74" t="n">
        <v>218</v>
      </c>
      <c r="Q220" s="74" t="str">
        <f aca="false">IF(元データ_B!$A$218="","",元データ_B!$A$218)</f>
        <v/>
      </c>
      <c r="R220" s="74" t="str">
        <f aca="false">IF(LEFT(Q220,1)="(",IFERROR(VALUE(MID(Q220,2,FIND(")",Q220)-2)),""),"")</f>
        <v/>
      </c>
      <c r="S220" s="75" t="str">
        <f aca="false">IF($R220="","",N(元データ_B!$B$218))</f>
        <v/>
      </c>
      <c r="T220" s="75" t="str">
        <f aca="false">IF($R220="","",N(元データ_B!$F$218))</f>
        <v/>
      </c>
      <c r="U220" s="74" t="str">
        <f aca="false">IF($R220="","",IF(COUNTIF(店舗マスタ!$B$5:$B$304,$R220)&gt;0,"登録済","未登録→マスタに追加"))</f>
        <v/>
      </c>
    </row>
    <row r="221" customFormat="false" ht="15" hidden="false" customHeight="false" outlineLevel="0" collapsed="false">
      <c r="A221" s="74" t="n">
        <v>219</v>
      </c>
      <c r="B221" s="74" t="str">
        <f aca="false">IF(元データ_PB合計!$A$219="","",元データ_PB合計!$A$219)</f>
        <v/>
      </c>
      <c r="C221" s="74" t="str">
        <f aca="false">IF(LEFT(B221,1)="(",IFERROR(VALUE(MID(B221,2,FIND(")",B221)-2)),""),"")</f>
        <v/>
      </c>
      <c r="D221" s="75" t="str">
        <f aca="false">IF($C221="","",N(元データ_PB合計!$B$219))</f>
        <v/>
      </c>
      <c r="E221" s="75" t="str">
        <f aca="false">IF($C221="","",N(元データ_PB合計!$C$219))</f>
        <v/>
      </c>
      <c r="F221" s="75" t="str">
        <f aca="false">IF($C221="","",N(元データ_PB合計!$F$219))</f>
        <v/>
      </c>
      <c r="G221" s="74" t="str">
        <f aca="false">IF($C221="","",IF(COUNTIF(店舗マスタ!$B$5:$B$304,$C221)&gt;0,"登録済","未登録→マスタに追加"))</f>
        <v/>
      </c>
      <c r="I221" s="74" t="n">
        <v>219</v>
      </c>
      <c r="J221" s="74" t="str">
        <f aca="false">IF(元データ_P!$A$219="","",元データ_P!$A$219)</f>
        <v/>
      </c>
      <c r="K221" s="74" t="str">
        <f aca="false">IF(LEFT(J221,1)="(",IFERROR(VALUE(MID(J221,2,FIND(")",J221)-2)),""),"")</f>
        <v/>
      </c>
      <c r="L221" s="75" t="str">
        <f aca="false">IF($K221="","",N(元データ_P!$B$219))</f>
        <v/>
      </c>
      <c r="M221" s="75" t="str">
        <f aca="false">IF($K221="","",N(元データ_P!$F$219))</f>
        <v/>
      </c>
      <c r="N221" s="74" t="str">
        <f aca="false">IF($K221="","",IF(COUNTIF(店舗マスタ!$B$5:$B$304,$K221)&gt;0,"登録済","未登録→マスタに追加"))</f>
        <v/>
      </c>
      <c r="P221" s="74" t="n">
        <v>219</v>
      </c>
      <c r="Q221" s="74" t="str">
        <f aca="false">IF(元データ_B!$A$219="","",元データ_B!$A$219)</f>
        <v/>
      </c>
      <c r="R221" s="74" t="str">
        <f aca="false">IF(LEFT(Q221,1)="(",IFERROR(VALUE(MID(Q221,2,FIND(")",Q221)-2)),""),"")</f>
        <v/>
      </c>
      <c r="S221" s="75" t="str">
        <f aca="false">IF($R221="","",N(元データ_B!$B$219))</f>
        <v/>
      </c>
      <c r="T221" s="75" t="str">
        <f aca="false">IF($R221="","",N(元データ_B!$F$219))</f>
        <v/>
      </c>
      <c r="U221" s="74" t="str">
        <f aca="false">IF($R221="","",IF(COUNTIF(店舗マスタ!$B$5:$B$304,$R221)&gt;0,"登録済","未登録→マスタに追加"))</f>
        <v/>
      </c>
    </row>
    <row r="222" customFormat="false" ht="15" hidden="false" customHeight="false" outlineLevel="0" collapsed="false">
      <c r="A222" s="74" t="n">
        <v>220</v>
      </c>
      <c r="B222" s="74" t="str">
        <f aca="false">IF(元データ_PB合計!$A$220="","",元データ_PB合計!$A$220)</f>
        <v/>
      </c>
      <c r="C222" s="74" t="str">
        <f aca="false">IF(LEFT(B222,1)="(",IFERROR(VALUE(MID(B222,2,FIND(")",B222)-2)),""),"")</f>
        <v/>
      </c>
      <c r="D222" s="75" t="str">
        <f aca="false">IF($C222="","",N(元データ_PB合計!$B$220))</f>
        <v/>
      </c>
      <c r="E222" s="75" t="str">
        <f aca="false">IF($C222="","",N(元データ_PB合計!$C$220))</f>
        <v/>
      </c>
      <c r="F222" s="75" t="str">
        <f aca="false">IF($C222="","",N(元データ_PB合計!$F$220))</f>
        <v/>
      </c>
      <c r="G222" s="74" t="str">
        <f aca="false">IF($C222="","",IF(COUNTIF(店舗マスタ!$B$5:$B$304,$C222)&gt;0,"登録済","未登録→マスタに追加"))</f>
        <v/>
      </c>
      <c r="I222" s="74" t="n">
        <v>220</v>
      </c>
      <c r="J222" s="74" t="str">
        <f aca="false">IF(元データ_P!$A$220="","",元データ_P!$A$220)</f>
        <v/>
      </c>
      <c r="K222" s="74" t="str">
        <f aca="false">IF(LEFT(J222,1)="(",IFERROR(VALUE(MID(J222,2,FIND(")",J222)-2)),""),"")</f>
        <v/>
      </c>
      <c r="L222" s="75" t="str">
        <f aca="false">IF($K222="","",N(元データ_P!$B$220))</f>
        <v/>
      </c>
      <c r="M222" s="75" t="str">
        <f aca="false">IF($K222="","",N(元データ_P!$F$220))</f>
        <v/>
      </c>
      <c r="N222" s="74" t="str">
        <f aca="false">IF($K222="","",IF(COUNTIF(店舗マスタ!$B$5:$B$304,$K222)&gt;0,"登録済","未登録→マスタに追加"))</f>
        <v/>
      </c>
      <c r="P222" s="74" t="n">
        <v>220</v>
      </c>
      <c r="Q222" s="74" t="str">
        <f aca="false">IF(元データ_B!$A$220="","",元データ_B!$A$220)</f>
        <v/>
      </c>
      <c r="R222" s="74" t="str">
        <f aca="false">IF(LEFT(Q222,1)="(",IFERROR(VALUE(MID(Q222,2,FIND(")",Q222)-2)),""),"")</f>
        <v/>
      </c>
      <c r="S222" s="75" t="str">
        <f aca="false">IF($R222="","",N(元データ_B!$B$220))</f>
        <v/>
      </c>
      <c r="T222" s="75" t="str">
        <f aca="false">IF($R222="","",N(元データ_B!$F$220))</f>
        <v/>
      </c>
      <c r="U222" s="74" t="str">
        <f aca="false">IF($R222="","",IF(COUNTIF(店舗マスタ!$B$5:$B$304,$R222)&gt;0,"登録済","未登録→マスタに追加"))</f>
        <v/>
      </c>
    </row>
    <row r="223" customFormat="false" ht="15" hidden="false" customHeight="false" outlineLevel="0" collapsed="false">
      <c r="A223" s="74" t="n">
        <v>221</v>
      </c>
      <c r="B223" s="74" t="str">
        <f aca="false">IF(元データ_PB合計!$A$221="","",元データ_PB合計!$A$221)</f>
        <v/>
      </c>
      <c r="C223" s="74" t="str">
        <f aca="false">IF(LEFT(B223,1)="(",IFERROR(VALUE(MID(B223,2,FIND(")",B223)-2)),""),"")</f>
        <v/>
      </c>
      <c r="D223" s="75" t="str">
        <f aca="false">IF($C223="","",N(元データ_PB合計!$B$221))</f>
        <v/>
      </c>
      <c r="E223" s="75" t="str">
        <f aca="false">IF($C223="","",N(元データ_PB合計!$C$221))</f>
        <v/>
      </c>
      <c r="F223" s="75" t="str">
        <f aca="false">IF($C223="","",N(元データ_PB合計!$F$221))</f>
        <v/>
      </c>
      <c r="G223" s="74" t="str">
        <f aca="false">IF($C223="","",IF(COUNTIF(店舗マスタ!$B$5:$B$304,$C223)&gt;0,"登録済","未登録→マスタに追加"))</f>
        <v/>
      </c>
      <c r="I223" s="74" t="n">
        <v>221</v>
      </c>
      <c r="J223" s="74" t="str">
        <f aca="false">IF(元データ_P!$A$221="","",元データ_P!$A$221)</f>
        <v/>
      </c>
      <c r="K223" s="74" t="str">
        <f aca="false">IF(LEFT(J223,1)="(",IFERROR(VALUE(MID(J223,2,FIND(")",J223)-2)),""),"")</f>
        <v/>
      </c>
      <c r="L223" s="75" t="str">
        <f aca="false">IF($K223="","",N(元データ_P!$B$221))</f>
        <v/>
      </c>
      <c r="M223" s="75" t="str">
        <f aca="false">IF($K223="","",N(元データ_P!$F$221))</f>
        <v/>
      </c>
      <c r="N223" s="74" t="str">
        <f aca="false">IF($K223="","",IF(COUNTIF(店舗マスタ!$B$5:$B$304,$K223)&gt;0,"登録済","未登録→マスタに追加"))</f>
        <v/>
      </c>
      <c r="P223" s="74" t="n">
        <v>221</v>
      </c>
      <c r="Q223" s="74" t="str">
        <f aca="false">IF(元データ_B!$A$221="","",元データ_B!$A$221)</f>
        <v/>
      </c>
      <c r="R223" s="74" t="str">
        <f aca="false">IF(LEFT(Q223,1)="(",IFERROR(VALUE(MID(Q223,2,FIND(")",Q223)-2)),""),"")</f>
        <v/>
      </c>
      <c r="S223" s="75" t="str">
        <f aca="false">IF($R223="","",N(元データ_B!$B$221))</f>
        <v/>
      </c>
      <c r="T223" s="75" t="str">
        <f aca="false">IF($R223="","",N(元データ_B!$F$221))</f>
        <v/>
      </c>
      <c r="U223" s="74" t="str">
        <f aca="false">IF($R223="","",IF(COUNTIF(店舗マスタ!$B$5:$B$304,$R223)&gt;0,"登録済","未登録→マスタに追加"))</f>
        <v/>
      </c>
    </row>
    <row r="224" customFormat="false" ht="15" hidden="false" customHeight="false" outlineLevel="0" collapsed="false">
      <c r="A224" s="74" t="n">
        <v>222</v>
      </c>
      <c r="B224" s="74" t="str">
        <f aca="false">IF(元データ_PB合計!$A$222="","",元データ_PB合計!$A$222)</f>
        <v/>
      </c>
      <c r="C224" s="74" t="str">
        <f aca="false">IF(LEFT(B224,1)="(",IFERROR(VALUE(MID(B224,2,FIND(")",B224)-2)),""),"")</f>
        <v/>
      </c>
      <c r="D224" s="75" t="str">
        <f aca="false">IF($C224="","",N(元データ_PB合計!$B$222))</f>
        <v/>
      </c>
      <c r="E224" s="75" t="str">
        <f aca="false">IF($C224="","",N(元データ_PB合計!$C$222))</f>
        <v/>
      </c>
      <c r="F224" s="75" t="str">
        <f aca="false">IF($C224="","",N(元データ_PB合計!$F$222))</f>
        <v/>
      </c>
      <c r="G224" s="74" t="str">
        <f aca="false">IF($C224="","",IF(COUNTIF(店舗マスタ!$B$5:$B$304,$C224)&gt;0,"登録済","未登録→マスタに追加"))</f>
        <v/>
      </c>
      <c r="I224" s="74" t="n">
        <v>222</v>
      </c>
      <c r="J224" s="74" t="str">
        <f aca="false">IF(元データ_P!$A$222="","",元データ_P!$A$222)</f>
        <v/>
      </c>
      <c r="K224" s="74" t="str">
        <f aca="false">IF(LEFT(J224,1)="(",IFERROR(VALUE(MID(J224,2,FIND(")",J224)-2)),""),"")</f>
        <v/>
      </c>
      <c r="L224" s="75" t="str">
        <f aca="false">IF($K224="","",N(元データ_P!$B$222))</f>
        <v/>
      </c>
      <c r="M224" s="75" t="str">
        <f aca="false">IF($K224="","",N(元データ_P!$F$222))</f>
        <v/>
      </c>
      <c r="N224" s="74" t="str">
        <f aca="false">IF($K224="","",IF(COUNTIF(店舗マスタ!$B$5:$B$304,$K224)&gt;0,"登録済","未登録→マスタに追加"))</f>
        <v/>
      </c>
      <c r="P224" s="74" t="n">
        <v>222</v>
      </c>
      <c r="Q224" s="74" t="str">
        <f aca="false">IF(元データ_B!$A$222="","",元データ_B!$A$222)</f>
        <v/>
      </c>
      <c r="R224" s="74" t="str">
        <f aca="false">IF(LEFT(Q224,1)="(",IFERROR(VALUE(MID(Q224,2,FIND(")",Q224)-2)),""),"")</f>
        <v/>
      </c>
      <c r="S224" s="75" t="str">
        <f aca="false">IF($R224="","",N(元データ_B!$B$222))</f>
        <v/>
      </c>
      <c r="T224" s="75" t="str">
        <f aca="false">IF($R224="","",N(元データ_B!$F$222))</f>
        <v/>
      </c>
      <c r="U224" s="74" t="str">
        <f aca="false">IF($R224="","",IF(COUNTIF(店舗マスタ!$B$5:$B$304,$R224)&gt;0,"登録済","未登録→マスタに追加"))</f>
        <v/>
      </c>
    </row>
    <row r="225" customFormat="false" ht="15" hidden="false" customHeight="false" outlineLevel="0" collapsed="false">
      <c r="A225" s="74" t="n">
        <v>223</v>
      </c>
      <c r="B225" s="74" t="str">
        <f aca="false">IF(元データ_PB合計!$A$223="","",元データ_PB合計!$A$223)</f>
        <v/>
      </c>
      <c r="C225" s="74" t="str">
        <f aca="false">IF(LEFT(B225,1)="(",IFERROR(VALUE(MID(B225,2,FIND(")",B225)-2)),""),"")</f>
        <v/>
      </c>
      <c r="D225" s="75" t="str">
        <f aca="false">IF($C225="","",N(元データ_PB合計!$B$223))</f>
        <v/>
      </c>
      <c r="E225" s="75" t="str">
        <f aca="false">IF($C225="","",N(元データ_PB合計!$C$223))</f>
        <v/>
      </c>
      <c r="F225" s="75" t="str">
        <f aca="false">IF($C225="","",N(元データ_PB合計!$F$223))</f>
        <v/>
      </c>
      <c r="G225" s="74" t="str">
        <f aca="false">IF($C225="","",IF(COUNTIF(店舗マスタ!$B$5:$B$304,$C225)&gt;0,"登録済","未登録→マスタに追加"))</f>
        <v/>
      </c>
      <c r="I225" s="74" t="n">
        <v>223</v>
      </c>
      <c r="J225" s="74" t="str">
        <f aca="false">IF(元データ_P!$A$223="","",元データ_P!$A$223)</f>
        <v/>
      </c>
      <c r="K225" s="74" t="str">
        <f aca="false">IF(LEFT(J225,1)="(",IFERROR(VALUE(MID(J225,2,FIND(")",J225)-2)),""),"")</f>
        <v/>
      </c>
      <c r="L225" s="75" t="str">
        <f aca="false">IF($K225="","",N(元データ_P!$B$223))</f>
        <v/>
      </c>
      <c r="M225" s="75" t="str">
        <f aca="false">IF($K225="","",N(元データ_P!$F$223))</f>
        <v/>
      </c>
      <c r="N225" s="74" t="str">
        <f aca="false">IF($K225="","",IF(COUNTIF(店舗マスタ!$B$5:$B$304,$K225)&gt;0,"登録済","未登録→マスタに追加"))</f>
        <v/>
      </c>
      <c r="P225" s="74" t="n">
        <v>223</v>
      </c>
      <c r="Q225" s="74" t="str">
        <f aca="false">IF(元データ_B!$A$223="","",元データ_B!$A$223)</f>
        <v/>
      </c>
      <c r="R225" s="74" t="str">
        <f aca="false">IF(LEFT(Q225,1)="(",IFERROR(VALUE(MID(Q225,2,FIND(")",Q225)-2)),""),"")</f>
        <v/>
      </c>
      <c r="S225" s="75" t="str">
        <f aca="false">IF($R225="","",N(元データ_B!$B$223))</f>
        <v/>
      </c>
      <c r="T225" s="75" t="str">
        <f aca="false">IF($R225="","",N(元データ_B!$F$223))</f>
        <v/>
      </c>
      <c r="U225" s="74" t="str">
        <f aca="false">IF($R225="","",IF(COUNTIF(店舗マスタ!$B$5:$B$304,$R225)&gt;0,"登録済","未登録→マスタに追加"))</f>
        <v/>
      </c>
    </row>
    <row r="226" customFormat="false" ht="15" hidden="false" customHeight="false" outlineLevel="0" collapsed="false">
      <c r="A226" s="74" t="n">
        <v>224</v>
      </c>
      <c r="B226" s="74" t="str">
        <f aca="false">IF(元データ_PB合計!$A$224="","",元データ_PB合計!$A$224)</f>
        <v/>
      </c>
      <c r="C226" s="74" t="str">
        <f aca="false">IF(LEFT(B226,1)="(",IFERROR(VALUE(MID(B226,2,FIND(")",B226)-2)),""),"")</f>
        <v/>
      </c>
      <c r="D226" s="75" t="str">
        <f aca="false">IF($C226="","",N(元データ_PB合計!$B$224))</f>
        <v/>
      </c>
      <c r="E226" s="75" t="str">
        <f aca="false">IF($C226="","",N(元データ_PB合計!$C$224))</f>
        <v/>
      </c>
      <c r="F226" s="75" t="str">
        <f aca="false">IF($C226="","",N(元データ_PB合計!$F$224))</f>
        <v/>
      </c>
      <c r="G226" s="74" t="str">
        <f aca="false">IF($C226="","",IF(COUNTIF(店舗マスタ!$B$5:$B$304,$C226)&gt;0,"登録済","未登録→マスタに追加"))</f>
        <v/>
      </c>
      <c r="I226" s="74" t="n">
        <v>224</v>
      </c>
      <c r="J226" s="74" t="str">
        <f aca="false">IF(元データ_P!$A$224="","",元データ_P!$A$224)</f>
        <v/>
      </c>
      <c r="K226" s="74" t="str">
        <f aca="false">IF(LEFT(J226,1)="(",IFERROR(VALUE(MID(J226,2,FIND(")",J226)-2)),""),"")</f>
        <v/>
      </c>
      <c r="L226" s="75" t="str">
        <f aca="false">IF($K226="","",N(元データ_P!$B$224))</f>
        <v/>
      </c>
      <c r="M226" s="75" t="str">
        <f aca="false">IF($K226="","",N(元データ_P!$F$224))</f>
        <v/>
      </c>
      <c r="N226" s="74" t="str">
        <f aca="false">IF($K226="","",IF(COUNTIF(店舗マスタ!$B$5:$B$304,$K226)&gt;0,"登録済","未登録→マスタに追加"))</f>
        <v/>
      </c>
      <c r="P226" s="74" t="n">
        <v>224</v>
      </c>
      <c r="Q226" s="74" t="str">
        <f aca="false">IF(元データ_B!$A$224="","",元データ_B!$A$224)</f>
        <v/>
      </c>
      <c r="R226" s="74" t="str">
        <f aca="false">IF(LEFT(Q226,1)="(",IFERROR(VALUE(MID(Q226,2,FIND(")",Q226)-2)),""),"")</f>
        <v/>
      </c>
      <c r="S226" s="75" t="str">
        <f aca="false">IF($R226="","",N(元データ_B!$B$224))</f>
        <v/>
      </c>
      <c r="T226" s="75" t="str">
        <f aca="false">IF($R226="","",N(元データ_B!$F$224))</f>
        <v/>
      </c>
      <c r="U226" s="74" t="str">
        <f aca="false">IF($R226="","",IF(COUNTIF(店舗マスタ!$B$5:$B$304,$R226)&gt;0,"登録済","未登録→マスタに追加"))</f>
        <v/>
      </c>
    </row>
    <row r="227" customFormat="false" ht="15" hidden="false" customHeight="false" outlineLevel="0" collapsed="false">
      <c r="A227" s="74" t="n">
        <v>225</v>
      </c>
      <c r="B227" s="74" t="str">
        <f aca="false">IF(元データ_PB合計!$A$225="","",元データ_PB合計!$A$225)</f>
        <v/>
      </c>
      <c r="C227" s="74" t="str">
        <f aca="false">IF(LEFT(B227,1)="(",IFERROR(VALUE(MID(B227,2,FIND(")",B227)-2)),""),"")</f>
        <v/>
      </c>
      <c r="D227" s="75" t="str">
        <f aca="false">IF($C227="","",N(元データ_PB合計!$B$225))</f>
        <v/>
      </c>
      <c r="E227" s="75" t="str">
        <f aca="false">IF($C227="","",N(元データ_PB合計!$C$225))</f>
        <v/>
      </c>
      <c r="F227" s="75" t="str">
        <f aca="false">IF($C227="","",N(元データ_PB合計!$F$225))</f>
        <v/>
      </c>
      <c r="G227" s="74" t="str">
        <f aca="false">IF($C227="","",IF(COUNTIF(店舗マスタ!$B$5:$B$304,$C227)&gt;0,"登録済","未登録→マスタに追加"))</f>
        <v/>
      </c>
      <c r="I227" s="74" t="n">
        <v>225</v>
      </c>
      <c r="J227" s="74" t="str">
        <f aca="false">IF(元データ_P!$A$225="","",元データ_P!$A$225)</f>
        <v/>
      </c>
      <c r="K227" s="74" t="str">
        <f aca="false">IF(LEFT(J227,1)="(",IFERROR(VALUE(MID(J227,2,FIND(")",J227)-2)),""),"")</f>
        <v/>
      </c>
      <c r="L227" s="75" t="str">
        <f aca="false">IF($K227="","",N(元データ_P!$B$225))</f>
        <v/>
      </c>
      <c r="M227" s="75" t="str">
        <f aca="false">IF($K227="","",N(元データ_P!$F$225))</f>
        <v/>
      </c>
      <c r="N227" s="74" t="str">
        <f aca="false">IF($K227="","",IF(COUNTIF(店舗マスタ!$B$5:$B$304,$K227)&gt;0,"登録済","未登録→マスタに追加"))</f>
        <v/>
      </c>
      <c r="P227" s="74" t="n">
        <v>225</v>
      </c>
      <c r="Q227" s="74" t="str">
        <f aca="false">IF(元データ_B!$A$225="","",元データ_B!$A$225)</f>
        <v/>
      </c>
      <c r="R227" s="74" t="str">
        <f aca="false">IF(LEFT(Q227,1)="(",IFERROR(VALUE(MID(Q227,2,FIND(")",Q227)-2)),""),"")</f>
        <v/>
      </c>
      <c r="S227" s="75" t="str">
        <f aca="false">IF($R227="","",N(元データ_B!$B$225))</f>
        <v/>
      </c>
      <c r="T227" s="75" t="str">
        <f aca="false">IF($R227="","",N(元データ_B!$F$225))</f>
        <v/>
      </c>
      <c r="U227" s="74" t="str">
        <f aca="false">IF($R227="","",IF(COUNTIF(店舗マスタ!$B$5:$B$304,$R227)&gt;0,"登録済","未登録→マスタに追加"))</f>
        <v/>
      </c>
    </row>
    <row r="228" customFormat="false" ht="15" hidden="false" customHeight="false" outlineLevel="0" collapsed="false">
      <c r="A228" s="74" t="n">
        <v>226</v>
      </c>
      <c r="B228" s="74" t="str">
        <f aca="false">IF(元データ_PB合計!$A$226="","",元データ_PB合計!$A$226)</f>
        <v/>
      </c>
      <c r="C228" s="74" t="str">
        <f aca="false">IF(LEFT(B228,1)="(",IFERROR(VALUE(MID(B228,2,FIND(")",B228)-2)),""),"")</f>
        <v/>
      </c>
      <c r="D228" s="75" t="str">
        <f aca="false">IF($C228="","",N(元データ_PB合計!$B$226))</f>
        <v/>
      </c>
      <c r="E228" s="75" t="str">
        <f aca="false">IF($C228="","",N(元データ_PB合計!$C$226))</f>
        <v/>
      </c>
      <c r="F228" s="75" t="str">
        <f aca="false">IF($C228="","",N(元データ_PB合計!$F$226))</f>
        <v/>
      </c>
      <c r="G228" s="74" t="str">
        <f aca="false">IF($C228="","",IF(COUNTIF(店舗マスタ!$B$5:$B$304,$C228)&gt;0,"登録済","未登録→マスタに追加"))</f>
        <v/>
      </c>
      <c r="I228" s="74" t="n">
        <v>226</v>
      </c>
      <c r="J228" s="74" t="str">
        <f aca="false">IF(元データ_P!$A$226="","",元データ_P!$A$226)</f>
        <v/>
      </c>
      <c r="K228" s="74" t="str">
        <f aca="false">IF(LEFT(J228,1)="(",IFERROR(VALUE(MID(J228,2,FIND(")",J228)-2)),""),"")</f>
        <v/>
      </c>
      <c r="L228" s="75" t="str">
        <f aca="false">IF($K228="","",N(元データ_P!$B$226))</f>
        <v/>
      </c>
      <c r="M228" s="75" t="str">
        <f aca="false">IF($K228="","",N(元データ_P!$F$226))</f>
        <v/>
      </c>
      <c r="N228" s="74" t="str">
        <f aca="false">IF($K228="","",IF(COUNTIF(店舗マスタ!$B$5:$B$304,$K228)&gt;0,"登録済","未登録→マスタに追加"))</f>
        <v/>
      </c>
      <c r="P228" s="74" t="n">
        <v>226</v>
      </c>
      <c r="Q228" s="74" t="str">
        <f aca="false">IF(元データ_B!$A$226="","",元データ_B!$A$226)</f>
        <v/>
      </c>
      <c r="R228" s="74" t="str">
        <f aca="false">IF(LEFT(Q228,1)="(",IFERROR(VALUE(MID(Q228,2,FIND(")",Q228)-2)),""),"")</f>
        <v/>
      </c>
      <c r="S228" s="75" t="str">
        <f aca="false">IF($R228="","",N(元データ_B!$B$226))</f>
        <v/>
      </c>
      <c r="T228" s="75" t="str">
        <f aca="false">IF($R228="","",N(元データ_B!$F$226))</f>
        <v/>
      </c>
      <c r="U228" s="74" t="str">
        <f aca="false">IF($R228="","",IF(COUNTIF(店舗マスタ!$B$5:$B$304,$R228)&gt;0,"登録済","未登録→マスタに追加"))</f>
        <v/>
      </c>
    </row>
    <row r="229" customFormat="false" ht="15" hidden="false" customHeight="false" outlineLevel="0" collapsed="false">
      <c r="A229" s="74" t="n">
        <v>227</v>
      </c>
      <c r="B229" s="74" t="str">
        <f aca="false">IF(元データ_PB合計!$A$227="","",元データ_PB合計!$A$227)</f>
        <v/>
      </c>
      <c r="C229" s="74" t="str">
        <f aca="false">IF(LEFT(B229,1)="(",IFERROR(VALUE(MID(B229,2,FIND(")",B229)-2)),""),"")</f>
        <v/>
      </c>
      <c r="D229" s="75" t="str">
        <f aca="false">IF($C229="","",N(元データ_PB合計!$B$227))</f>
        <v/>
      </c>
      <c r="E229" s="75" t="str">
        <f aca="false">IF($C229="","",N(元データ_PB合計!$C$227))</f>
        <v/>
      </c>
      <c r="F229" s="75" t="str">
        <f aca="false">IF($C229="","",N(元データ_PB合計!$F$227))</f>
        <v/>
      </c>
      <c r="G229" s="74" t="str">
        <f aca="false">IF($C229="","",IF(COUNTIF(店舗マスタ!$B$5:$B$304,$C229)&gt;0,"登録済","未登録→マスタに追加"))</f>
        <v/>
      </c>
      <c r="I229" s="74" t="n">
        <v>227</v>
      </c>
      <c r="J229" s="74" t="str">
        <f aca="false">IF(元データ_P!$A$227="","",元データ_P!$A$227)</f>
        <v/>
      </c>
      <c r="K229" s="74" t="str">
        <f aca="false">IF(LEFT(J229,1)="(",IFERROR(VALUE(MID(J229,2,FIND(")",J229)-2)),""),"")</f>
        <v/>
      </c>
      <c r="L229" s="75" t="str">
        <f aca="false">IF($K229="","",N(元データ_P!$B$227))</f>
        <v/>
      </c>
      <c r="M229" s="75" t="str">
        <f aca="false">IF($K229="","",N(元データ_P!$F$227))</f>
        <v/>
      </c>
      <c r="N229" s="74" t="str">
        <f aca="false">IF($K229="","",IF(COUNTIF(店舗マスタ!$B$5:$B$304,$K229)&gt;0,"登録済","未登録→マスタに追加"))</f>
        <v/>
      </c>
      <c r="P229" s="74" t="n">
        <v>227</v>
      </c>
      <c r="Q229" s="74" t="str">
        <f aca="false">IF(元データ_B!$A$227="","",元データ_B!$A$227)</f>
        <v/>
      </c>
      <c r="R229" s="74" t="str">
        <f aca="false">IF(LEFT(Q229,1)="(",IFERROR(VALUE(MID(Q229,2,FIND(")",Q229)-2)),""),"")</f>
        <v/>
      </c>
      <c r="S229" s="75" t="str">
        <f aca="false">IF($R229="","",N(元データ_B!$B$227))</f>
        <v/>
      </c>
      <c r="T229" s="75" t="str">
        <f aca="false">IF($R229="","",N(元データ_B!$F$227))</f>
        <v/>
      </c>
      <c r="U229" s="74" t="str">
        <f aca="false">IF($R229="","",IF(COUNTIF(店舗マスタ!$B$5:$B$304,$R229)&gt;0,"登録済","未登録→マスタに追加"))</f>
        <v/>
      </c>
    </row>
    <row r="230" customFormat="false" ht="15" hidden="false" customHeight="false" outlineLevel="0" collapsed="false">
      <c r="A230" s="74" t="n">
        <v>228</v>
      </c>
      <c r="B230" s="74" t="str">
        <f aca="false">IF(元データ_PB合計!$A$228="","",元データ_PB合計!$A$228)</f>
        <v/>
      </c>
      <c r="C230" s="74" t="str">
        <f aca="false">IF(LEFT(B230,1)="(",IFERROR(VALUE(MID(B230,2,FIND(")",B230)-2)),""),"")</f>
        <v/>
      </c>
      <c r="D230" s="75" t="str">
        <f aca="false">IF($C230="","",N(元データ_PB合計!$B$228))</f>
        <v/>
      </c>
      <c r="E230" s="75" t="str">
        <f aca="false">IF($C230="","",N(元データ_PB合計!$C$228))</f>
        <v/>
      </c>
      <c r="F230" s="75" t="str">
        <f aca="false">IF($C230="","",N(元データ_PB合計!$F$228))</f>
        <v/>
      </c>
      <c r="G230" s="74" t="str">
        <f aca="false">IF($C230="","",IF(COUNTIF(店舗マスタ!$B$5:$B$304,$C230)&gt;0,"登録済","未登録→マスタに追加"))</f>
        <v/>
      </c>
      <c r="I230" s="74" t="n">
        <v>228</v>
      </c>
      <c r="J230" s="74" t="str">
        <f aca="false">IF(元データ_P!$A$228="","",元データ_P!$A$228)</f>
        <v/>
      </c>
      <c r="K230" s="74" t="str">
        <f aca="false">IF(LEFT(J230,1)="(",IFERROR(VALUE(MID(J230,2,FIND(")",J230)-2)),""),"")</f>
        <v/>
      </c>
      <c r="L230" s="75" t="str">
        <f aca="false">IF($K230="","",N(元データ_P!$B$228))</f>
        <v/>
      </c>
      <c r="M230" s="75" t="str">
        <f aca="false">IF($K230="","",N(元データ_P!$F$228))</f>
        <v/>
      </c>
      <c r="N230" s="74" t="str">
        <f aca="false">IF($K230="","",IF(COUNTIF(店舗マスタ!$B$5:$B$304,$K230)&gt;0,"登録済","未登録→マスタに追加"))</f>
        <v/>
      </c>
      <c r="P230" s="74" t="n">
        <v>228</v>
      </c>
      <c r="Q230" s="74" t="str">
        <f aca="false">IF(元データ_B!$A$228="","",元データ_B!$A$228)</f>
        <v/>
      </c>
      <c r="R230" s="74" t="str">
        <f aca="false">IF(LEFT(Q230,1)="(",IFERROR(VALUE(MID(Q230,2,FIND(")",Q230)-2)),""),"")</f>
        <v/>
      </c>
      <c r="S230" s="75" t="str">
        <f aca="false">IF($R230="","",N(元データ_B!$B$228))</f>
        <v/>
      </c>
      <c r="T230" s="75" t="str">
        <f aca="false">IF($R230="","",N(元データ_B!$F$228))</f>
        <v/>
      </c>
      <c r="U230" s="74" t="str">
        <f aca="false">IF($R230="","",IF(COUNTIF(店舗マスタ!$B$5:$B$304,$R230)&gt;0,"登録済","未登録→マスタに追加"))</f>
        <v/>
      </c>
    </row>
    <row r="231" customFormat="false" ht="15" hidden="false" customHeight="false" outlineLevel="0" collapsed="false">
      <c r="A231" s="74" t="n">
        <v>229</v>
      </c>
      <c r="B231" s="74" t="str">
        <f aca="false">IF(元データ_PB合計!$A$229="","",元データ_PB合計!$A$229)</f>
        <v/>
      </c>
      <c r="C231" s="74" t="str">
        <f aca="false">IF(LEFT(B231,1)="(",IFERROR(VALUE(MID(B231,2,FIND(")",B231)-2)),""),"")</f>
        <v/>
      </c>
      <c r="D231" s="75" t="str">
        <f aca="false">IF($C231="","",N(元データ_PB合計!$B$229))</f>
        <v/>
      </c>
      <c r="E231" s="75" t="str">
        <f aca="false">IF($C231="","",N(元データ_PB合計!$C$229))</f>
        <v/>
      </c>
      <c r="F231" s="75" t="str">
        <f aca="false">IF($C231="","",N(元データ_PB合計!$F$229))</f>
        <v/>
      </c>
      <c r="G231" s="74" t="str">
        <f aca="false">IF($C231="","",IF(COUNTIF(店舗マスタ!$B$5:$B$304,$C231)&gt;0,"登録済","未登録→マスタに追加"))</f>
        <v/>
      </c>
      <c r="I231" s="74" t="n">
        <v>229</v>
      </c>
      <c r="J231" s="74" t="str">
        <f aca="false">IF(元データ_P!$A$229="","",元データ_P!$A$229)</f>
        <v/>
      </c>
      <c r="K231" s="74" t="str">
        <f aca="false">IF(LEFT(J231,1)="(",IFERROR(VALUE(MID(J231,2,FIND(")",J231)-2)),""),"")</f>
        <v/>
      </c>
      <c r="L231" s="75" t="str">
        <f aca="false">IF($K231="","",N(元データ_P!$B$229))</f>
        <v/>
      </c>
      <c r="M231" s="75" t="str">
        <f aca="false">IF($K231="","",N(元データ_P!$F$229))</f>
        <v/>
      </c>
      <c r="N231" s="74" t="str">
        <f aca="false">IF($K231="","",IF(COUNTIF(店舗マスタ!$B$5:$B$304,$K231)&gt;0,"登録済","未登録→マスタに追加"))</f>
        <v/>
      </c>
      <c r="P231" s="74" t="n">
        <v>229</v>
      </c>
      <c r="Q231" s="74" t="str">
        <f aca="false">IF(元データ_B!$A$229="","",元データ_B!$A$229)</f>
        <v/>
      </c>
      <c r="R231" s="74" t="str">
        <f aca="false">IF(LEFT(Q231,1)="(",IFERROR(VALUE(MID(Q231,2,FIND(")",Q231)-2)),""),"")</f>
        <v/>
      </c>
      <c r="S231" s="75" t="str">
        <f aca="false">IF($R231="","",N(元データ_B!$B$229))</f>
        <v/>
      </c>
      <c r="T231" s="75" t="str">
        <f aca="false">IF($R231="","",N(元データ_B!$F$229))</f>
        <v/>
      </c>
      <c r="U231" s="74" t="str">
        <f aca="false">IF($R231="","",IF(COUNTIF(店舗マスタ!$B$5:$B$304,$R231)&gt;0,"登録済","未登録→マスタに追加"))</f>
        <v/>
      </c>
    </row>
    <row r="232" customFormat="false" ht="15" hidden="false" customHeight="false" outlineLevel="0" collapsed="false">
      <c r="A232" s="74" t="n">
        <v>230</v>
      </c>
      <c r="B232" s="74" t="str">
        <f aca="false">IF(元データ_PB合計!$A$230="","",元データ_PB合計!$A$230)</f>
        <v/>
      </c>
      <c r="C232" s="74" t="str">
        <f aca="false">IF(LEFT(B232,1)="(",IFERROR(VALUE(MID(B232,2,FIND(")",B232)-2)),""),"")</f>
        <v/>
      </c>
      <c r="D232" s="75" t="str">
        <f aca="false">IF($C232="","",N(元データ_PB合計!$B$230))</f>
        <v/>
      </c>
      <c r="E232" s="75" t="str">
        <f aca="false">IF($C232="","",N(元データ_PB合計!$C$230))</f>
        <v/>
      </c>
      <c r="F232" s="75" t="str">
        <f aca="false">IF($C232="","",N(元データ_PB合計!$F$230))</f>
        <v/>
      </c>
      <c r="G232" s="74" t="str">
        <f aca="false">IF($C232="","",IF(COUNTIF(店舗マスタ!$B$5:$B$304,$C232)&gt;0,"登録済","未登録→マスタに追加"))</f>
        <v/>
      </c>
      <c r="I232" s="74" t="n">
        <v>230</v>
      </c>
      <c r="J232" s="74" t="str">
        <f aca="false">IF(元データ_P!$A$230="","",元データ_P!$A$230)</f>
        <v/>
      </c>
      <c r="K232" s="74" t="str">
        <f aca="false">IF(LEFT(J232,1)="(",IFERROR(VALUE(MID(J232,2,FIND(")",J232)-2)),""),"")</f>
        <v/>
      </c>
      <c r="L232" s="75" t="str">
        <f aca="false">IF($K232="","",N(元データ_P!$B$230))</f>
        <v/>
      </c>
      <c r="M232" s="75" t="str">
        <f aca="false">IF($K232="","",N(元データ_P!$F$230))</f>
        <v/>
      </c>
      <c r="N232" s="74" t="str">
        <f aca="false">IF($K232="","",IF(COUNTIF(店舗マスタ!$B$5:$B$304,$K232)&gt;0,"登録済","未登録→マスタに追加"))</f>
        <v/>
      </c>
      <c r="P232" s="74" t="n">
        <v>230</v>
      </c>
      <c r="Q232" s="74" t="str">
        <f aca="false">IF(元データ_B!$A$230="","",元データ_B!$A$230)</f>
        <v/>
      </c>
      <c r="R232" s="74" t="str">
        <f aca="false">IF(LEFT(Q232,1)="(",IFERROR(VALUE(MID(Q232,2,FIND(")",Q232)-2)),""),"")</f>
        <v/>
      </c>
      <c r="S232" s="75" t="str">
        <f aca="false">IF($R232="","",N(元データ_B!$B$230))</f>
        <v/>
      </c>
      <c r="T232" s="75" t="str">
        <f aca="false">IF($R232="","",N(元データ_B!$F$230))</f>
        <v/>
      </c>
      <c r="U232" s="74" t="str">
        <f aca="false">IF($R232="","",IF(COUNTIF(店舗マスタ!$B$5:$B$304,$R232)&gt;0,"登録済","未登録→マスタに追加"))</f>
        <v/>
      </c>
    </row>
    <row r="233" customFormat="false" ht="15" hidden="false" customHeight="false" outlineLevel="0" collapsed="false">
      <c r="A233" s="74" t="n">
        <v>231</v>
      </c>
      <c r="B233" s="74" t="str">
        <f aca="false">IF(元データ_PB合計!$A$231="","",元データ_PB合計!$A$231)</f>
        <v/>
      </c>
      <c r="C233" s="74" t="str">
        <f aca="false">IF(LEFT(B233,1)="(",IFERROR(VALUE(MID(B233,2,FIND(")",B233)-2)),""),"")</f>
        <v/>
      </c>
      <c r="D233" s="75" t="str">
        <f aca="false">IF($C233="","",N(元データ_PB合計!$B$231))</f>
        <v/>
      </c>
      <c r="E233" s="75" t="str">
        <f aca="false">IF($C233="","",N(元データ_PB合計!$C$231))</f>
        <v/>
      </c>
      <c r="F233" s="75" t="str">
        <f aca="false">IF($C233="","",N(元データ_PB合計!$F$231))</f>
        <v/>
      </c>
      <c r="G233" s="74" t="str">
        <f aca="false">IF($C233="","",IF(COUNTIF(店舗マスタ!$B$5:$B$304,$C233)&gt;0,"登録済","未登録→マスタに追加"))</f>
        <v/>
      </c>
      <c r="I233" s="74" t="n">
        <v>231</v>
      </c>
      <c r="J233" s="74" t="str">
        <f aca="false">IF(元データ_P!$A$231="","",元データ_P!$A$231)</f>
        <v/>
      </c>
      <c r="K233" s="74" t="str">
        <f aca="false">IF(LEFT(J233,1)="(",IFERROR(VALUE(MID(J233,2,FIND(")",J233)-2)),""),"")</f>
        <v/>
      </c>
      <c r="L233" s="75" t="str">
        <f aca="false">IF($K233="","",N(元データ_P!$B$231))</f>
        <v/>
      </c>
      <c r="M233" s="75" t="str">
        <f aca="false">IF($K233="","",N(元データ_P!$F$231))</f>
        <v/>
      </c>
      <c r="N233" s="74" t="str">
        <f aca="false">IF($K233="","",IF(COUNTIF(店舗マスタ!$B$5:$B$304,$K233)&gt;0,"登録済","未登録→マスタに追加"))</f>
        <v/>
      </c>
      <c r="P233" s="74" t="n">
        <v>231</v>
      </c>
      <c r="Q233" s="74" t="str">
        <f aca="false">IF(元データ_B!$A$231="","",元データ_B!$A$231)</f>
        <v/>
      </c>
      <c r="R233" s="74" t="str">
        <f aca="false">IF(LEFT(Q233,1)="(",IFERROR(VALUE(MID(Q233,2,FIND(")",Q233)-2)),""),"")</f>
        <v/>
      </c>
      <c r="S233" s="75" t="str">
        <f aca="false">IF($R233="","",N(元データ_B!$B$231))</f>
        <v/>
      </c>
      <c r="T233" s="75" t="str">
        <f aca="false">IF($R233="","",N(元データ_B!$F$231))</f>
        <v/>
      </c>
      <c r="U233" s="74" t="str">
        <f aca="false">IF($R233="","",IF(COUNTIF(店舗マスタ!$B$5:$B$304,$R233)&gt;0,"登録済","未登録→マスタに追加"))</f>
        <v/>
      </c>
    </row>
    <row r="234" customFormat="false" ht="15" hidden="false" customHeight="false" outlineLevel="0" collapsed="false">
      <c r="A234" s="74" t="n">
        <v>232</v>
      </c>
      <c r="B234" s="74" t="str">
        <f aca="false">IF(元データ_PB合計!$A$232="","",元データ_PB合計!$A$232)</f>
        <v/>
      </c>
      <c r="C234" s="74" t="str">
        <f aca="false">IF(LEFT(B234,1)="(",IFERROR(VALUE(MID(B234,2,FIND(")",B234)-2)),""),"")</f>
        <v/>
      </c>
      <c r="D234" s="75" t="str">
        <f aca="false">IF($C234="","",N(元データ_PB合計!$B$232))</f>
        <v/>
      </c>
      <c r="E234" s="75" t="str">
        <f aca="false">IF($C234="","",N(元データ_PB合計!$C$232))</f>
        <v/>
      </c>
      <c r="F234" s="75" t="str">
        <f aca="false">IF($C234="","",N(元データ_PB合計!$F$232))</f>
        <v/>
      </c>
      <c r="G234" s="74" t="str">
        <f aca="false">IF($C234="","",IF(COUNTIF(店舗マスタ!$B$5:$B$304,$C234)&gt;0,"登録済","未登録→マスタに追加"))</f>
        <v/>
      </c>
      <c r="I234" s="74" t="n">
        <v>232</v>
      </c>
      <c r="J234" s="74" t="str">
        <f aca="false">IF(元データ_P!$A$232="","",元データ_P!$A$232)</f>
        <v/>
      </c>
      <c r="K234" s="74" t="str">
        <f aca="false">IF(LEFT(J234,1)="(",IFERROR(VALUE(MID(J234,2,FIND(")",J234)-2)),""),"")</f>
        <v/>
      </c>
      <c r="L234" s="75" t="str">
        <f aca="false">IF($K234="","",N(元データ_P!$B$232))</f>
        <v/>
      </c>
      <c r="M234" s="75" t="str">
        <f aca="false">IF($K234="","",N(元データ_P!$F$232))</f>
        <v/>
      </c>
      <c r="N234" s="74" t="str">
        <f aca="false">IF($K234="","",IF(COUNTIF(店舗マスタ!$B$5:$B$304,$K234)&gt;0,"登録済","未登録→マスタに追加"))</f>
        <v/>
      </c>
      <c r="P234" s="74" t="n">
        <v>232</v>
      </c>
      <c r="Q234" s="74" t="str">
        <f aca="false">IF(元データ_B!$A$232="","",元データ_B!$A$232)</f>
        <v/>
      </c>
      <c r="R234" s="74" t="str">
        <f aca="false">IF(LEFT(Q234,1)="(",IFERROR(VALUE(MID(Q234,2,FIND(")",Q234)-2)),""),"")</f>
        <v/>
      </c>
      <c r="S234" s="75" t="str">
        <f aca="false">IF($R234="","",N(元データ_B!$B$232))</f>
        <v/>
      </c>
      <c r="T234" s="75" t="str">
        <f aca="false">IF($R234="","",N(元データ_B!$F$232))</f>
        <v/>
      </c>
      <c r="U234" s="74" t="str">
        <f aca="false">IF($R234="","",IF(COUNTIF(店舗マスタ!$B$5:$B$304,$R234)&gt;0,"登録済","未登録→マスタに追加"))</f>
        <v/>
      </c>
    </row>
    <row r="235" customFormat="false" ht="15" hidden="false" customHeight="false" outlineLevel="0" collapsed="false">
      <c r="A235" s="74" t="n">
        <v>233</v>
      </c>
      <c r="B235" s="74" t="str">
        <f aca="false">IF(元データ_PB合計!$A$233="","",元データ_PB合計!$A$233)</f>
        <v/>
      </c>
      <c r="C235" s="74" t="str">
        <f aca="false">IF(LEFT(B235,1)="(",IFERROR(VALUE(MID(B235,2,FIND(")",B235)-2)),""),"")</f>
        <v/>
      </c>
      <c r="D235" s="75" t="str">
        <f aca="false">IF($C235="","",N(元データ_PB合計!$B$233))</f>
        <v/>
      </c>
      <c r="E235" s="75" t="str">
        <f aca="false">IF($C235="","",N(元データ_PB合計!$C$233))</f>
        <v/>
      </c>
      <c r="F235" s="75" t="str">
        <f aca="false">IF($C235="","",N(元データ_PB合計!$F$233))</f>
        <v/>
      </c>
      <c r="G235" s="74" t="str">
        <f aca="false">IF($C235="","",IF(COUNTIF(店舗マスタ!$B$5:$B$304,$C235)&gt;0,"登録済","未登録→マスタに追加"))</f>
        <v/>
      </c>
      <c r="I235" s="74" t="n">
        <v>233</v>
      </c>
      <c r="J235" s="74" t="str">
        <f aca="false">IF(元データ_P!$A$233="","",元データ_P!$A$233)</f>
        <v/>
      </c>
      <c r="K235" s="74" t="str">
        <f aca="false">IF(LEFT(J235,1)="(",IFERROR(VALUE(MID(J235,2,FIND(")",J235)-2)),""),"")</f>
        <v/>
      </c>
      <c r="L235" s="75" t="str">
        <f aca="false">IF($K235="","",N(元データ_P!$B$233))</f>
        <v/>
      </c>
      <c r="M235" s="75" t="str">
        <f aca="false">IF($K235="","",N(元データ_P!$F$233))</f>
        <v/>
      </c>
      <c r="N235" s="74" t="str">
        <f aca="false">IF($K235="","",IF(COUNTIF(店舗マスタ!$B$5:$B$304,$K235)&gt;0,"登録済","未登録→マスタに追加"))</f>
        <v/>
      </c>
      <c r="P235" s="74" t="n">
        <v>233</v>
      </c>
      <c r="Q235" s="74" t="str">
        <f aca="false">IF(元データ_B!$A$233="","",元データ_B!$A$233)</f>
        <v/>
      </c>
      <c r="R235" s="74" t="str">
        <f aca="false">IF(LEFT(Q235,1)="(",IFERROR(VALUE(MID(Q235,2,FIND(")",Q235)-2)),""),"")</f>
        <v/>
      </c>
      <c r="S235" s="75" t="str">
        <f aca="false">IF($R235="","",N(元データ_B!$B$233))</f>
        <v/>
      </c>
      <c r="T235" s="75" t="str">
        <f aca="false">IF($R235="","",N(元データ_B!$F$233))</f>
        <v/>
      </c>
      <c r="U235" s="74" t="str">
        <f aca="false">IF($R235="","",IF(COUNTIF(店舗マスタ!$B$5:$B$304,$R235)&gt;0,"登録済","未登録→マスタに追加"))</f>
        <v/>
      </c>
    </row>
    <row r="236" customFormat="false" ht="15" hidden="false" customHeight="false" outlineLevel="0" collapsed="false">
      <c r="A236" s="74" t="n">
        <v>234</v>
      </c>
      <c r="B236" s="74" t="str">
        <f aca="false">IF(元データ_PB合計!$A$234="","",元データ_PB合計!$A$234)</f>
        <v/>
      </c>
      <c r="C236" s="74" t="str">
        <f aca="false">IF(LEFT(B236,1)="(",IFERROR(VALUE(MID(B236,2,FIND(")",B236)-2)),""),"")</f>
        <v/>
      </c>
      <c r="D236" s="75" t="str">
        <f aca="false">IF($C236="","",N(元データ_PB合計!$B$234))</f>
        <v/>
      </c>
      <c r="E236" s="75" t="str">
        <f aca="false">IF($C236="","",N(元データ_PB合計!$C$234))</f>
        <v/>
      </c>
      <c r="F236" s="75" t="str">
        <f aca="false">IF($C236="","",N(元データ_PB合計!$F$234))</f>
        <v/>
      </c>
      <c r="G236" s="74" t="str">
        <f aca="false">IF($C236="","",IF(COUNTIF(店舗マスタ!$B$5:$B$304,$C236)&gt;0,"登録済","未登録→マスタに追加"))</f>
        <v/>
      </c>
      <c r="I236" s="74" t="n">
        <v>234</v>
      </c>
      <c r="J236" s="74" t="str">
        <f aca="false">IF(元データ_P!$A$234="","",元データ_P!$A$234)</f>
        <v/>
      </c>
      <c r="K236" s="74" t="str">
        <f aca="false">IF(LEFT(J236,1)="(",IFERROR(VALUE(MID(J236,2,FIND(")",J236)-2)),""),"")</f>
        <v/>
      </c>
      <c r="L236" s="75" t="str">
        <f aca="false">IF($K236="","",N(元データ_P!$B$234))</f>
        <v/>
      </c>
      <c r="M236" s="75" t="str">
        <f aca="false">IF($K236="","",N(元データ_P!$F$234))</f>
        <v/>
      </c>
      <c r="N236" s="74" t="str">
        <f aca="false">IF($K236="","",IF(COUNTIF(店舗マスタ!$B$5:$B$304,$K236)&gt;0,"登録済","未登録→マスタに追加"))</f>
        <v/>
      </c>
      <c r="P236" s="74" t="n">
        <v>234</v>
      </c>
      <c r="Q236" s="74" t="str">
        <f aca="false">IF(元データ_B!$A$234="","",元データ_B!$A$234)</f>
        <v/>
      </c>
      <c r="R236" s="74" t="str">
        <f aca="false">IF(LEFT(Q236,1)="(",IFERROR(VALUE(MID(Q236,2,FIND(")",Q236)-2)),""),"")</f>
        <v/>
      </c>
      <c r="S236" s="75" t="str">
        <f aca="false">IF($R236="","",N(元データ_B!$B$234))</f>
        <v/>
      </c>
      <c r="T236" s="75" t="str">
        <f aca="false">IF($R236="","",N(元データ_B!$F$234))</f>
        <v/>
      </c>
      <c r="U236" s="74" t="str">
        <f aca="false">IF($R236="","",IF(COUNTIF(店舗マスタ!$B$5:$B$304,$R236)&gt;0,"登録済","未登録→マスタに追加"))</f>
        <v/>
      </c>
    </row>
    <row r="237" customFormat="false" ht="15" hidden="false" customHeight="false" outlineLevel="0" collapsed="false">
      <c r="A237" s="74" t="n">
        <v>235</v>
      </c>
      <c r="B237" s="74" t="str">
        <f aca="false">IF(元データ_PB合計!$A$235="","",元データ_PB合計!$A$235)</f>
        <v/>
      </c>
      <c r="C237" s="74" t="str">
        <f aca="false">IF(LEFT(B237,1)="(",IFERROR(VALUE(MID(B237,2,FIND(")",B237)-2)),""),"")</f>
        <v/>
      </c>
      <c r="D237" s="75" t="str">
        <f aca="false">IF($C237="","",N(元データ_PB合計!$B$235))</f>
        <v/>
      </c>
      <c r="E237" s="75" t="str">
        <f aca="false">IF($C237="","",N(元データ_PB合計!$C$235))</f>
        <v/>
      </c>
      <c r="F237" s="75" t="str">
        <f aca="false">IF($C237="","",N(元データ_PB合計!$F$235))</f>
        <v/>
      </c>
      <c r="G237" s="74" t="str">
        <f aca="false">IF($C237="","",IF(COUNTIF(店舗マスタ!$B$5:$B$304,$C237)&gt;0,"登録済","未登録→マスタに追加"))</f>
        <v/>
      </c>
      <c r="I237" s="74" t="n">
        <v>235</v>
      </c>
      <c r="J237" s="74" t="str">
        <f aca="false">IF(元データ_P!$A$235="","",元データ_P!$A$235)</f>
        <v/>
      </c>
      <c r="K237" s="74" t="str">
        <f aca="false">IF(LEFT(J237,1)="(",IFERROR(VALUE(MID(J237,2,FIND(")",J237)-2)),""),"")</f>
        <v/>
      </c>
      <c r="L237" s="75" t="str">
        <f aca="false">IF($K237="","",N(元データ_P!$B$235))</f>
        <v/>
      </c>
      <c r="M237" s="75" t="str">
        <f aca="false">IF($K237="","",N(元データ_P!$F$235))</f>
        <v/>
      </c>
      <c r="N237" s="74" t="str">
        <f aca="false">IF($K237="","",IF(COUNTIF(店舗マスタ!$B$5:$B$304,$K237)&gt;0,"登録済","未登録→マスタに追加"))</f>
        <v/>
      </c>
      <c r="P237" s="74" t="n">
        <v>235</v>
      </c>
      <c r="Q237" s="74" t="str">
        <f aca="false">IF(元データ_B!$A$235="","",元データ_B!$A$235)</f>
        <v/>
      </c>
      <c r="R237" s="74" t="str">
        <f aca="false">IF(LEFT(Q237,1)="(",IFERROR(VALUE(MID(Q237,2,FIND(")",Q237)-2)),""),"")</f>
        <v/>
      </c>
      <c r="S237" s="75" t="str">
        <f aca="false">IF($R237="","",N(元データ_B!$B$235))</f>
        <v/>
      </c>
      <c r="T237" s="75" t="str">
        <f aca="false">IF($R237="","",N(元データ_B!$F$235))</f>
        <v/>
      </c>
      <c r="U237" s="74" t="str">
        <f aca="false">IF($R237="","",IF(COUNTIF(店舗マスタ!$B$5:$B$304,$R237)&gt;0,"登録済","未登録→マスタに追加"))</f>
        <v/>
      </c>
    </row>
    <row r="238" customFormat="false" ht="15" hidden="false" customHeight="false" outlineLevel="0" collapsed="false">
      <c r="A238" s="74" t="n">
        <v>236</v>
      </c>
      <c r="B238" s="74" t="str">
        <f aca="false">IF(元データ_PB合計!$A$236="","",元データ_PB合計!$A$236)</f>
        <v/>
      </c>
      <c r="C238" s="74" t="str">
        <f aca="false">IF(LEFT(B238,1)="(",IFERROR(VALUE(MID(B238,2,FIND(")",B238)-2)),""),"")</f>
        <v/>
      </c>
      <c r="D238" s="75" t="str">
        <f aca="false">IF($C238="","",N(元データ_PB合計!$B$236))</f>
        <v/>
      </c>
      <c r="E238" s="75" t="str">
        <f aca="false">IF($C238="","",N(元データ_PB合計!$C$236))</f>
        <v/>
      </c>
      <c r="F238" s="75" t="str">
        <f aca="false">IF($C238="","",N(元データ_PB合計!$F$236))</f>
        <v/>
      </c>
      <c r="G238" s="74" t="str">
        <f aca="false">IF($C238="","",IF(COUNTIF(店舗マスタ!$B$5:$B$304,$C238)&gt;0,"登録済","未登録→マスタに追加"))</f>
        <v/>
      </c>
      <c r="I238" s="74" t="n">
        <v>236</v>
      </c>
      <c r="J238" s="74" t="str">
        <f aca="false">IF(元データ_P!$A$236="","",元データ_P!$A$236)</f>
        <v/>
      </c>
      <c r="K238" s="74" t="str">
        <f aca="false">IF(LEFT(J238,1)="(",IFERROR(VALUE(MID(J238,2,FIND(")",J238)-2)),""),"")</f>
        <v/>
      </c>
      <c r="L238" s="75" t="str">
        <f aca="false">IF($K238="","",N(元データ_P!$B$236))</f>
        <v/>
      </c>
      <c r="M238" s="75" t="str">
        <f aca="false">IF($K238="","",N(元データ_P!$F$236))</f>
        <v/>
      </c>
      <c r="N238" s="74" t="str">
        <f aca="false">IF($K238="","",IF(COUNTIF(店舗マスタ!$B$5:$B$304,$K238)&gt;0,"登録済","未登録→マスタに追加"))</f>
        <v/>
      </c>
      <c r="P238" s="74" t="n">
        <v>236</v>
      </c>
      <c r="Q238" s="74" t="str">
        <f aca="false">IF(元データ_B!$A$236="","",元データ_B!$A$236)</f>
        <v/>
      </c>
      <c r="R238" s="74" t="str">
        <f aca="false">IF(LEFT(Q238,1)="(",IFERROR(VALUE(MID(Q238,2,FIND(")",Q238)-2)),""),"")</f>
        <v/>
      </c>
      <c r="S238" s="75" t="str">
        <f aca="false">IF($R238="","",N(元データ_B!$B$236))</f>
        <v/>
      </c>
      <c r="T238" s="75" t="str">
        <f aca="false">IF($R238="","",N(元データ_B!$F$236))</f>
        <v/>
      </c>
      <c r="U238" s="74" t="str">
        <f aca="false">IF($R238="","",IF(COUNTIF(店舗マスタ!$B$5:$B$304,$R238)&gt;0,"登録済","未登録→マスタに追加"))</f>
        <v/>
      </c>
    </row>
    <row r="239" customFormat="false" ht="15" hidden="false" customHeight="false" outlineLevel="0" collapsed="false">
      <c r="A239" s="74" t="n">
        <v>237</v>
      </c>
      <c r="B239" s="74" t="str">
        <f aca="false">IF(元データ_PB合計!$A$237="","",元データ_PB合計!$A$237)</f>
        <v/>
      </c>
      <c r="C239" s="74" t="str">
        <f aca="false">IF(LEFT(B239,1)="(",IFERROR(VALUE(MID(B239,2,FIND(")",B239)-2)),""),"")</f>
        <v/>
      </c>
      <c r="D239" s="75" t="str">
        <f aca="false">IF($C239="","",N(元データ_PB合計!$B$237))</f>
        <v/>
      </c>
      <c r="E239" s="75" t="str">
        <f aca="false">IF($C239="","",N(元データ_PB合計!$C$237))</f>
        <v/>
      </c>
      <c r="F239" s="75" t="str">
        <f aca="false">IF($C239="","",N(元データ_PB合計!$F$237))</f>
        <v/>
      </c>
      <c r="G239" s="74" t="str">
        <f aca="false">IF($C239="","",IF(COUNTIF(店舗マスタ!$B$5:$B$304,$C239)&gt;0,"登録済","未登録→マスタに追加"))</f>
        <v/>
      </c>
      <c r="I239" s="74" t="n">
        <v>237</v>
      </c>
      <c r="J239" s="74" t="str">
        <f aca="false">IF(元データ_P!$A$237="","",元データ_P!$A$237)</f>
        <v/>
      </c>
      <c r="K239" s="74" t="str">
        <f aca="false">IF(LEFT(J239,1)="(",IFERROR(VALUE(MID(J239,2,FIND(")",J239)-2)),""),"")</f>
        <v/>
      </c>
      <c r="L239" s="75" t="str">
        <f aca="false">IF($K239="","",N(元データ_P!$B$237))</f>
        <v/>
      </c>
      <c r="M239" s="75" t="str">
        <f aca="false">IF($K239="","",N(元データ_P!$F$237))</f>
        <v/>
      </c>
      <c r="N239" s="74" t="str">
        <f aca="false">IF($K239="","",IF(COUNTIF(店舗マスタ!$B$5:$B$304,$K239)&gt;0,"登録済","未登録→マスタに追加"))</f>
        <v/>
      </c>
      <c r="P239" s="74" t="n">
        <v>237</v>
      </c>
      <c r="Q239" s="74" t="str">
        <f aca="false">IF(元データ_B!$A$237="","",元データ_B!$A$237)</f>
        <v/>
      </c>
      <c r="R239" s="74" t="str">
        <f aca="false">IF(LEFT(Q239,1)="(",IFERROR(VALUE(MID(Q239,2,FIND(")",Q239)-2)),""),"")</f>
        <v/>
      </c>
      <c r="S239" s="75" t="str">
        <f aca="false">IF($R239="","",N(元データ_B!$B$237))</f>
        <v/>
      </c>
      <c r="T239" s="75" t="str">
        <f aca="false">IF($R239="","",N(元データ_B!$F$237))</f>
        <v/>
      </c>
      <c r="U239" s="74" t="str">
        <f aca="false">IF($R239="","",IF(COUNTIF(店舗マスタ!$B$5:$B$304,$R239)&gt;0,"登録済","未登録→マスタに追加"))</f>
        <v/>
      </c>
    </row>
    <row r="240" customFormat="false" ht="15" hidden="false" customHeight="false" outlineLevel="0" collapsed="false">
      <c r="A240" s="74" t="n">
        <v>238</v>
      </c>
      <c r="B240" s="74" t="str">
        <f aca="false">IF(元データ_PB合計!$A$238="","",元データ_PB合計!$A$238)</f>
        <v/>
      </c>
      <c r="C240" s="74" t="str">
        <f aca="false">IF(LEFT(B240,1)="(",IFERROR(VALUE(MID(B240,2,FIND(")",B240)-2)),""),"")</f>
        <v/>
      </c>
      <c r="D240" s="75" t="str">
        <f aca="false">IF($C240="","",N(元データ_PB合計!$B$238))</f>
        <v/>
      </c>
      <c r="E240" s="75" t="str">
        <f aca="false">IF($C240="","",N(元データ_PB合計!$C$238))</f>
        <v/>
      </c>
      <c r="F240" s="75" t="str">
        <f aca="false">IF($C240="","",N(元データ_PB合計!$F$238))</f>
        <v/>
      </c>
      <c r="G240" s="74" t="str">
        <f aca="false">IF($C240="","",IF(COUNTIF(店舗マスタ!$B$5:$B$304,$C240)&gt;0,"登録済","未登録→マスタに追加"))</f>
        <v/>
      </c>
      <c r="I240" s="74" t="n">
        <v>238</v>
      </c>
      <c r="J240" s="74" t="str">
        <f aca="false">IF(元データ_P!$A$238="","",元データ_P!$A$238)</f>
        <v/>
      </c>
      <c r="K240" s="74" t="str">
        <f aca="false">IF(LEFT(J240,1)="(",IFERROR(VALUE(MID(J240,2,FIND(")",J240)-2)),""),"")</f>
        <v/>
      </c>
      <c r="L240" s="75" t="str">
        <f aca="false">IF($K240="","",N(元データ_P!$B$238))</f>
        <v/>
      </c>
      <c r="M240" s="75" t="str">
        <f aca="false">IF($K240="","",N(元データ_P!$F$238))</f>
        <v/>
      </c>
      <c r="N240" s="74" t="str">
        <f aca="false">IF($K240="","",IF(COUNTIF(店舗マスタ!$B$5:$B$304,$K240)&gt;0,"登録済","未登録→マスタに追加"))</f>
        <v/>
      </c>
      <c r="P240" s="74" t="n">
        <v>238</v>
      </c>
      <c r="Q240" s="74" t="str">
        <f aca="false">IF(元データ_B!$A$238="","",元データ_B!$A$238)</f>
        <v/>
      </c>
      <c r="R240" s="74" t="str">
        <f aca="false">IF(LEFT(Q240,1)="(",IFERROR(VALUE(MID(Q240,2,FIND(")",Q240)-2)),""),"")</f>
        <v/>
      </c>
      <c r="S240" s="75" t="str">
        <f aca="false">IF($R240="","",N(元データ_B!$B$238))</f>
        <v/>
      </c>
      <c r="T240" s="75" t="str">
        <f aca="false">IF($R240="","",N(元データ_B!$F$238))</f>
        <v/>
      </c>
      <c r="U240" s="74" t="str">
        <f aca="false">IF($R240="","",IF(COUNTIF(店舗マスタ!$B$5:$B$304,$R240)&gt;0,"登録済","未登録→マスタに追加"))</f>
        <v/>
      </c>
    </row>
    <row r="241" customFormat="false" ht="15" hidden="false" customHeight="false" outlineLevel="0" collapsed="false">
      <c r="A241" s="74" t="n">
        <v>239</v>
      </c>
      <c r="B241" s="74" t="str">
        <f aca="false">IF(元データ_PB合計!$A$239="","",元データ_PB合計!$A$239)</f>
        <v/>
      </c>
      <c r="C241" s="74" t="str">
        <f aca="false">IF(LEFT(B241,1)="(",IFERROR(VALUE(MID(B241,2,FIND(")",B241)-2)),""),"")</f>
        <v/>
      </c>
      <c r="D241" s="75" t="str">
        <f aca="false">IF($C241="","",N(元データ_PB合計!$B$239))</f>
        <v/>
      </c>
      <c r="E241" s="75" t="str">
        <f aca="false">IF($C241="","",N(元データ_PB合計!$C$239))</f>
        <v/>
      </c>
      <c r="F241" s="75" t="str">
        <f aca="false">IF($C241="","",N(元データ_PB合計!$F$239))</f>
        <v/>
      </c>
      <c r="G241" s="74" t="str">
        <f aca="false">IF($C241="","",IF(COUNTIF(店舗マスタ!$B$5:$B$304,$C241)&gt;0,"登録済","未登録→マスタに追加"))</f>
        <v/>
      </c>
      <c r="I241" s="74" t="n">
        <v>239</v>
      </c>
      <c r="J241" s="74" t="str">
        <f aca="false">IF(元データ_P!$A$239="","",元データ_P!$A$239)</f>
        <v/>
      </c>
      <c r="K241" s="74" t="str">
        <f aca="false">IF(LEFT(J241,1)="(",IFERROR(VALUE(MID(J241,2,FIND(")",J241)-2)),""),"")</f>
        <v/>
      </c>
      <c r="L241" s="75" t="str">
        <f aca="false">IF($K241="","",N(元データ_P!$B$239))</f>
        <v/>
      </c>
      <c r="M241" s="75" t="str">
        <f aca="false">IF($K241="","",N(元データ_P!$F$239))</f>
        <v/>
      </c>
      <c r="N241" s="74" t="str">
        <f aca="false">IF($K241="","",IF(COUNTIF(店舗マスタ!$B$5:$B$304,$K241)&gt;0,"登録済","未登録→マスタに追加"))</f>
        <v/>
      </c>
      <c r="P241" s="74" t="n">
        <v>239</v>
      </c>
      <c r="Q241" s="74" t="str">
        <f aca="false">IF(元データ_B!$A$239="","",元データ_B!$A$239)</f>
        <v/>
      </c>
      <c r="R241" s="74" t="str">
        <f aca="false">IF(LEFT(Q241,1)="(",IFERROR(VALUE(MID(Q241,2,FIND(")",Q241)-2)),""),"")</f>
        <v/>
      </c>
      <c r="S241" s="75" t="str">
        <f aca="false">IF($R241="","",N(元データ_B!$B$239))</f>
        <v/>
      </c>
      <c r="T241" s="75" t="str">
        <f aca="false">IF($R241="","",N(元データ_B!$F$239))</f>
        <v/>
      </c>
      <c r="U241" s="74" t="str">
        <f aca="false">IF($R241="","",IF(COUNTIF(店舗マスタ!$B$5:$B$304,$R241)&gt;0,"登録済","未登録→マスタに追加"))</f>
        <v/>
      </c>
    </row>
    <row r="242" customFormat="false" ht="15" hidden="false" customHeight="false" outlineLevel="0" collapsed="false">
      <c r="A242" s="74" t="n">
        <v>240</v>
      </c>
      <c r="B242" s="74" t="str">
        <f aca="false">IF(元データ_PB合計!$A$240="","",元データ_PB合計!$A$240)</f>
        <v/>
      </c>
      <c r="C242" s="74" t="str">
        <f aca="false">IF(LEFT(B242,1)="(",IFERROR(VALUE(MID(B242,2,FIND(")",B242)-2)),""),"")</f>
        <v/>
      </c>
      <c r="D242" s="75" t="str">
        <f aca="false">IF($C242="","",N(元データ_PB合計!$B$240))</f>
        <v/>
      </c>
      <c r="E242" s="75" t="str">
        <f aca="false">IF($C242="","",N(元データ_PB合計!$C$240))</f>
        <v/>
      </c>
      <c r="F242" s="75" t="str">
        <f aca="false">IF($C242="","",N(元データ_PB合計!$F$240))</f>
        <v/>
      </c>
      <c r="G242" s="74" t="str">
        <f aca="false">IF($C242="","",IF(COUNTIF(店舗マスタ!$B$5:$B$304,$C242)&gt;0,"登録済","未登録→マスタに追加"))</f>
        <v/>
      </c>
      <c r="I242" s="74" t="n">
        <v>240</v>
      </c>
      <c r="J242" s="74" t="str">
        <f aca="false">IF(元データ_P!$A$240="","",元データ_P!$A$240)</f>
        <v/>
      </c>
      <c r="K242" s="74" t="str">
        <f aca="false">IF(LEFT(J242,1)="(",IFERROR(VALUE(MID(J242,2,FIND(")",J242)-2)),""),"")</f>
        <v/>
      </c>
      <c r="L242" s="75" t="str">
        <f aca="false">IF($K242="","",N(元データ_P!$B$240))</f>
        <v/>
      </c>
      <c r="M242" s="75" t="str">
        <f aca="false">IF($K242="","",N(元データ_P!$F$240))</f>
        <v/>
      </c>
      <c r="N242" s="74" t="str">
        <f aca="false">IF($K242="","",IF(COUNTIF(店舗マスタ!$B$5:$B$304,$K242)&gt;0,"登録済","未登録→マスタに追加"))</f>
        <v/>
      </c>
      <c r="P242" s="74" t="n">
        <v>240</v>
      </c>
      <c r="Q242" s="74" t="str">
        <f aca="false">IF(元データ_B!$A$240="","",元データ_B!$A$240)</f>
        <v/>
      </c>
      <c r="R242" s="74" t="str">
        <f aca="false">IF(LEFT(Q242,1)="(",IFERROR(VALUE(MID(Q242,2,FIND(")",Q242)-2)),""),"")</f>
        <v/>
      </c>
      <c r="S242" s="75" t="str">
        <f aca="false">IF($R242="","",N(元データ_B!$B$240))</f>
        <v/>
      </c>
      <c r="T242" s="75" t="str">
        <f aca="false">IF($R242="","",N(元データ_B!$F$240))</f>
        <v/>
      </c>
      <c r="U242" s="74" t="str">
        <f aca="false">IF($R242="","",IF(COUNTIF(店舗マスタ!$B$5:$B$304,$R242)&gt;0,"登録済","未登録→マスタに追加"))</f>
        <v/>
      </c>
    </row>
    <row r="243" customFormat="false" ht="15" hidden="false" customHeight="false" outlineLevel="0" collapsed="false">
      <c r="A243" s="74" t="n">
        <v>241</v>
      </c>
      <c r="B243" s="74" t="str">
        <f aca="false">IF(元データ_PB合計!$A$241="","",元データ_PB合計!$A$241)</f>
        <v/>
      </c>
      <c r="C243" s="74" t="str">
        <f aca="false">IF(LEFT(B243,1)="(",IFERROR(VALUE(MID(B243,2,FIND(")",B243)-2)),""),"")</f>
        <v/>
      </c>
      <c r="D243" s="75" t="str">
        <f aca="false">IF($C243="","",N(元データ_PB合計!$B$241))</f>
        <v/>
      </c>
      <c r="E243" s="75" t="str">
        <f aca="false">IF($C243="","",N(元データ_PB合計!$C$241))</f>
        <v/>
      </c>
      <c r="F243" s="75" t="str">
        <f aca="false">IF($C243="","",N(元データ_PB合計!$F$241))</f>
        <v/>
      </c>
      <c r="G243" s="74" t="str">
        <f aca="false">IF($C243="","",IF(COUNTIF(店舗マスタ!$B$5:$B$304,$C243)&gt;0,"登録済","未登録→マスタに追加"))</f>
        <v/>
      </c>
      <c r="I243" s="74" t="n">
        <v>241</v>
      </c>
      <c r="J243" s="74" t="str">
        <f aca="false">IF(元データ_P!$A$241="","",元データ_P!$A$241)</f>
        <v/>
      </c>
      <c r="K243" s="74" t="str">
        <f aca="false">IF(LEFT(J243,1)="(",IFERROR(VALUE(MID(J243,2,FIND(")",J243)-2)),""),"")</f>
        <v/>
      </c>
      <c r="L243" s="75" t="str">
        <f aca="false">IF($K243="","",N(元データ_P!$B$241))</f>
        <v/>
      </c>
      <c r="M243" s="75" t="str">
        <f aca="false">IF($K243="","",N(元データ_P!$F$241))</f>
        <v/>
      </c>
      <c r="N243" s="74" t="str">
        <f aca="false">IF($K243="","",IF(COUNTIF(店舗マスタ!$B$5:$B$304,$K243)&gt;0,"登録済","未登録→マスタに追加"))</f>
        <v/>
      </c>
      <c r="P243" s="74" t="n">
        <v>241</v>
      </c>
      <c r="Q243" s="74" t="str">
        <f aca="false">IF(元データ_B!$A$241="","",元データ_B!$A$241)</f>
        <v/>
      </c>
      <c r="R243" s="74" t="str">
        <f aca="false">IF(LEFT(Q243,1)="(",IFERROR(VALUE(MID(Q243,2,FIND(")",Q243)-2)),""),"")</f>
        <v/>
      </c>
      <c r="S243" s="75" t="str">
        <f aca="false">IF($R243="","",N(元データ_B!$B$241))</f>
        <v/>
      </c>
      <c r="T243" s="75" t="str">
        <f aca="false">IF($R243="","",N(元データ_B!$F$241))</f>
        <v/>
      </c>
      <c r="U243" s="74" t="str">
        <f aca="false">IF($R243="","",IF(COUNTIF(店舗マスタ!$B$5:$B$304,$R243)&gt;0,"登録済","未登録→マスタに追加"))</f>
        <v/>
      </c>
    </row>
    <row r="244" customFormat="false" ht="15" hidden="false" customHeight="false" outlineLevel="0" collapsed="false">
      <c r="A244" s="74" t="n">
        <v>242</v>
      </c>
      <c r="B244" s="74" t="str">
        <f aca="false">IF(元データ_PB合計!$A$242="","",元データ_PB合計!$A$242)</f>
        <v/>
      </c>
      <c r="C244" s="74" t="str">
        <f aca="false">IF(LEFT(B244,1)="(",IFERROR(VALUE(MID(B244,2,FIND(")",B244)-2)),""),"")</f>
        <v/>
      </c>
      <c r="D244" s="75" t="str">
        <f aca="false">IF($C244="","",N(元データ_PB合計!$B$242))</f>
        <v/>
      </c>
      <c r="E244" s="75" t="str">
        <f aca="false">IF($C244="","",N(元データ_PB合計!$C$242))</f>
        <v/>
      </c>
      <c r="F244" s="75" t="str">
        <f aca="false">IF($C244="","",N(元データ_PB合計!$F$242))</f>
        <v/>
      </c>
      <c r="G244" s="74" t="str">
        <f aca="false">IF($C244="","",IF(COUNTIF(店舗マスタ!$B$5:$B$304,$C244)&gt;0,"登録済","未登録→マスタに追加"))</f>
        <v/>
      </c>
      <c r="I244" s="74" t="n">
        <v>242</v>
      </c>
      <c r="J244" s="74" t="str">
        <f aca="false">IF(元データ_P!$A$242="","",元データ_P!$A$242)</f>
        <v/>
      </c>
      <c r="K244" s="74" t="str">
        <f aca="false">IF(LEFT(J244,1)="(",IFERROR(VALUE(MID(J244,2,FIND(")",J244)-2)),""),"")</f>
        <v/>
      </c>
      <c r="L244" s="75" t="str">
        <f aca="false">IF($K244="","",N(元データ_P!$B$242))</f>
        <v/>
      </c>
      <c r="M244" s="75" t="str">
        <f aca="false">IF($K244="","",N(元データ_P!$F$242))</f>
        <v/>
      </c>
      <c r="N244" s="74" t="str">
        <f aca="false">IF($K244="","",IF(COUNTIF(店舗マスタ!$B$5:$B$304,$K244)&gt;0,"登録済","未登録→マスタに追加"))</f>
        <v/>
      </c>
      <c r="P244" s="74" t="n">
        <v>242</v>
      </c>
      <c r="Q244" s="74" t="str">
        <f aca="false">IF(元データ_B!$A$242="","",元データ_B!$A$242)</f>
        <v/>
      </c>
      <c r="R244" s="74" t="str">
        <f aca="false">IF(LEFT(Q244,1)="(",IFERROR(VALUE(MID(Q244,2,FIND(")",Q244)-2)),""),"")</f>
        <v/>
      </c>
      <c r="S244" s="75" t="str">
        <f aca="false">IF($R244="","",N(元データ_B!$B$242))</f>
        <v/>
      </c>
      <c r="T244" s="75" t="str">
        <f aca="false">IF($R244="","",N(元データ_B!$F$242))</f>
        <v/>
      </c>
      <c r="U244" s="74" t="str">
        <f aca="false">IF($R244="","",IF(COUNTIF(店舗マスタ!$B$5:$B$304,$R244)&gt;0,"登録済","未登録→マスタに追加"))</f>
        <v/>
      </c>
    </row>
    <row r="245" customFormat="false" ht="15" hidden="false" customHeight="false" outlineLevel="0" collapsed="false">
      <c r="A245" s="74" t="n">
        <v>243</v>
      </c>
      <c r="B245" s="74" t="str">
        <f aca="false">IF(元データ_PB合計!$A$243="","",元データ_PB合計!$A$243)</f>
        <v/>
      </c>
      <c r="C245" s="74" t="str">
        <f aca="false">IF(LEFT(B245,1)="(",IFERROR(VALUE(MID(B245,2,FIND(")",B245)-2)),""),"")</f>
        <v/>
      </c>
      <c r="D245" s="75" t="str">
        <f aca="false">IF($C245="","",N(元データ_PB合計!$B$243))</f>
        <v/>
      </c>
      <c r="E245" s="75" t="str">
        <f aca="false">IF($C245="","",N(元データ_PB合計!$C$243))</f>
        <v/>
      </c>
      <c r="F245" s="75" t="str">
        <f aca="false">IF($C245="","",N(元データ_PB合計!$F$243))</f>
        <v/>
      </c>
      <c r="G245" s="74" t="str">
        <f aca="false">IF($C245="","",IF(COUNTIF(店舗マスタ!$B$5:$B$304,$C245)&gt;0,"登録済","未登録→マスタに追加"))</f>
        <v/>
      </c>
      <c r="I245" s="74" t="n">
        <v>243</v>
      </c>
      <c r="J245" s="74" t="str">
        <f aca="false">IF(元データ_P!$A$243="","",元データ_P!$A$243)</f>
        <v/>
      </c>
      <c r="K245" s="74" t="str">
        <f aca="false">IF(LEFT(J245,1)="(",IFERROR(VALUE(MID(J245,2,FIND(")",J245)-2)),""),"")</f>
        <v/>
      </c>
      <c r="L245" s="75" t="str">
        <f aca="false">IF($K245="","",N(元データ_P!$B$243))</f>
        <v/>
      </c>
      <c r="M245" s="75" t="str">
        <f aca="false">IF($K245="","",N(元データ_P!$F$243))</f>
        <v/>
      </c>
      <c r="N245" s="74" t="str">
        <f aca="false">IF($K245="","",IF(COUNTIF(店舗マスタ!$B$5:$B$304,$K245)&gt;0,"登録済","未登録→マスタに追加"))</f>
        <v/>
      </c>
      <c r="P245" s="74" t="n">
        <v>243</v>
      </c>
      <c r="Q245" s="74" t="str">
        <f aca="false">IF(元データ_B!$A$243="","",元データ_B!$A$243)</f>
        <v/>
      </c>
      <c r="R245" s="74" t="str">
        <f aca="false">IF(LEFT(Q245,1)="(",IFERROR(VALUE(MID(Q245,2,FIND(")",Q245)-2)),""),"")</f>
        <v/>
      </c>
      <c r="S245" s="75" t="str">
        <f aca="false">IF($R245="","",N(元データ_B!$B$243))</f>
        <v/>
      </c>
      <c r="T245" s="75" t="str">
        <f aca="false">IF($R245="","",N(元データ_B!$F$243))</f>
        <v/>
      </c>
      <c r="U245" s="74" t="str">
        <f aca="false">IF($R245="","",IF(COUNTIF(店舗マスタ!$B$5:$B$304,$R245)&gt;0,"登録済","未登録→マスタに追加"))</f>
        <v/>
      </c>
    </row>
    <row r="246" customFormat="false" ht="15" hidden="false" customHeight="false" outlineLevel="0" collapsed="false">
      <c r="A246" s="74" t="n">
        <v>244</v>
      </c>
      <c r="B246" s="74" t="str">
        <f aca="false">IF(元データ_PB合計!$A$244="","",元データ_PB合計!$A$244)</f>
        <v/>
      </c>
      <c r="C246" s="74" t="str">
        <f aca="false">IF(LEFT(B246,1)="(",IFERROR(VALUE(MID(B246,2,FIND(")",B246)-2)),""),"")</f>
        <v/>
      </c>
      <c r="D246" s="75" t="str">
        <f aca="false">IF($C246="","",N(元データ_PB合計!$B$244))</f>
        <v/>
      </c>
      <c r="E246" s="75" t="str">
        <f aca="false">IF($C246="","",N(元データ_PB合計!$C$244))</f>
        <v/>
      </c>
      <c r="F246" s="75" t="str">
        <f aca="false">IF($C246="","",N(元データ_PB合計!$F$244))</f>
        <v/>
      </c>
      <c r="G246" s="74" t="str">
        <f aca="false">IF($C246="","",IF(COUNTIF(店舗マスタ!$B$5:$B$304,$C246)&gt;0,"登録済","未登録→マスタに追加"))</f>
        <v/>
      </c>
      <c r="I246" s="74" t="n">
        <v>244</v>
      </c>
      <c r="J246" s="74" t="str">
        <f aca="false">IF(元データ_P!$A$244="","",元データ_P!$A$244)</f>
        <v/>
      </c>
      <c r="K246" s="74" t="str">
        <f aca="false">IF(LEFT(J246,1)="(",IFERROR(VALUE(MID(J246,2,FIND(")",J246)-2)),""),"")</f>
        <v/>
      </c>
      <c r="L246" s="75" t="str">
        <f aca="false">IF($K246="","",N(元データ_P!$B$244))</f>
        <v/>
      </c>
      <c r="M246" s="75" t="str">
        <f aca="false">IF($K246="","",N(元データ_P!$F$244))</f>
        <v/>
      </c>
      <c r="N246" s="74" t="str">
        <f aca="false">IF($K246="","",IF(COUNTIF(店舗マスタ!$B$5:$B$304,$K246)&gt;0,"登録済","未登録→マスタに追加"))</f>
        <v/>
      </c>
      <c r="P246" s="74" t="n">
        <v>244</v>
      </c>
      <c r="Q246" s="74" t="str">
        <f aca="false">IF(元データ_B!$A$244="","",元データ_B!$A$244)</f>
        <v/>
      </c>
      <c r="R246" s="74" t="str">
        <f aca="false">IF(LEFT(Q246,1)="(",IFERROR(VALUE(MID(Q246,2,FIND(")",Q246)-2)),""),"")</f>
        <v/>
      </c>
      <c r="S246" s="75" t="str">
        <f aca="false">IF($R246="","",N(元データ_B!$B$244))</f>
        <v/>
      </c>
      <c r="T246" s="75" t="str">
        <f aca="false">IF($R246="","",N(元データ_B!$F$244))</f>
        <v/>
      </c>
      <c r="U246" s="74" t="str">
        <f aca="false">IF($R246="","",IF(COUNTIF(店舗マスタ!$B$5:$B$304,$R246)&gt;0,"登録済","未登録→マスタに追加"))</f>
        <v/>
      </c>
    </row>
    <row r="247" customFormat="false" ht="15" hidden="false" customHeight="false" outlineLevel="0" collapsed="false">
      <c r="A247" s="74" t="n">
        <v>245</v>
      </c>
      <c r="B247" s="74" t="str">
        <f aca="false">IF(元データ_PB合計!$A$245="","",元データ_PB合計!$A$245)</f>
        <v/>
      </c>
      <c r="C247" s="74" t="str">
        <f aca="false">IF(LEFT(B247,1)="(",IFERROR(VALUE(MID(B247,2,FIND(")",B247)-2)),""),"")</f>
        <v/>
      </c>
      <c r="D247" s="75" t="str">
        <f aca="false">IF($C247="","",N(元データ_PB合計!$B$245))</f>
        <v/>
      </c>
      <c r="E247" s="75" t="str">
        <f aca="false">IF($C247="","",N(元データ_PB合計!$C$245))</f>
        <v/>
      </c>
      <c r="F247" s="75" t="str">
        <f aca="false">IF($C247="","",N(元データ_PB合計!$F$245))</f>
        <v/>
      </c>
      <c r="G247" s="74" t="str">
        <f aca="false">IF($C247="","",IF(COUNTIF(店舗マスタ!$B$5:$B$304,$C247)&gt;0,"登録済","未登録→マスタに追加"))</f>
        <v/>
      </c>
      <c r="I247" s="74" t="n">
        <v>245</v>
      </c>
      <c r="J247" s="74" t="str">
        <f aca="false">IF(元データ_P!$A$245="","",元データ_P!$A$245)</f>
        <v/>
      </c>
      <c r="K247" s="74" t="str">
        <f aca="false">IF(LEFT(J247,1)="(",IFERROR(VALUE(MID(J247,2,FIND(")",J247)-2)),""),"")</f>
        <v/>
      </c>
      <c r="L247" s="75" t="str">
        <f aca="false">IF($K247="","",N(元データ_P!$B$245))</f>
        <v/>
      </c>
      <c r="M247" s="75" t="str">
        <f aca="false">IF($K247="","",N(元データ_P!$F$245))</f>
        <v/>
      </c>
      <c r="N247" s="74" t="str">
        <f aca="false">IF($K247="","",IF(COUNTIF(店舗マスタ!$B$5:$B$304,$K247)&gt;0,"登録済","未登録→マスタに追加"))</f>
        <v/>
      </c>
      <c r="P247" s="74" t="n">
        <v>245</v>
      </c>
      <c r="Q247" s="74" t="str">
        <f aca="false">IF(元データ_B!$A$245="","",元データ_B!$A$245)</f>
        <v/>
      </c>
      <c r="R247" s="74" t="str">
        <f aca="false">IF(LEFT(Q247,1)="(",IFERROR(VALUE(MID(Q247,2,FIND(")",Q247)-2)),""),"")</f>
        <v/>
      </c>
      <c r="S247" s="75" t="str">
        <f aca="false">IF($R247="","",N(元データ_B!$B$245))</f>
        <v/>
      </c>
      <c r="T247" s="75" t="str">
        <f aca="false">IF($R247="","",N(元データ_B!$F$245))</f>
        <v/>
      </c>
      <c r="U247" s="74" t="str">
        <f aca="false">IF($R247="","",IF(COUNTIF(店舗マスタ!$B$5:$B$304,$R247)&gt;0,"登録済","未登録→マスタに追加"))</f>
        <v/>
      </c>
    </row>
    <row r="248" customFormat="false" ht="15" hidden="false" customHeight="false" outlineLevel="0" collapsed="false">
      <c r="A248" s="74" t="n">
        <v>246</v>
      </c>
      <c r="B248" s="74" t="str">
        <f aca="false">IF(元データ_PB合計!$A$246="","",元データ_PB合計!$A$246)</f>
        <v/>
      </c>
      <c r="C248" s="74" t="str">
        <f aca="false">IF(LEFT(B248,1)="(",IFERROR(VALUE(MID(B248,2,FIND(")",B248)-2)),""),"")</f>
        <v/>
      </c>
      <c r="D248" s="75" t="str">
        <f aca="false">IF($C248="","",N(元データ_PB合計!$B$246))</f>
        <v/>
      </c>
      <c r="E248" s="75" t="str">
        <f aca="false">IF($C248="","",N(元データ_PB合計!$C$246))</f>
        <v/>
      </c>
      <c r="F248" s="75" t="str">
        <f aca="false">IF($C248="","",N(元データ_PB合計!$F$246))</f>
        <v/>
      </c>
      <c r="G248" s="74" t="str">
        <f aca="false">IF($C248="","",IF(COUNTIF(店舗マスタ!$B$5:$B$304,$C248)&gt;0,"登録済","未登録→マスタに追加"))</f>
        <v/>
      </c>
      <c r="I248" s="74" t="n">
        <v>246</v>
      </c>
      <c r="J248" s="74" t="str">
        <f aca="false">IF(元データ_P!$A$246="","",元データ_P!$A$246)</f>
        <v/>
      </c>
      <c r="K248" s="74" t="str">
        <f aca="false">IF(LEFT(J248,1)="(",IFERROR(VALUE(MID(J248,2,FIND(")",J248)-2)),""),"")</f>
        <v/>
      </c>
      <c r="L248" s="75" t="str">
        <f aca="false">IF($K248="","",N(元データ_P!$B$246))</f>
        <v/>
      </c>
      <c r="M248" s="75" t="str">
        <f aca="false">IF($K248="","",N(元データ_P!$F$246))</f>
        <v/>
      </c>
      <c r="N248" s="74" t="str">
        <f aca="false">IF($K248="","",IF(COUNTIF(店舗マスタ!$B$5:$B$304,$K248)&gt;0,"登録済","未登録→マスタに追加"))</f>
        <v/>
      </c>
      <c r="P248" s="74" t="n">
        <v>246</v>
      </c>
      <c r="Q248" s="74" t="str">
        <f aca="false">IF(元データ_B!$A$246="","",元データ_B!$A$246)</f>
        <v/>
      </c>
      <c r="R248" s="74" t="str">
        <f aca="false">IF(LEFT(Q248,1)="(",IFERROR(VALUE(MID(Q248,2,FIND(")",Q248)-2)),""),"")</f>
        <v/>
      </c>
      <c r="S248" s="75" t="str">
        <f aca="false">IF($R248="","",N(元データ_B!$B$246))</f>
        <v/>
      </c>
      <c r="T248" s="75" t="str">
        <f aca="false">IF($R248="","",N(元データ_B!$F$246))</f>
        <v/>
      </c>
      <c r="U248" s="74" t="str">
        <f aca="false">IF($R248="","",IF(COUNTIF(店舗マスタ!$B$5:$B$304,$R248)&gt;0,"登録済","未登録→マスタに追加"))</f>
        <v/>
      </c>
    </row>
    <row r="249" customFormat="false" ht="15" hidden="false" customHeight="false" outlineLevel="0" collapsed="false">
      <c r="A249" s="74" t="n">
        <v>247</v>
      </c>
      <c r="B249" s="74" t="str">
        <f aca="false">IF(元データ_PB合計!$A$247="","",元データ_PB合計!$A$247)</f>
        <v/>
      </c>
      <c r="C249" s="74" t="str">
        <f aca="false">IF(LEFT(B249,1)="(",IFERROR(VALUE(MID(B249,2,FIND(")",B249)-2)),""),"")</f>
        <v/>
      </c>
      <c r="D249" s="75" t="str">
        <f aca="false">IF($C249="","",N(元データ_PB合計!$B$247))</f>
        <v/>
      </c>
      <c r="E249" s="75" t="str">
        <f aca="false">IF($C249="","",N(元データ_PB合計!$C$247))</f>
        <v/>
      </c>
      <c r="F249" s="75" t="str">
        <f aca="false">IF($C249="","",N(元データ_PB合計!$F$247))</f>
        <v/>
      </c>
      <c r="G249" s="74" t="str">
        <f aca="false">IF($C249="","",IF(COUNTIF(店舗マスタ!$B$5:$B$304,$C249)&gt;0,"登録済","未登録→マスタに追加"))</f>
        <v/>
      </c>
      <c r="I249" s="74" t="n">
        <v>247</v>
      </c>
      <c r="J249" s="74" t="str">
        <f aca="false">IF(元データ_P!$A$247="","",元データ_P!$A$247)</f>
        <v/>
      </c>
      <c r="K249" s="74" t="str">
        <f aca="false">IF(LEFT(J249,1)="(",IFERROR(VALUE(MID(J249,2,FIND(")",J249)-2)),""),"")</f>
        <v/>
      </c>
      <c r="L249" s="75" t="str">
        <f aca="false">IF($K249="","",N(元データ_P!$B$247))</f>
        <v/>
      </c>
      <c r="M249" s="75" t="str">
        <f aca="false">IF($K249="","",N(元データ_P!$F$247))</f>
        <v/>
      </c>
      <c r="N249" s="74" t="str">
        <f aca="false">IF($K249="","",IF(COUNTIF(店舗マスタ!$B$5:$B$304,$K249)&gt;0,"登録済","未登録→マスタに追加"))</f>
        <v/>
      </c>
      <c r="P249" s="74" t="n">
        <v>247</v>
      </c>
      <c r="Q249" s="74" t="str">
        <f aca="false">IF(元データ_B!$A$247="","",元データ_B!$A$247)</f>
        <v/>
      </c>
      <c r="R249" s="74" t="str">
        <f aca="false">IF(LEFT(Q249,1)="(",IFERROR(VALUE(MID(Q249,2,FIND(")",Q249)-2)),""),"")</f>
        <v/>
      </c>
      <c r="S249" s="75" t="str">
        <f aca="false">IF($R249="","",N(元データ_B!$B$247))</f>
        <v/>
      </c>
      <c r="T249" s="75" t="str">
        <f aca="false">IF($R249="","",N(元データ_B!$F$247))</f>
        <v/>
      </c>
      <c r="U249" s="74" t="str">
        <f aca="false">IF($R249="","",IF(COUNTIF(店舗マスタ!$B$5:$B$304,$R249)&gt;0,"登録済","未登録→マスタに追加"))</f>
        <v/>
      </c>
    </row>
    <row r="250" customFormat="false" ht="15" hidden="false" customHeight="false" outlineLevel="0" collapsed="false">
      <c r="A250" s="74" t="n">
        <v>248</v>
      </c>
      <c r="B250" s="74" t="str">
        <f aca="false">IF(元データ_PB合計!$A$248="","",元データ_PB合計!$A$248)</f>
        <v/>
      </c>
      <c r="C250" s="74" t="str">
        <f aca="false">IF(LEFT(B250,1)="(",IFERROR(VALUE(MID(B250,2,FIND(")",B250)-2)),""),"")</f>
        <v/>
      </c>
      <c r="D250" s="75" t="str">
        <f aca="false">IF($C250="","",N(元データ_PB合計!$B$248))</f>
        <v/>
      </c>
      <c r="E250" s="75" t="str">
        <f aca="false">IF($C250="","",N(元データ_PB合計!$C$248))</f>
        <v/>
      </c>
      <c r="F250" s="75" t="str">
        <f aca="false">IF($C250="","",N(元データ_PB合計!$F$248))</f>
        <v/>
      </c>
      <c r="G250" s="74" t="str">
        <f aca="false">IF($C250="","",IF(COUNTIF(店舗マスタ!$B$5:$B$304,$C250)&gt;0,"登録済","未登録→マスタに追加"))</f>
        <v/>
      </c>
      <c r="I250" s="74" t="n">
        <v>248</v>
      </c>
      <c r="J250" s="74" t="str">
        <f aca="false">IF(元データ_P!$A$248="","",元データ_P!$A$248)</f>
        <v/>
      </c>
      <c r="K250" s="74" t="str">
        <f aca="false">IF(LEFT(J250,1)="(",IFERROR(VALUE(MID(J250,2,FIND(")",J250)-2)),""),"")</f>
        <v/>
      </c>
      <c r="L250" s="75" t="str">
        <f aca="false">IF($K250="","",N(元データ_P!$B$248))</f>
        <v/>
      </c>
      <c r="M250" s="75" t="str">
        <f aca="false">IF($K250="","",N(元データ_P!$F$248))</f>
        <v/>
      </c>
      <c r="N250" s="74" t="str">
        <f aca="false">IF($K250="","",IF(COUNTIF(店舗マスタ!$B$5:$B$304,$K250)&gt;0,"登録済","未登録→マスタに追加"))</f>
        <v/>
      </c>
      <c r="P250" s="74" t="n">
        <v>248</v>
      </c>
      <c r="Q250" s="74" t="str">
        <f aca="false">IF(元データ_B!$A$248="","",元データ_B!$A$248)</f>
        <v/>
      </c>
      <c r="R250" s="74" t="str">
        <f aca="false">IF(LEFT(Q250,1)="(",IFERROR(VALUE(MID(Q250,2,FIND(")",Q250)-2)),""),"")</f>
        <v/>
      </c>
      <c r="S250" s="75" t="str">
        <f aca="false">IF($R250="","",N(元データ_B!$B$248))</f>
        <v/>
      </c>
      <c r="T250" s="75" t="str">
        <f aca="false">IF($R250="","",N(元データ_B!$F$248))</f>
        <v/>
      </c>
      <c r="U250" s="74" t="str">
        <f aca="false">IF($R250="","",IF(COUNTIF(店舗マスタ!$B$5:$B$304,$R250)&gt;0,"登録済","未登録→マスタに追加"))</f>
        <v/>
      </c>
    </row>
    <row r="251" customFormat="false" ht="15" hidden="false" customHeight="false" outlineLevel="0" collapsed="false">
      <c r="A251" s="74" t="n">
        <v>249</v>
      </c>
      <c r="B251" s="74" t="str">
        <f aca="false">IF(元データ_PB合計!$A$249="","",元データ_PB合計!$A$249)</f>
        <v/>
      </c>
      <c r="C251" s="74" t="str">
        <f aca="false">IF(LEFT(B251,1)="(",IFERROR(VALUE(MID(B251,2,FIND(")",B251)-2)),""),"")</f>
        <v/>
      </c>
      <c r="D251" s="75" t="str">
        <f aca="false">IF($C251="","",N(元データ_PB合計!$B$249))</f>
        <v/>
      </c>
      <c r="E251" s="75" t="str">
        <f aca="false">IF($C251="","",N(元データ_PB合計!$C$249))</f>
        <v/>
      </c>
      <c r="F251" s="75" t="str">
        <f aca="false">IF($C251="","",N(元データ_PB合計!$F$249))</f>
        <v/>
      </c>
      <c r="G251" s="74" t="str">
        <f aca="false">IF($C251="","",IF(COUNTIF(店舗マスタ!$B$5:$B$304,$C251)&gt;0,"登録済","未登録→マスタに追加"))</f>
        <v/>
      </c>
      <c r="I251" s="74" t="n">
        <v>249</v>
      </c>
      <c r="J251" s="74" t="str">
        <f aca="false">IF(元データ_P!$A$249="","",元データ_P!$A$249)</f>
        <v/>
      </c>
      <c r="K251" s="74" t="str">
        <f aca="false">IF(LEFT(J251,1)="(",IFERROR(VALUE(MID(J251,2,FIND(")",J251)-2)),""),"")</f>
        <v/>
      </c>
      <c r="L251" s="75" t="str">
        <f aca="false">IF($K251="","",N(元データ_P!$B$249))</f>
        <v/>
      </c>
      <c r="M251" s="75" t="str">
        <f aca="false">IF($K251="","",N(元データ_P!$F$249))</f>
        <v/>
      </c>
      <c r="N251" s="74" t="str">
        <f aca="false">IF($K251="","",IF(COUNTIF(店舗マスタ!$B$5:$B$304,$K251)&gt;0,"登録済","未登録→マスタに追加"))</f>
        <v/>
      </c>
      <c r="P251" s="74" t="n">
        <v>249</v>
      </c>
      <c r="Q251" s="74" t="str">
        <f aca="false">IF(元データ_B!$A$249="","",元データ_B!$A$249)</f>
        <v/>
      </c>
      <c r="R251" s="74" t="str">
        <f aca="false">IF(LEFT(Q251,1)="(",IFERROR(VALUE(MID(Q251,2,FIND(")",Q251)-2)),""),"")</f>
        <v/>
      </c>
      <c r="S251" s="75" t="str">
        <f aca="false">IF($R251="","",N(元データ_B!$B$249))</f>
        <v/>
      </c>
      <c r="T251" s="75" t="str">
        <f aca="false">IF($R251="","",N(元データ_B!$F$249))</f>
        <v/>
      </c>
      <c r="U251" s="74" t="str">
        <f aca="false">IF($R251="","",IF(COUNTIF(店舗マスタ!$B$5:$B$304,$R251)&gt;0,"登録済","未登録→マスタに追加"))</f>
        <v/>
      </c>
    </row>
    <row r="252" customFormat="false" ht="15" hidden="false" customHeight="false" outlineLevel="0" collapsed="false">
      <c r="A252" s="74" t="n">
        <v>250</v>
      </c>
      <c r="B252" s="74" t="str">
        <f aca="false">IF(元データ_PB合計!$A$250="","",元データ_PB合計!$A$250)</f>
        <v/>
      </c>
      <c r="C252" s="74" t="str">
        <f aca="false">IF(LEFT(B252,1)="(",IFERROR(VALUE(MID(B252,2,FIND(")",B252)-2)),""),"")</f>
        <v/>
      </c>
      <c r="D252" s="75" t="str">
        <f aca="false">IF($C252="","",N(元データ_PB合計!$B$250))</f>
        <v/>
      </c>
      <c r="E252" s="75" t="str">
        <f aca="false">IF($C252="","",N(元データ_PB合計!$C$250))</f>
        <v/>
      </c>
      <c r="F252" s="75" t="str">
        <f aca="false">IF($C252="","",N(元データ_PB合計!$F$250))</f>
        <v/>
      </c>
      <c r="G252" s="74" t="str">
        <f aca="false">IF($C252="","",IF(COUNTIF(店舗マスタ!$B$5:$B$304,$C252)&gt;0,"登録済","未登録→マスタに追加"))</f>
        <v/>
      </c>
      <c r="I252" s="74" t="n">
        <v>250</v>
      </c>
      <c r="J252" s="74" t="str">
        <f aca="false">IF(元データ_P!$A$250="","",元データ_P!$A$250)</f>
        <v/>
      </c>
      <c r="K252" s="74" t="str">
        <f aca="false">IF(LEFT(J252,1)="(",IFERROR(VALUE(MID(J252,2,FIND(")",J252)-2)),""),"")</f>
        <v/>
      </c>
      <c r="L252" s="75" t="str">
        <f aca="false">IF($K252="","",N(元データ_P!$B$250))</f>
        <v/>
      </c>
      <c r="M252" s="75" t="str">
        <f aca="false">IF($K252="","",N(元データ_P!$F$250))</f>
        <v/>
      </c>
      <c r="N252" s="74" t="str">
        <f aca="false">IF($K252="","",IF(COUNTIF(店舗マスタ!$B$5:$B$304,$K252)&gt;0,"登録済","未登録→マスタに追加"))</f>
        <v/>
      </c>
      <c r="P252" s="74" t="n">
        <v>250</v>
      </c>
      <c r="Q252" s="74" t="str">
        <f aca="false">IF(元データ_B!$A$250="","",元データ_B!$A$250)</f>
        <v/>
      </c>
      <c r="R252" s="74" t="str">
        <f aca="false">IF(LEFT(Q252,1)="(",IFERROR(VALUE(MID(Q252,2,FIND(")",Q252)-2)),""),"")</f>
        <v/>
      </c>
      <c r="S252" s="75" t="str">
        <f aca="false">IF($R252="","",N(元データ_B!$B$250))</f>
        <v/>
      </c>
      <c r="T252" s="75" t="str">
        <f aca="false">IF($R252="","",N(元データ_B!$F$250))</f>
        <v/>
      </c>
      <c r="U252" s="74" t="str">
        <f aca="false">IF($R252="","",IF(COUNTIF(店舗マスタ!$B$5:$B$304,$R252)&gt;0,"登録済","未登録→マスタに追加"))</f>
        <v/>
      </c>
    </row>
    <row r="253" customFormat="false" ht="15" hidden="false" customHeight="false" outlineLevel="0" collapsed="false">
      <c r="A253" s="74" t="n">
        <v>251</v>
      </c>
      <c r="B253" s="74" t="str">
        <f aca="false">IF(元データ_PB合計!$A$251="","",元データ_PB合計!$A$251)</f>
        <v/>
      </c>
      <c r="C253" s="74" t="str">
        <f aca="false">IF(LEFT(B253,1)="(",IFERROR(VALUE(MID(B253,2,FIND(")",B253)-2)),""),"")</f>
        <v/>
      </c>
      <c r="D253" s="75" t="str">
        <f aca="false">IF($C253="","",N(元データ_PB合計!$B$251))</f>
        <v/>
      </c>
      <c r="E253" s="75" t="str">
        <f aca="false">IF($C253="","",N(元データ_PB合計!$C$251))</f>
        <v/>
      </c>
      <c r="F253" s="75" t="str">
        <f aca="false">IF($C253="","",N(元データ_PB合計!$F$251))</f>
        <v/>
      </c>
      <c r="G253" s="74" t="str">
        <f aca="false">IF($C253="","",IF(COUNTIF(店舗マスタ!$B$5:$B$304,$C253)&gt;0,"登録済","未登録→マスタに追加"))</f>
        <v/>
      </c>
      <c r="I253" s="74" t="n">
        <v>251</v>
      </c>
      <c r="J253" s="74" t="str">
        <f aca="false">IF(元データ_P!$A$251="","",元データ_P!$A$251)</f>
        <v/>
      </c>
      <c r="K253" s="74" t="str">
        <f aca="false">IF(LEFT(J253,1)="(",IFERROR(VALUE(MID(J253,2,FIND(")",J253)-2)),""),"")</f>
        <v/>
      </c>
      <c r="L253" s="75" t="str">
        <f aca="false">IF($K253="","",N(元データ_P!$B$251))</f>
        <v/>
      </c>
      <c r="M253" s="75" t="str">
        <f aca="false">IF($K253="","",N(元データ_P!$F$251))</f>
        <v/>
      </c>
      <c r="N253" s="74" t="str">
        <f aca="false">IF($K253="","",IF(COUNTIF(店舗マスタ!$B$5:$B$304,$K253)&gt;0,"登録済","未登録→マスタに追加"))</f>
        <v/>
      </c>
      <c r="P253" s="74" t="n">
        <v>251</v>
      </c>
      <c r="Q253" s="74" t="str">
        <f aca="false">IF(元データ_B!$A$251="","",元データ_B!$A$251)</f>
        <v/>
      </c>
      <c r="R253" s="74" t="str">
        <f aca="false">IF(LEFT(Q253,1)="(",IFERROR(VALUE(MID(Q253,2,FIND(")",Q253)-2)),""),"")</f>
        <v/>
      </c>
      <c r="S253" s="75" t="str">
        <f aca="false">IF($R253="","",N(元データ_B!$B$251))</f>
        <v/>
      </c>
      <c r="T253" s="75" t="str">
        <f aca="false">IF($R253="","",N(元データ_B!$F$251))</f>
        <v/>
      </c>
      <c r="U253" s="74" t="str">
        <f aca="false">IF($R253="","",IF(COUNTIF(店舗マスタ!$B$5:$B$304,$R253)&gt;0,"登録済","未登録→マスタに追加"))</f>
        <v/>
      </c>
    </row>
    <row r="254" customFormat="false" ht="15" hidden="false" customHeight="false" outlineLevel="0" collapsed="false">
      <c r="A254" s="74" t="n">
        <v>252</v>
      </c>
      <c r="B254" s="74" t="str">
        <f aca="false">IF(元データ_PB合計!$A$252="","",元データ_PB合計!$A$252)</f>
        <v/>
      </c>
      <c r="C254" s="74" t="str">
        <f aca="false">IF(LEFT(B254,1)="(",IFERROR(VALUE(MID(B254,2,FIND(")",B254)-2)),""),"")</f>
        <v/>
      </c>
      <c r="D254" s="75" t="str">
        <f aca="false">IF($C254="","",N(元データ_PB合計!$B$252))</f>
        <v/>
      </c>
      <c r="E254" s="75" t="str">
        <f aca="false">IF($C254="","",N(元データ_PB合計!$C$252))</f>
        <v/>
      </c>
      <c r="F254" s="75" t="str">
        <f aca="false">IF($C254="","",N(元データ_PB合計!$F$252))</f>
        <v/>
      </c>
      <c r="G254" s="74" t="str">
        <f aca="false">IF($C254="","",IF(COUNTIF(店舗マスタ!$B$5:$B$304,$C254)&gt;0,"登録済","未登録→マスタに追加"))</f>
        <v/>
      </c>
      <c r="I254" s="74" t="n">
        <v>252</v>
      </c>
      <c r="J254" s="74" t="str">
        <f aca="false">IF(元データ_P!$A$252="","",元データ_P!$A$252)</f>
        <v/>
      </c>
      <c r="K254" s="74" t="str">
        <f aca="false">IF(LEFT(J254,1)="(",IFERROR(VALUE(MID(J254,2,FIND(")",J254)-2)),""),"")</f>
        <v/>
      </c>
      <c r="L254" s="75" t="str">
        <f aca="false">IF($K254="","",N(元データ_P!$B$252))</f>
        <v/>
      </c>
      <c r="M254" s="75" t="str">
        <f aca="false">IF($K254="","",N(元データ_P!$F$252))</f>
        <v/>
      </c>
      <c r="N254" s="74" t="str">
        <f aca="false">IF($K254="","",IF(COUNTIF(店舗マスタ!$B$5:$B$304,$K254)&gt;0,"登録済","未登録→マスタに追加"))</f>
        <v/>
      </c>
      <c r="P254" s="74" t="n">
        <v>252</v>
      </c>
      <c r="Q254" s="74" t="str">
        <f aca="false">IF(元データ_B!$A$252="","",元データ_B!$A$252)</f>
        <v/>
      </c>
      <c r="R254" s="74" t="str">
        <f aca="false">IF(LEFT(Q254,1)="(",IFERROR(VALUE(MID(Q254,2,FIND(")",Q254)-2)),""),"")</f>
        <v/>
      </c>
      <c r="S254" s="75" t="str">
        <f aca="false">IF($R254="","",N(元データ_B!$B$252))</f>
        <v/>
      </c>
      <c r="T254" s="75" t="str">
        <f aca="false">IF($R254="","",N(元データ_B!$F$252))</f>
        <v/>
      </c>
      <c r="U254" s="74" t="str">
        <f aca="false">IF($R254="","",IF(COUNTIF(店舗マスタ!$B$5:$B$304,$R254)&gt;0,"登録済","未登録→マスタに追加"))</f>
        <v/>
      </c>
    </row>
    <row r="255" customFormat="false" ht="15" hidden="false" customHeight="false" outlineLevel="0" collapsed="false">
      <c r="A255" s="74" t="n">
        <v>253</v>
      </c>
      <c r="B255" s="74" t="str">
        <f aca="false">IF(元データ_PB合計!$A$253="","",元データ_PB合計!$A$253)</f>
        <v/>
      </c>
      <c r="C255" s="74" t="str">
        <f aca="false">IF(LEFT(B255,1)="(",IFERROR(VALUE(MID(B255,2,FIND(")",B255)-2)),""),"")</f>
        <v/>
      </c>
      <c r="D255" s="75" t="str">
        <f aca="false">IF($C255="","",N(元データ_PB合計!$B$253))</f>
        <v/>
      </c>
      <c r="E255" s="75" t="str">
        <f aca="false">IF($C255="","",N(元データ_PB合計!$C$253))</f>
        <v/>
      </c>
      <c r="F255" s="75" t="str">
        <f aca="false">IF($C255="","",N(元データ_PB合計!$F$253))</f>
        <v/>
      </c>
      <c r="G255" s="74" t="str">
        <f aca="false">IF($C255="","",IF(COUNTIF(店舗マスタ!$B$5:$B$304,$C255)&gt;0,"登録済","未登録→マスタに追加"))</f>
        <v/>
      </c>
      <c r="I255" s="74" t="n">
        <v>253</v>
      </c>
      <c r="J255" s="74" t="str">
        <f aca="false">IF(元データ_P!$A$253="","",元データ_P!$A$253)</f>
        <v/>
      </c>
      <c r="K255" s="74" t="str">
        <f aca="false">IF(LEFT(J255,1)="(",IFERROR(VALUE(MID(J255,2,FIND(")",J255)-2)),""),"")</f>
        <v/>
      </c>
      <c r="L255" s="75" t="str">
        <f aca="false">IF($K255="","",N(元データ_P!$B$253))</f>
        <v/>
      </c>
      <c r="M255" s="75" t="str">
        <f aca="false">IF($K255="","",N(元データ_P!$F$253))</f>
        <v/>
      </c>
      <c r="N255" s="74" t="str">
        <f aca="false">IF($K255="","",IF(COUNTIF(店舗マスタ!$B$5:$B$304,$K255)&gt;0,"登録済","未登録→マスタに追加"))</f>
        <v/>
      </c>
      <c r="P255" s="74" t="n">
        <v>253</v>
      </c>
      <c r="Q255" s="74" t="str">
        <f aca="false">IF(元データ_B!$A$253="","",元データ_B!$A$253)</f>
        <v/>
      </c>
      <c r="R255" s="74" t="str">
        <f aca="false">IF(LEFT(Q255,1)="(",IFERROR(VALUE(MID(Q255,2,FIND(")",Q255)-2)),""),"")</f>
        <v/>
      </c>
      <c r="S255" s="75" t="str">
        <f aca="false">IF($R255="","",N(元データ_B!$B$253))</f>
        <v/>
      </c>
      <c r="T255" s="75" t="str">
        <f aca="false">IF($R255="","",N(元データ_B!$F$253))</f>
        <v/>
      </c>
      <c r="U255" s="74" t="str">
        <f aca="false">IF($R255="","",IF(COUNTIF(店舗マスタ!$B$5:$B$304,$R255)&gt;0,"登録済","未登録→マスタに追加"))</f>
        <v/>
      </c>
    </row>
    <row r="256" customFormat="false" ht="15" hidden="false" customHeight="false" outlineLevel="0" collapsed="false">
      <c r="A256" s="74" t="n">
        <v>254</v>
      </c>
      <c r="B256" s="74" t="str">
        <f aca="false">IF(元データ_PB合計!$A$254="","",元データ_PB合計!$A$254)</f>
        <v/>
      </c>
      <c r="C256" s="74" t="str">
        <f aca="false">IF(LEFT(B256,1)="(",IFERROR(VALUE(MID(B256,2,FIND(")",B256)-2)),""),"")</f>
        <v/>
      </c>
      <c r="D256" s="75" t="str">
        <f aca="false">IF($C256="","",N(元データ_PB合計!$B$254))</f>
        <v/>
      </c>
      <c r="E256" s="75" t="str">
        <f aca="false">IF($C256="","",N(元データ_PB合計!$C$254))</f>
        <v/>
      </c>
      <c r="F256" s="75" t="str">
        <f aca="false">IF($C256="","",N(元データ_PB合計!$F$254))</f>
        <v/>
      </c>
      <c r="G256" s="74" t="str">
        <f aca="false">IF($C256="","",IF(COUNTIF(店舗マスタ!$B$5:$B$304,$C256)&gt;0,"登録済","未登録→マスタに追加"))</f>
        <v/>
      </c>
      <c r="I256" s="74" t="n">
        <v>254</v>
      </c>
      <c r="J256" s="74" t="str">
        <f aca="false">IF(元データ_P!$A$254="","",元データ_P!$A$254)</f>
        <v/>
      </c>
      <c r="K256" s="74" t="str">
        <f aca="false">IF(LEFT(J256,1)="(",IFERROR(VALUE(MID(J256,2,FIND(")",J256)-2)),""),"")</f>
        <v/>
      </c>
      <c r="L256" s="75" t="str">
        <f aca="false">IF($K256="","",N(元データ_P!$B$254))</f>
        <v/>
      </c>
      <c r="M256" s="75" t="str">
        <f aca="false">IF($K256="","",N(元データ_P!$F$254))</f>
        <v/>
      </c>
      <c r="N256" s="74" t="str">
        <f aca="false">IF($K256="","",IF(COUNTIF(店舗マスタ!$B$5:$B$304,$K256)&gt;0,"登録済","未登録→マスタに追加"))</f>
        <v/>
      </c>
      <c r="P256" s="74" t="n">
        <v>254</v>
      </c>
      <c r="Q256" s="74" t="str">
        <f aca="false">IF(元データ_B!$A$254="","",元データ_B!$A$254)</f>
        <v/>
      </c>
      <c r="R256" s="74" t="str">
        <f aca="false">IF(LEFT(Q256,1)="(",IFERROR(VALUE(MID(Q256,2,FIND(")",Q256)-2)),""),"")</f>
        <v/>
      </c>
      <c r="S256" s="75" t="str">
        <f aca="false">IF($R256="","",N(元データ_B!$B$254))</f>
        <v/>
      </c>
      <c r="T256" s="75" t="str">
        <f aca="false">IF($R256="","",N(元データ_B!$F$254))</f>
        <v/>
      </c>
      <c r="U256" s="74" t="str">
        <f aca="false">IF($R256="","",IF(COUNTIF(店舗マスタ!$B$5:$B$304,$R256)&gt;0,"登録済","未登録→マスタに追加"))</f>
        <v/>
      </c>
    </row>
    <row r="257" customFormat="false" ht="15" hidden="false" customHeight="false" outlineLevel="0" collapsed="false">
      <c r="A257" s="74" t="n">
        <v>255</v>
      </c>
      <c r="B257" s="74" t="str">
        <f aca="false">IF(元データ_PB合計!$A$255="","",元データ_PB合計!$A$255)</f>
        <v/>
      </c>
      <c r="C257" s="74" t="str">
        <f aca="false">IF(LEFT(B257,1)="(",IFERROR(VALUE(MID(B257,2,FIND(")",B257)-2)),""),"")</f>
        <v/>
      </c>
      <c r="D257" s="75" t="str">
        <f aca="false">IF($C257="","",N(元データ_PB合計!$B$255))</f>
        <v/>
      </c>
      <c r="E257" s="75" t="str">
        <f aca="false">IF($C257="","",N(元データ_PB合計!$C$255))</f>
        <v/>
      </c>
      <c r="F257" s="75" t="str">
        <f aca="false">IF($C257="","",N(元データ_PB合計!$F$255))</f>
        <v/>
      </c>
      <c r="G257" s="74" t="str">
        <f aca="false">IF($C257="","",IF(COUNTIF(店舗マスタ!$B$5:$B$304,$C257)&gt;0,"登録済","未登録→マスタに追加"))</f>
        <v/>
      </c>
      <c r="I257" s="74" t="n">
        <v>255</v>
      </c>
      <c r="J257" s="74" t="str">
        <f aca="false">IF(元データ_P!$A$255="","",元データ_P!$A$255)</f>
        <v/>
      </c>
      <c r="K257" s="74" t="str">
        <f aca="false">IF(LEFT(J257,1)="(",IFERROR(VALUE(MID(J257,2,FIND(")",J257)-2)),""),"")</f>
        <v/>
      </c>
      <c r="L257" s="75" t="str">
        <f aca="false">IF($K257="","",N(元データ_P!$B$255))</f>
        <v/>
      </c>
      <c r="M257" s="75" t="str">
        <f aca="false">IF($K257="","",N(元データ_P!$F$255))</f>
        <v/>
      </c>
      <c r="N257" s="74" t="str">
        <f aca="false">IF($K257="","",IF(COUNTIF(店舗マスタ!$B$5:$B$304,$K257)&gt;0,"登録済","未登録→マスタに追加"))</f>
        <v/>
      </c>
      <c r="P257" s="74" t="n">
        <v>255</v>
      </c>
      <c r="Q257" s="74" t="str">
        <f aca="false">IF(元データ_B!$A$255="","",元データ_B!$A$255)</f>
        <v/>
      </c>
      <c r="R257" s="74" t="str">
        <f aca="false">IF(LEFT(Q257,1)="(",IFERROR(VALUE(MID(Q257,2,FIND(")",Q257)-2)),""),"")</f>
        <v/>
      </c>
      <c r="S257" s="75" t="str">
        <f aca="false">IF($R257="","",N(元データ_B!$B$255))</f>
        <v/>
      </c>
      <c r="T257" s="75" t="str">
        <f aca="false">IF($R257="","",N(元データ_B!$F$255))</f>
        <v/>
      </c>
      <c r="U257" s="74" t="str">
        <f aca="false">IF($R257="","",IF(COUNTIF(店舗マスタ!$B$5:$B$304,$R257)&gt;0,"登録済","未登録→マスタに追加"))</f>
        <v/>
      </c>
    </row>
    <row r="258" customFormat="false" ht="15" hidden="false" customHeight="false" outlineLevel="0" collapsed="false">
      <c r="A258" s="74" t="n">
        <v>256</v>
      </c>
      <c r="B258" s="74" t="str">
        <f aca="false">IF(元データ_PB合計!$A$256="","",元データ_PB合計!$A$256)</f>
        <v/>
      </c>
      <c r="C258" s="74" t="str">
        <f aca="false">IF(LEFT(B258,1)="(",IFERROR(VALUE(MID(B258,2,FIND(")",B258)-2)),""),"")</f>
        <v/>
      </c>
      <c r="D258" s="75" t="str">
        <f aca="false">IF($C258="","",N(元データ_PB合計!$B$256))</f>
        <v/>
      </c>
      <c r="E258" s="75" t="str">
        <f aca="false">IF($C258="","",N(元データ_PB合計!$C$256))</f>
        <v/>
      </c>
      <c r="F258" s="75" t="str">
        <f aca="false">IF($C258="","",N(元データ_PB合計!$F$256))</f>
        <v/>
      </c>
      <c r="G258" s="74" t="str">
        <f aca="false">IF($C258="","",IF(COUNTIF(店舗マスタ!$B$5:$B$304,$C258)&gt;0,"登録済","未登録→マスタに追加"))</f>
        <v/>
      </c>
      <c r="I258" s="74" t="n">
        <v>256</v>
      </c>
      <c r="J258" s="74" t="str">
        <f aca="false">IF(元データ_P!$A$256="","",元データ_P!$A$256)</f>
        <v/>
      </c>
      <c r="K258" s="74" t="str">
        <f aca="false">IF(LEFT(J258,1)="(",IFERROR(VALUE(MID(J258,2,FIND(")",J258)-2)),""),"")</f>
        <v/>
      </c>
      <c r="L258" s="75" t="str">
        <f aca="false">IF($K258="","",N(元データ_P!$B$256))</f>
        <v/>
      </c>
      <c r="M258" s="75" t="str">
        <f aca="false">IF($K258="","",N(元データ_P!$F$256))</f>
        <v/>
      </c>
      <c r="N258" s="74" t="str">
        <f aca="false">IF($K258="","",IF(COUNTIF(店舗マスタ!$B$5:$B$304,$K258)&gt;0,"登録済","未登録→マスタに追加"))</f>
        <v/>
      </c>
      <c r="P258" s="74" t="n">
        <v>256</v>
      </c>
      <c r="Q258" s="74" t="str">
        <f aca="false">IF(元データ_B!$A$256="","",元データ_B!$A$256)</f>
        <v/>
      </c>
      <c r="R258" s="74" t="str">
        <f aca="false">IF(LEFT(Q258,1)="(",IFERROR(VALUE(MID(Q258,2,FIND(")",Q258)-2)),""),"")</f>
        <v/>
      </c>
      <c r="S258" s="75" t="str">
        <f aca="false">IF($R258="","",N(元データ_B!$B$256))</f>
        <v/>
      </c>
      <c r="T258" s="75" t="str">
        <f aca="false">IF($R258="","",N(元データ_B!$F$256))</f>
        <v/>
      </c>
      <c r="U258" s="74" t="str">
        <f aca="false">IF($R258="","",IF(COUNTIF(店舗マスタ!$B$5:$B$304,$R258)&gt;0,"登録済","未登録→マスタに追加"))</f>
        <v/>
      </c>
    </row>
    <row r="259" customFormat="false" ht="15" hidden="false" customHeight="false" outlineLevel="0" collapsed="false">
      <c r="A259" s="74" t="n">
        <v>257</v>
      </c>
      <c r="B259" s="74" t="str">
        <f aca="false">IF(元データ_PB合計!$A$257="","",元データ_PB合計!$A$257)</f>
        <v/>
      </c>
      <c r="C259" s="74" t="str">
        <f aca="false">IF(LEFT(B259,1)="(",IFERROR(VALUE(MID(B259,2,FIND(")",B259)-2)),""),"")</f>
        <v/>
      </c>
      <c r="D259" s="75" t="str">
        <f aca="false">IF($C259="","",N(元データ_PB合計!$B$257))</f>
        <v/>
      </c>
      <c r="E259" s="75" t="str">
        <f aca="false">IF($C259="","",N(元データ_PB合計!$C$257))</f>
        <v/>
      </c>
      <c r="F259" s="75" t="str">
        <f aca="false">IF($C259="","",N(元データ_PB合計!$F$257))</f>
        <v/>
      </c>
      <c r="G259" s="74" t="str">
        <f aca="false">IF($C259="","",IF(COUNTIF(店舗マスタ!$B$5:$B$304,$C259)&gt;0,"登録済","未登録→マスタに追加"))</f>
        <v/>
      </c>
      <c r="I259" s="74" t="n">
        <v>257</v>
      </c>
      <c r="J259" s="74" t="str">
        <f aca="false">IF(元データ_P!$A$257="","",元データ_P!$A$257)</f>
        <v/>
      </c>
      <c r="K259" s="74" t="str">
        <f aca="false">IF(LEFT(J259,1)="(",IFERROR(VALUE(MID(J259,2,FIND(")",J259)-2)),""),"")</f>
        <v/>
      </c>
      <c r="L259" s="75" t="str">
        <f aca="false">IF($K259="","",N(元データ_P!$B$257))</f>
        <v/>
      </c>
      <c r="M259" s="75" t="str">
        <f aca="false">IF($K259="","",N(元データ_P!$F$257))</f>
        <v/>
      </c>
      <c r="N259" s="74" t="str">
        <f aca="false">IF($K259="","",IF(COUNTIF(店舗マスタ!$B$5:$B$304,$K259)&gt;0,"登録済","未登録→マスタに追加"))</f>
        <v/>
      </c>
      <c r="P259" s="74" t="n">
        <v>257</v>
      </c>
      <c r="Q259" s="74" t="str">
        <f aca="false">IF(元データ_B!$A$257="","",元データ_B!$A$257)</f>
        <v/>
      </c>
      <c r="R259" s="74" t="str">
        <f aca="false">IF(LEFT(Q259,1)="(",IFERROR(VALUE(MID(Q259,2,FIND(")",Q259)-2)),""),"")</f>
        <v/>
      </c>
      <c r="S259" s="75" t="str">
        <f aca="false">IF($R259="","",N(元データ_B!$B$257))</f>
        <v/>
      </c>
      <c r="T259" s="75" t="str">
        <f aca="false">IF($R259="","",N(元データ_B!$F$257))</f>
        <v/>
      </c>
      <c r="U259" s="74" t="str">
        <f aca="false">IF($R259="","",IF(COUNTIF(店舗マスタ!$B$5:$B$304,$R259)&gt;0,"登録済","未登録→マスタに追加"))</f>
        <v/>
      </c>
    </row>
    <row r="260" customFormat="false" ht="15" hidden="false" customHeight="false" outlineLevel="0" collapsed="false">
      <c r="A260" s="74" t="n">
        <v>258</v>
      </c>
      <c r="B260" s="74" t="str">
        <f aca="false">IF(元データ_PB合計!$A$258="","",元データ_PB合計!$A$258)</f>
        <v/>
      </c>
      <c r="C260" s="74" t="str">
        <f aca="false">IF(LEFT(B260,1)="(",IFERROR(VALUE(MID(B260,2,FIND(")",B260)-2)),""),"")</f>
        <v/>
      </c>
      <c r="D260" s="75" t="str">
        <f aca="false">IF($C260="","",N(元データ_PB合計!$B$258))</f>
        <v/>
      </c>
      <c r="E260" s="75" t="str">
        <f aca="false">IF($C260="","",N(元データ_PB合計!$C$258))</f>
        <v/>
      </c>
      <c r="F260" s="75" t="str">
        <f aca="false">IF($C260="","",N(元データ_PB合計!$F$258))</f>
        <v/>
      </c>
      <c r="G260" s="74" t="str">
        <f aca="false">IF($C260="","",IF(COUNTIF(店舗マスタ!$B$5:$B$304,$C260)&gt;0,"登録済","未登録→マスタに追加"))</f>
        <v/>
      </c>
      <c r="I260" s="74" t="n">
        <v>258</v>
      </c>
      <c r="J260" s="74" t="str">
        <f aca="false">IF(元データ_P!$A$258="","",元データ_P!$A$258)</f>
        <v/>
      </c>
      <c r="K260" s="74" t="str">
        <f aca="false">IF(LEFT(J260,1)="(",IFERROR(VALUE(MID(J260,2,FIND(")",J260)-2)),""),"")</f>
        <v/>
      </c>
      <c r="L260" s="75" t="str">
        <f aca="false">IF($K260="","",N(元データ_P!$B$258))</f>
        <v/>
      </c>
      <c r="M260" s="75" t="str">
        <f aca="false">IF($K260="","",N(元データ_P!$F$258))</f>
        <v/>
      </c>
      <c r="N260" s="74" t="str">
        <f aca="false">IF($K260="","",IF(COUNTIF(店舗マスタ!$B$5:$B$304,$K260)&gt;0,"登録済","未登録→マスタに追加"))</f>
        <v/>
      </c>
      <c r="P260" s="74" t="n">
        <v>258</v>
      </c>
      <c r="Q260" s="74" t="str">
        <f aca="false">IF(元データ_B!$A$258="","",元データ_B!$A$258)</f>
        <v/>
      </c>
      <c r="R260" s="74" t="str">
        <f aca="false">IF(LEFT(Q260,1)="(",IFERROR(VALUE(MID(Q260,2,FIND(")",Q260)-2)),""),"")</f>
        <v/>
      </c>
      <c r="S260" s="75" t="str">
        <f aca="false">IF($R260="","",N(元データ_B!$B$258))</f>
        <v/>
      </c>
      <c r="T260" s="75" t="str">
        <f aca="false">IF($R260="","",N(元データ_B!$F$258))</f>
        <v/>
      </c>
      <c r="U260" s="74" t="str">
        <f aca="false">IF($R260="","",IF(COUNTIF(店舗マスタ!$B$5:$B$304,$R260)&gt;0,"登録済","未登録→マスタに追加"))</f>
        <v/>
      </c>
    </row>
    <row r="261" customFormat="false" ht="15" hidden="false" customHeight="false" outlineLevel="0" collapsed="false">
      <c r="A261" s="74" t="n">
        <v>259</v>
      </c>
      <c r="B261" s="74" t="str">
        <f aca="false">IF(元データ_PB合計!$A$259="","",元データ_PB合計!$A$259)</f>
        <v/>
      </c>
      <c r="C261" s="74" t="str">
        <f aca="false">IF(LEFT(B261,1)="(",IFERROR(VALUE(MID(B261,2,FIND(")",B261)-2)),""),"")</f>
        <v/>
      </c>
      <c r="D261" s="75" t="str">
        <f aca="false">IF($C261="","",N(元データ_PB合計!$B$259))</f>
        <v/>
      </c>
      <c r="E261" s="75" t="str">
        <f aca="false">IF($C261="","",N(元データ_PB合計!$C$259))</f>
        <v/>
      </c>
      <c r="F261" s="75" t="str">
        <f aca="false">IF($C261="","",N(元データ_PB合計!$F$259))</f>
        <v/>
      </c>
      <c r="G261" s="74" t="str">
        <f aca="false">IF($C261="","",IF(COUNTIF(店舗マスタ!$B$5:$B$304,$C261)&gt;0,"登録済","未登録→マスタに追加"))</f>
        <v/>
      </c>
      <c r="I261" s="74" t="n">
        <v>259</v>
      </c>
      <c r="J261" s="74" t="str">
        <f aca="false">IF(元データ_P!$A$259="","",元データ_P!$A$259)</f>
        <v/>
      </c>
      <c r="K261" s="74" t="str">
        <f aca="false">IF(LEFT(J261,1)="(",IFERROR(VALUE(MID(J261,2,FIND(")",J261)-2)),""),"")</f>
        <v/>
      </c>
      <c r="L261" s="75" t="str">
        <f aca="false">IF($K261="","",N(元データ_P!$B$259))</f>
        <v/>
      </c>
      <c r="M261" s="75" t="str">
        <f aca="false">IF($K261="","",N(元データ_P!$F$259))</f>
        <v/>
      </c>
      <c r="N261" s="74" t="str">
        <f aca="false">IF($K261="","",IF(COUNTIF(店舗マスタ!$B$5:$B$304,$K261)&gt;0,"登録済","未登録→マスタに追加"))</f>
        <v/>
      </c>
      <c r="P261" s="74" t="n">
        <v>259</v>
      </c>
      <c r="Q261" s="74" t="str">
        <f aca="false">IF(元データ_B!$A$259="","",元データ_B!$A$259)</f>
        <v/>
      </c>
      <c r="R261" s="74" t="str">
        <f aca="false">IF(LEFT(Q261,1)="(",IFERROR(VALUE(MID(Q261,2,FIND(")",Q261)-2)),""),"")</f>
        <v/>
      </c>
      <c r="S261" s="75" t="str">
        <f aca="false">IF($R261="","",N(元データ_B!$B$259))</f>
        <v/>
      </c>
      <c r="T261" s="75" t="str">
        <f aca="false">IF($R261="","",N(元データ_B!$F$259))</f>
        <v/>
      </c>
      <c r="U261" s="74" t="str">
        <f aca="false">IF($R261="","",IF(COUNTIF(店舗マスタ!$B$5:$B$304,$R261)&gt;0,"登録済","未登録→マスタに追加"))</f>
        <v/>
      </c>
    </row>
    <row r="262" customFormat="false" ht="15" hidden="false" customHeight="false" outlineLevel="0" collapsed="false">
      <c r="A262" s="74" t="n">
        <v>260</v>
      </c>
      <c r="B262" s="74" t="str">
        <f aca="false">IF(元データ_PB合計!$A$260="","",元データ_PB合計!$A$260)</f>
        <v/>
      </c>
      <c r="C262" s="74" t="str">
        <f aca="false">IF(LEFT(B262,1)="(",IFERROR(VALUE(MID(B262,2,FIND(")",B262)-2)),""),"")</f>
        <v/>
      </c>
      <c r="D262" s="75" t="str">
        <f aca="false">IF($C262="","",N(元データ_PB合計!$B$260))</f>
        <v/>
      </c>
      <c r="E262" s="75" t="str">
        <f aca="false">IF($C262="","",N(元データ_PB合計!$C$260))</f>
        <v/>
      </c>
      <c r="F262" s="75" t="str">
        <f aca="false">IF($C262="","",N(元データ_PB合計!$F$260))</f>
        <v/>
      </c>
      <c r="G262" s="74" t="str">
        <f aca="false">IF($C262="","",IF(COUNTIF(店舗マスタ!$B$5:$B$304,$C262)&gt;0,"登録済","未登録→マスタに追加"))</f>
        <v/>
      </c>
      <c r="I262" s="74" t="n">
        <v>260</v>
      </c>
      <c r="J262" s="74" t="str">
        <f aca="false">IF(元データ_P!$A$260="","",元データ_P!$A$260)</f>
        <v/>
      </c>
      <c r="K262" s="74" t="str">
        <f aca="false">IF(LEFT(J262,1)="(",IFERROR(VALUE(MID(J262,2,FIND(")",J262)-2)),""),"")</f>
        <v/>
      </c>
      <c r="L262" s="75" t="str">
        <f aca="false">IF($K262="","",N(元データ_P!$B$260))</f>
        <v/>
      </c>
      <c r="M262" s="75" t="str">
        <f aca="false">IF($K262="","",N(元データ_P!$F$260))</f>
        <v/>
      </c>
      <c r="N262" s="74" t="str">
        <f aca="false">IF($K262="","",IF(COUNTIF(店舗マスタ!$B$5:$B$304,$K262)&gt;0,"登録済","未登録→マスタに追加"))</f>
        <v/>
      </c>
      <c r="P262" s="74" t="n">
        <v>260</v>
      </c>
      <c r="Q262" s="74" t="str">
        <f aca="false">IF(元データ_B!$A$260="","",元データ_B!$A$260)</f>
        <v/>
      </c>
      <c r="R262" s="74" t="str">
        <f aca="false">IF(LEFT(Q262,1)="(",IFERROR(VALUE(MID(Q262,2,FIND(")",Q262)-2)),""),"")</f>
        <v/>
      </c>
      <c r="S262" s="75" t="str">
        <f aca="false">IF($R262="","",N(元データ_B!$B$260))</f>
        <v/>
      </c>
      <c r="T262" s="75" t="str">
        <f aca="false">IF($R262="","",N(元データ_B!$F$260))</f>
        <v/>
      </c>
      <c r="U262" s="74" t="str">
        <f aca="false">IF($R262="","",IF(COUNTIF(店舗マスタ!$B$5:$B$304,$R262)&gt;0,"登録済","未登録→マスタに追加"))</f>
        <v/>
      </c>
    </row>
    <row r="263" customFormat="false" ht="15" hidden="false" customHeight="false" outlineLevel="0" collapsed="false">
      <c r="A263" s="74" t="n">
        <v>261</v>
      </c>
      <c r="B263" s="74" t="str">
        <f aca="false">IF(元データ_PB合計!$A$261="","",元データ_PB合計!$A$261)</f>
        <v/>
      </c>
      <c r="C263" s="74" t="str">
        <f aca="false">IF(LEFT(B263,1)="(",IFERROR(VALUE(MID(B263,2,FIND(")",B263)-2)),""),"")</f>
        <v/>
      </c>
      <c r="D263" s="75" t="str">
        <f aca="false">IF($C263="","",N(元データ_PB合計!$B$261))</f>
        <v/>
      </c>
      <c r="E263" s="75" t="str">
        <f aca="false">IF($C263="","",N(元データ_PB合計!$C$261))</f>
        <v/>
      </c>
      <c r="F263" s="75" t="str">
        <f aca="false">IF($C263="","",N(元データ_PB合計!$F$261))</f>
        <v/>
      </c>
      <c r="G263" s="74" t="str">
        <f aca="false">IF($C263="","",IF(COUNTIF(店舗マスタ!$B$5:$B$304,$C263)&gt;0,"登録済","未登録→マスタに追加"))</f>
        <v/>
      </c>
      <c r="I263" s="74" t="n">
        <v>261</v>
      </c>
      <c r="J263" s="74" t="str">
        <f aca="false">IF(元データ_P!$A$261="","",元データ_P!$A$261)</f>
        <v/>
      </c>
      <c r="K263" s="74" t="str">
        <f aca="false">IF(LEFT(J263,1)="(",IFERROR(VALUE(MID(J263,2,FIND(")",J263)-2)),""),"")</f>
        <v/>
      </c>
      <c r="L263" s="75" t="str">
        <f aca="false">IF($K263="","",N(元データ_P!$B$261))</f>
        <v/>
      </c>
      <c r="M263" s="75" t="str">
        <f aca="false">IF($K263="","",N(元データ_P!$F$261))</f>
        <v/>
      </c>
      <c r="N263" s="74" t="str">
        <f aca="false">IF($K263="","",IF(COUNTIF(店舗マスタ!$B$5:$B$304,$K263)&gt;0,"登録済","未登録→マスタに追加"))</f>
        <v/>
      </c>
      <c r="P263" s="74" t="n">
        <v>261</v>
      </c>
      <c r="Q263" s="74" t="str">
        <f aca="false">IF(元データ_B!$A$261="","",元データ_B!$A$261)</f>
        <v/>
      </c>
      <c r="R263" s="74" t="str">
        <f aca="false">IF(LEFT(Q263,1)="(",IFERROR(VALUE(MID(Q263,2,FIND(")",Q263)-2)),""),"")</f>
        <v/>
      </c>
      <c r="S263" s="75" t="str">
        <f aca="false">IF($R263="","",N(元データ_B!$B$261))</f>
        <v/>
      </c>
      <c r="T263" s="75" t="str">
        <f aca="false">IF($R263="","",N(元データ_B!$F$261))</f>
        <v/>
      </c>
      <c r="U263" s="74" t="str">
        <f aca="false">IF($R263="","",IF(COUNTIF(店舗マスタ!$B$5:$B$304,$R263)&gt;0,"登録済","未登録→マスタに追加"))</f>
        <v/>
      </c>
    </row>
    <row r="264" customFormat="false" ht="15" hidden="false" customHeight="false" outlineLevel="0" collapsed="false">
      <c r="A264" s="74" t="n">
        <v>262</v>
      </c>
      <c r="B264" s="74" t="str">
        <f aca="false">IF(元データ_PB合計!$A$262="","",元データ_PB合計!$A$262)</f>
        <v/>
      </c>
      <c r="C264" s="74" t="str">
        <f aca="false">IF(LEFT(B264,1)="(",IFERROR(VALUE(MID(B264,2,FIND(")",B264)-2)),""),"")</f>
        <v/>
      </c>
      <c r="D264" s="75" t="str">
        <f aca="false">IF($C264="","",N(元データ_PB合計!$B$262))</f>
        <v/>
      </c>
      <c r="E264" s="75" t="str">
        <f aca="false">IF($C264="","",N(元データ_PB合計!$C$262))</f>
        <v/>
      </c>
      <c r="F264" s="75" t="str">
        <f aca="false">IF($C264="","",N(元データ_PB合計!$F$262))</f>
        <v/>
      </c>
      <c r="G264" s="74" t="str">
        <f aca="false">IF($C264="","",IF(COUNTIF(店舗マスタ!$B$5:$B$304,$C264)&gt;0,"登録済","未登録→マスタに追加"))</f>
        <v/>
      </c>
      <c r="I264" s="74" t="n">
        <v>262</v>
      </c>
      <c r="J264" s="74" t="str">
        <f aca="false">IF(元データ_P!$A$262="","",元データ_P!$A$262)</f>
        <v/>
      </c>
      <c r="K264" s="74" t="str">
        <f aca="false">IF(LEFT(J264,1)="(",IFERROR(VALUE(MID(J264,2,FIND(")",J264)-2)),""),"")</f>
        <v/>
      </c>
      <c r="L264" s="75" t="str">
        <f aca="false">IF($K264="","",N(元データ_P!$B$262))</f>
        <v/>
      </c>
      <c r="M264" s="75" t="str">
        <f aca="false">IF($K264="","",N(元データ_P!$F$262))</f>
        <v/>
      </c>
      <c r="N264" s="74" t="str">
        <f aca="false">IF($K264="","",IF(COUNTIF(店舗マスタ!$B$5:$B$304,$K264)&gt;0,"登録済","未登録→マスタに追加"))</f>
        <v/>
      </c>
      <c r="P264" s="74" t="n">
        <v>262</v>
      </c>
      <c r="Q264" s="74" t="str">
        <f aca="false">IF(元データ_B!$A$262="","",元データ_B!$A$262)</f>
        <v/>
      </c>
      <c r="R264" s="74" t="str">
        <f aca="false">IF(LEFT(Q264,1)="(",IFERROR(VALUE(MID(Q264,2,FIND(")",Q264)-2)),""),"")</f>
        <v/>
      </c>
      <c r="S264" s="75" t="str">
        <f aca="false">IF($R264="","",N(元データ_B!$B$262))</f>
        <v/>
      </c>
      <c r="T264" s="75" t="str">
        <f aca="false">IF($R264="","",N(元データ_B!$F$262))</f>
        <v/>
      </c>
      <c r="U264" s="74" t="str">
        <f aca="false">IF($R264="","",IF(COUNTIF(店舗マスタ!$B$5:$B$304,$R264)&gt;0,"登録済","未登録→マスタに追加"))</f>
        <v/>
      </c>
    </row>
    <row r="265" customFormat="false" ht="15" hidden="false" customHeight="false" outlineLevel="0" collapsed="false">
      <c r="A265" s="74" t="n">
        <v>263</v>
      </c>
      <c r="B265" s="74" t="str">
        <f aca="false">IF(元データ_PB合計!$A$263="","",元データ_PB合計!$A$263)</f>
        <v/>
      </c>
      <c r="C265" s="74" t="str">
        <f aca="false">IF(LEFT(B265,1)="(",IFERROR(VALUE(MID(B265,2,FIND(")",B265)-2)),""),"")</f>
        <v/>
      </c>
      <c r="D265" s="75" t="str">
        <f aca="false">IF($C265="","",N(元データ_PB合計!$B$263))</f>
        <v/>
      </c>
      <c r="E265" s="75" t="str">
        <f aca="false">IF($C265="","",N(元データ_PB合計!$C$263))</f>
        <v/>
      </c>
      <c r="F265" s="75" t="str">
        <f aca="false">IF($C265="","",N(元データ_PB合計!$F$263))</f>
        <v/>
      </c>
      <c r="G265" s="74" t="str">
        <f aca="false">IF($C265="","",IF(COUNTIF(店舗マスタ!$B$5:$B$304,$C265)&gt;0,"登録済","未登録→マスタに追加"))</f>
        <v/>
      </c>
      <c r="I265" s="74" t="n">
        <v>263</v>
      </c>
      <c r="J265" s="74" t="str">
        <f aca="false">IF(元データ_P!$A$263="","",元データ_P!$A$263)</f>
        <v/>
      </c>
      <c r="K265" s="74" t="str">
        <f aca="false">IF(LEFT(J265,1)="(",IFERROR(VALUE(MID(J265,2,FIND(")",J265)-2)),""),"")</f>
        <v/>
      </c>
      <c r="L265" s="75" t="str">
        <f aca="false">IF($K265="","",N(元データ_P!$B$263))</f>
        <v/>
      </c>
      <c r="M265" s="75" t="str">
        <f aca="false">IF($K265="","",N(元データ_P!$F$263))</f>
        <v/>
      </c>
      <c r="N265" s="74" t="str">
        <f aca="false">IF($K265="","",IF(COUNTIF(店舗マスタ!$B$5:$B$304,$K265)&gt;0,"登録済","未登録→マスタに追加"))</f>
        <v/>
      </c>
      <c r="P265" s="74" t="n">
        <v>263</v>
      </c>
      <c r="Q265" s="74" t="str">
        <f aca="false">IF(元データ_B!$A$263="","",元データ_B!$A$263)</f>
        <v/>
      </c>
      <c r="R265" s="74" t="str">
        <f aca="false">IF(LEFT(Q265,1)="(",IFERROR(VALUE(MID(Q265,2,FIND(")",Q265)-2)),""),"")</f>
        <v/>
      </c>
      <c r="S265" s="75" t="str">
        <f aca="false">IF($R265="","",N(元データ_B!$B$263))</f>
        <v/>
      </c>
      <c r="T265" s="75" t="str">
        <f aca="false">IF($R265="","",N(元データ_B!$F$263))</f>
        <v/>
      </c>
      <c r="U265" s="74" t="str">
        <f aca="false">IF($R265="","",IF(COUNTIF(店舗マスタ!$B$5:$B$304,$R265)&gt;0,"登録済","未登録→マスタに追加"))</f>
        <v/>
      </c>
    </row>
    <row r="266" customFormat="false" ht="15" hidden="false" customHeight="false" outlineLevel="0" collapsed="false">
      <c r="A266" s="74" t="n">
        <v>264</v>
      </c>
      <c r="B266" s="74" t="str">
        <f aca="false">IF(元データ_PB合計!$A$264="","",元データ_PB合計!$A$264)</f>
        <v/>
      </c>
      <c r="C266" s="74" t="str">
        <f aca="false">IF(LEFT(B266,1)="(",IFERROR(VALUE(MID(B266,2,FIND(")",B266)-2)),""),"")</f>
        <v/>
      </c>
      <c r="D266" s="75" t="str">
        <f aca="false">IF($C266="","",N(元データ_PB合計!$B$264))</f>
        <v/>
      </c>
      <c r="E266" s="75" t="str">
        <f aca="false">IF($C266="","",N(元データ_PB合計!$C$264))</f>
        <v/>
      </c>
      <c r="F266" s="75" t="str">
        <f aca="false">IF($C266="","",N(元データ_PB合計!$F$264))</f>
        <v/>
      </c>
      <c r="G266" s="74" t="str">
        <f aca="false">IF($C266="","",IF(COUNTIF(店舗マスタ!$B$5:$B$304,$C266)&gt;0,"登録済","未登録→マスタに追加"))</f>
        <v/>
      </c>
      <c r="I266" s="74" t="n">
        <v>264</v>
      </c>
      <c r="J266" s="74" t="str">
        <f aca="false">IF(元データ_P!$A$264="","",元データ_P!$A$264)</f>
        <v/>
      </c>
      <c r="K266" s="74" t="str">
        <f aca="false">IF(LEFT(J266,1)="(",IFERROR(VALUE(MID(J266,2,FIND(")",J266)-2)),""),"")</f>
        <v/>
      </c>
      <c r="L266" s="75" t="str">
        <f aca="false">IF($K266="","",N(元データ_P!$B$264))</f>
        <v/>
      </c>
      <c r="M266" s="75" t="str">
        <f aca="false">IF($K266="","",N(元データ_P!$F$264))</f>
        <v/>
      </c>
      <c r="N266" s="74" t="str">
        <f aca="false">IF($K266="","",IF(COUNTIF(店舗マスタ!$B$5:$B$304,$K266)&gt;0,"登録済","未登録→マスタに追加"))</f>
        <v/>
      </c>
      <c r="P266" s="74" t="n">
        <v>264</v>
      </c>
      <c r="Q266" s="74" t="str">
        <f aca="false">IF(元データ_B!$A$264="","",元データ_B!$A$264)</f>
        <v/>
      </c>
      <c r="R266" s="74" t="str">
        <f aca="false">IF(LEFT(Q266,1)="(",IFERROR(VALUE(MID(Q266,2,FIND(")",Q266)-2)),""),"")</f>
        <v/>
      </c>
      <c r="S266" s="75" t="str">
        <f aca="false">IF($R266="","",N(元データ_B!$B$264))</f>
        <v/>
      </c>
      <c r="T266" s="75" t="str">
        <f aca="false">IF($R266="","",N(元データ_B!$F$264))</f>
        <v/>
      </c>
      <c r="U266" s="74" t="str">
        <f aca="false">IF($R266="","",IF(COUNTIF(店舗マスタ!$B$5:$B$304,$R266)&gt;0,"登録済","未登録→マスタに追加"))</f>
        <v/>
      </c>
    </row>
    <row r="267" customFormat="false" ht="15" hidden="false" customHeight="false" outlineLevel="0" collapsed="false">
      <c r="A267" s="74" t="n">
        <v>265</v>
      </c>
      <c r="B267" s="74" t="str">
        <f aca="false">IF(元データ_PB合計!$A$265="","",元データ_PB合計!$A$265)</f>
        <v/>
      </c>
      <c r="C267" s="74" t="str">
        <f aca="false">IF(LEFT(B267,1)="(",IFERROR(VALUE(MID(B267,2,FIND(")",B267)-2)),""),"")</f>
        <v/>
      </c>
      <c r="D267" s="75" t="str">
        <f aca="false">IF($C267="","",N(元データ_PB合計!$B$265))</f>
        <v/>
      </c>
      <c r="E267" s="75" t="str">
        <f aca="false">IF($C267="","",N(元データ_PB合計!$C$265))</f>
        <v/>
      </c>
      <c r="F267" s="75" t="str">
        <f aca="false">IF($C267="","",N(元データ_PB合計!$F$265))</f>
        <v/>
      </c>
      <c r="G267" s="74" t="str">
        <f aca="false">IF($C267="","",IF(COUNTIF(店舗マスタ!$B$5:$B$304,$C267)&gt;0,"登録済","未登録→マスタに追加"))</f>
        <v/>
      </c>
      <c r="I267" s="74" t="n">
        <v>265</v>
      </c>
      <c r="J267" s="74" t="str">
        <f aca="false">IF(元データ_P!$A$265="","",元データ_P!$A$265)</f>
        <v/>
      </c>
      <c r="K267" s="74" t="str">
        <f aca="false">IF(LEFT(J267,1)="(",IFERROR(VALUE(MID(J267,2,FIND(")",J267)-2)),""),"")</f>
        <v/>
      </c>
      <c r="L267" s="75" t="str">
        <f aca="false">IF($K267="","",N(元データ_P!$B$265))</f>
        <v/>
      </c>
      <c r="M267" s="75" t="str">
        <f aca="false">IF($K267="","",N(元データ_P!$F$265))</f>
        <v/>
      </c>
      <c r="N267" s="74" t="str">
        <f aca="false">IF($K267="","",IF(COUNTIF(店舗マスタ!$B$5:$B$304,$K267)&gt;0,"登録済","未登録→マスタに追加"))</f>
        <v/>
      </c>
      <c r="P267" s="74" t="n">
        <v>265</v>
      </c>
      <c r="Q267" s="74" t="str">
        <f aca="false">IF(元データ_B!$A$265="","",元データ_B!$A$265)</f>
        <v/>
      </c>
      <c r="R267" s="74" t="str">
        <f aca="false">IF(LEFT(Q267,1)="(",IFERROR(VALUE(MID(Q267,2,FIND(")",Q267)-2)),""),"")</f>
        <v/>
      </c>
      <c r="S267" s="75" t="str">
        <f aca="false">IF($R267="","",N(元データ_B!$B$265))</f>
        <v/>
      </c>
      <c r="T267" s="75" t="str">
        <f aca="false">IF($R267="","",N(元データ_B!$F$265))</f>
        <v/>
      </c>
      <c r="U267" s="74" t="str">
        <f aca="false">IF($R267="","",IF(COUNTIF(店舗マスタ!$B$5:$B$304,$R267)&gt;0,"登録済","未登録→マスタに追加"))</f>
        <v/>
      </c>
    </row>
    <row r="268" customFormat="false" ht="15" hidden="false" customHeight="false" outlineLevel="0" collapsed="false">
      <c r="A268" s="74" t="n">
        <v>266</v>
      </c>
      <c r="B268" s="74" t="str">
        <f aca="false">IF(元データ_PB合計!$A$266="","",元データ_PB合計!$A$266)</f>
        <v/>
      </c>
      <c r="C268" s="74" t="str">
        <f aca="false">IF(LEFT(B268,1)="(",IFERROR(VALUE(MID(B268,2,FIND(")",B268)-2)),""),"")</f>
        <v/>
      </c>
      <c r="D268" s="75" t="str">
        <f aca="false">IF($C268="","",N(元データ_PB合計!$B$266))</f>
        <v/>
      </c>
      <c r="E268" s="75" t="str">
        <f aca="false">IF($C268="","",N(元データ_PB合計!$C$266))</f>
        <v/>
      </c>
      <c r="F268" s="75" t="str">
        <f aca="false">IF($C268="","",N(元データ_PB合計!$F$266))</f>
        <v/>
      </c>
      <c r="G268" s="74" t="str">
        <f aca="false">IF($C268="","",IF(COUNTIF(店舗マスタ!$B$5:$B$304,$C268)&gt;0,"登録済","未登録→マスタに追加"))</f>
        <v/>
      </c>
      <c r="I268" s="74" t="n">
        <v>266</v>
      </c>
      <c r="J268" s="74" t="str">
        <f aca="false">IF(元データ_P!$A$266="","",元データ_P!$A$266)</f>
        <v/>
      </c>
      <c r="K268" s="74" t="str">
        <f aca="false">IF(LEFT(J268,1)="(",IFERROR(VALUE(MID(J268,2,FIND(")",J268)-2)),""),"")</f>
        <v/>
      </c>
      <c r="L268" s="75" t="str">
        <f aca="false">IF($K268="","",N(元データ_P!$B$266))</f>
        <v/>
      </c>
      <c r="M268" s="75" t="str">
        <f aca="false">IF($K268="","",N(元データ_P!$F$266))</f>
        <v/>
      </c>
      <c r="N268" s="74" t="str">
        <f aca="false">IF($K268="","",IF(COUNTIF(店舗マスタ!$B$5:$B$304,$K268)&gt;0,"登録済","未登録→マスタに追加"))</f>
        <v/>
      </c>
      <c r="P268" s="74" t="n">
        <v>266</v>
      </c>
      <c r="Q268" s="74" t="str">
        <f aca="false">IF(元データ_B!$A$266="","",元データ_B!$A$266)</f>
        <v/>
      </c>
      <c r="R268" s="74" t="str">
        <f aca="false">IF(LEFT(Q268,1)="(",IFERROR(VALUE(MID(Q268,2,FIND(")",Q268)-2)),""),"")</f>
        <v/>
      </c>
      <c r="S268" s="75" t="str">
        <f aca="false">IF($R268="","",N(元データ_B!$B$266))</f>
        <v/>
      </c>
      <c r="T268" s="75" t="str">
        <f aca="false">IF($R268="","",N(元データ_B!$F$266))</f>
        <v/>
      </c>
      <c r="U268" s="74" t="str">
        <f aca="false">IF($R268="","",IF(COUNTIF(店舗マスタ!$B$5:$B$304,$R268)&gt;0,"登録済","未登録→マスタに追加"))</f>
        <v/>
      </c>
    </row>
    <row r="269" customFormat="false" ht="15" hidden="false" customHeight="false" outlineLevel="0" collapsed="false">
      <c r="A269" s="74" t="n">
        <v>267</v>
      </c>
      <c r="B269" s="74" t="str">
        <f aca="false">IF(元データ_PB合計!$A$267="","",元データ_PB合計!$A$267)</f>
        <v/>
      </c>
      <c r="C269" s="74" t="str">
        <f aca="false">IF(LEFT(B269,1)="(",IFERROR(VALUE(MID(B269,2,FIND(")",B269)-2)),""),"")</f>
        <v/>
      </c>
      <c r="D269" s="75" t="str">
        <f aca="false">IF($C269="","",N(元データ_PB合計!$B$267))</f>
        <v/>
      </c>
      <c r="E269" s="75" t="str">
        <f aca="false">IF($C269="","",N(元データ_PB合計!$C$267))</f>
        <v/>
      </c>
      <c r="F269" s="75" t="str">
        <f aca="false">IF($C269="","",N(元データ_PB合計!$F$267))</f>
        <v/>
      </c>
      <c r="G269" s="74" t="str">
        <f aca="false">IF($C269="","",IF(COUNTIF(店舗マスタ!$B$5:$B$304,$C269)&gt;0,"登録済","未登録→マスタに追加"))</f>
        <v/>
      </c>
      <c r="I269" s="74" t="n">
        <v>267</v>
      </c>
      <c r="J269" s="74" t="str">
        <f aca="false">IF(元データ_P!$A$267="","",元データ_P!$A$267)</f>
        <v/>
      </c>
      <c r="K269" s="74" t="str">
        <f aca="false">IF(LEFT(J269,1)="(",IFERROR(VALUE(MID(J269,2,FIND(")",J269)-2)),""),"")</f>
        <v/>
      </c>
      <c r="L269" s="75" t="str">
        <f aca="false">IF($K269="","",N(元データ_P!$B$267))</f>
        <v/>
      </c>
      <c r="M269" s="75" t="str">
        <f aca="false">IF($K269="","",N(元データ_P!$F$267))</f>
        <v/>
      </c>
      <c r="N269" s="74" t="str">
        <f aca="false">IF($K269="","",IF(COUNTIF(店舗マスタ!$B$5:$B$304,$K269)&gt;0,"登録済","未登録→マスタに追加"))</f>
        <v/>
      </c>
      <c r="P269" s="74" t="n">
        <v>267</v>
      </c>
      <c r="Q269" s="74" t="str">
        <f aca="false">IF(元データ_B!$A$267="","",元データ_B!$A$267)</f>
        <v/>
      </c>
      <c r="R269" s="74" t="str">
        <f aca="false">IF(LEFT(Q269,1)="(",IFERROR(VALUE(MID(Q269,2,FIND(")",Q269)-2)),""),"")</f>
        <v/>
      </c>
      <c r="S269" s="75" t="str">
        <f aca="false">IF($R269="","",N(元データ_B!$B$267))</f>
        <v/>
      </c>
      <c r="T269" s="75" t="str">
        <f aca="false">IF($R269="","",N(元データ_B!$F$267))</f>
        <v/>
      </c>
      <c r="U269" s="74" t="str">
        <f aca="false">IF($R269="","",IF(COUNTIF(店舗マスタ!$B$5:$B$304,$R269)&gt;0,"登録済","未登録→マスタに追加"))</f>
        <v/>
      </c>
    </row>
    <row r="270" customFormat="false" ht="15" hidden="false" customHeight="false" outlineLevel="0" collapsed="false">
      <c r="A270" s="74" t="n">
        <v>268</v>
      </c>
      <c r="B270" s="74" t="str">
        <f aca="false">IF(元データ_PB合計!$A$268="","",元データ_PB合計!$A$268)</f>
        <v/>
      </c>
      <c r="C270" s="74" t="str">
        <f aca="false">IF(LEFT(B270,1)="(",IFERROR(VALUE(MID(B270,2,FIND(")",B270)-2)),""),"")</f>
        <v/>
      </c>
      <c r="D270" s="75" t="str">
        <f aca="false">IF($C270="","",N(元データ_PB合計!$B$268))</f>
        <v/>
      </c>
      <c r="E270" s="75" t="str">
        <f aca="false">IF($C270="","",N(元データ_PB合計!$C$268))</f>
        <v/>
      </c>
      <c r="F270" s="75" t="str">
        <f aca="false">IF($C270="","",N(元データ_PB合計!$F$268))</f>
        <v/>
      </c>
      <c r="G270" s="74" t="str">
        <f aca="false">IF($C270="","",IF(COUNTIF(店舗マスタ!$B$5:$B$304,$C270)&gt;0,"登録済","未登録→マスタに追加"))</f>
        <v/>
      </c>
      <c r="I270" s="74" t="n">
        <v>268</v>
      </c>
      <c r="J270" s="74" t="str">
        <f aca="false">IF(元データ_P!$A$268="","",元データ_P!$A$268)</f>
        <v/>
      </c>
      <c r="K270" s="74" t="str">
        <f aca="false">IF(LEFT(J270,1)="(",IFERROR(VALUE(MID(J270,2,FIND(")",J270)-2)),""),"")</f>
        <v/>
      </c>
      <c r="L270" s="75" t="str">
        <f aca="false">IF($K270="","",N(元データ_P!$B$268))</f>
        <v/>
      </c>
      <c r="M270" s="75" t="str">
        <f aca="false">IF($K270="","",N(元データ_P!$F$268))</f>
        <v/>
      </c>
      <c r="N270" s="74" t="str">
        <f aca="false">IF($K270="","",IF(COUNTIF(店舗マスタ!$B$5:$B$304,$K270)&gt;0,"登録済","未登録→マスタに追加"))</f>
        <v/>
      </c>
      <c r="P270" s="74" t="n">
        <v>268</v>
      </c>
      <c r="Q270" s="74" t="str">
        <f aca="false">IF(元データ_B!$A$268="","",元データ_B!$A$268)</f>
        <v/>
      </c>
      <c r="R270" s="74" t="str">
        <f aca="false">IF(LEFT(Q270,1)="(",IFERROR(VALUE(MID(Q270,2,FIND(")",Q270)-2)),""),"")</f>
        <v/>
      </c>
      <c r="S270" s="75" t="str">
        <f aca="false">IF($R270="","",N(元データ_B!$B$268))</f>
        <v/>
      </c>
      <c r="T270" s="75" t="str">
        <f aca="false">IF($R270="","",N(元データ_B!$F$268))</f>
        <v/>
      </c>
      <c r="U270" s="74" t="str">
        <f aca="false">IF($R270="","",IF(COUNTIF(店舗マスタ!$B$5:$B$304,$R270)&gt;0,"登録済","未登録→マスタに追加"))</f>
        <v/>
      </c>
    </row>
    <row r="271" customFormat="false" ht="15" hidden="false" customHeight="false" outlineLevel="0" collapsed="false">
      <c r="A271" s="74" t="n">
        <v>269</v>
      </c>
      <c r="B271" s="74" t="str">
        <f aca="false">IF(元データ_PB合計!$A$269="","",元データ_PB合計!$A$269)</f>
        <v/>
      </c>
      <c r="C271" s="74" t="str">
        <f aca="false">IF(LEFT(B271,1)="(",IFERROR(VALUE(MID(B271,2,FIND(")",B271)-2)),""),"")</f>
        <v/>
      </c>
      <c r="D271" s="75" t="str">
        <f aca="false">IF($C271="","",N(元データ_PB合計!$B$269))</f>
        <v/>
      </c>
      <c r="E271" s="75" t="str">
        <f aca="false">IF($C271="","",N(元データ_PB合計!$C$269))</f>
        <v/>
      </c>
      <c r="F271" s="75" t="str">
        <f aca="false">IF($C271="","",N(元データ_PB合計!$F$269))</f>
        <v/>
      </c>
      <c r="G271" s="74" t="str">
        <f aca="false">IF($C271="","",IF(COUNTIF(店舗マスタ!$B$5:$B$304,$C271)&gt;0,"登録済","未登録→マスタに追加"))</f>
        <v/>
      </c>
      <c r="I271" s="74" t="n">
        <v>269</v>
      </c>
      <c r="J271" s="74" t="str">
        <f aca="false">IF(元データ_P!$A$269="","",元データ_P!$A$269)</f>
        <v/>
      </c>
      <c r="K271" s="74" t="str">
        <f aca="false">IF(LEFT(J271,1)="(",IFERROR(VALUE(MID(J271,2,FIND(")",J271)-2)),""),"")</f>
        <v/>
      </c>
      <c r="L271" s="75" t="str">
        <f aca="false">IF($K271="","",N(元データ_P!$B$269))</f>
        <v/>
      </c>
      <c r="M271" s="75" t="str">
        <f aca="false">IF($K271="","",N(元データ_P!$F$269))</f>
        <v/>
      </c>
      <c r="N271" s="74" t="str">
        <f aca="false">IF($K271="","",IF(COUNTIF(店舗マスタ!$B$5:$B$304,$K271)&gt;0,"登録済","未登録→マスタに追加"))</f>
        <v/>
      </c>
      <c r="P271" s="74" t="n">
        <v>269</v>
      </c>
      <c r="Q271" s="74" t="str">
        <f aca="false">IF(元データ_B!$A$269="","",元データ_B!$A$269)</f>
        <v/>
      </c>
      <c r="R271" s="74" t="str">
        <f aca="false">IF(LEFT(Q271,1)="(",IFERROR(VALUE(MID(Q271,2,FIND(")",Q271)-2)),""),"")</f>
        <v/>
      </c>
      <c r="S271" s="75" t="str">
        <f aca="false">IF($R271="","",N(元データ_B!$B$269))</f>
        <v/>
      </c>
      <c r="T271" s="75" t="str">
        <f aca="false">IF($R271="","",N(元データ_B!$F$269))</f>
        <v/>
      </c>
      <c r="U271" s="74" t="str">
        <f aca="false">IF($R271="","",IF(COUNTIF(店舗マスタ!$B$5:$B$304,$R271)&gt;0,"登録済","未登録→マスタに追加"))</f>
        <v/>
      </c>
    </row>
    <row r="272" customFormat="false" ht="15" hidden="false" customHeight="false" outlineLevel="0" collapsed="false">
      <c r="A272" s="74" t="n">
        <v>270</v>
      </c>
      <c r="B272" s="74" t="str">
        <f aca="false">IF(元データ_PB合計!$A$270="","",元データ_PB合計!$A$270)</f>
        <v/>
      </c>
      <c r="C272" s="74" t="str">
        <f aca="false">IF(LEFT(B272,1)="(",IFERROR(VALUE(MID(B272,2,FIND(")",B272)-2)),""),"")</f>
        <v/>
      </c>
      <c r="D272" s="75" t="str">
        <f aca="false">IF($C272="","",N(元データ_PB合計!$B$270))</f>
        <v/>
      </c>
      <c r="E272" s="75" t="str">
        <f aca="false">IF($C272="","",N(元データ_PB合計!$C$270))</f>
        <v/>
      </c>
      <c r="F272" s="75" t="str">
        <f aca="false">IF($C272="","",N(元データ_PB合計!$F$270))</f>
        <v/>
      </c>
      <c r="G272" s="74" t="str">
        <f aca="false">IF($C272="","",IF(COUNTIF(店舗マスタ!$B$5:$B$304,$C272)&gt;0,"登録済","未登録→マスタに追加"))</f>
        <v/>
      </c>
      <c r="I272" s="74" t="n">
        <v>270</v>
      </c>
      <c r="J272" s="74" t="str">
        <f aca="false">IF(元データ_P!$A$270="","",元データ_P!$A$270)</f>
        <v/>
      </c>
      <c r="K272" s="74" t="str">
        <f aca="false">IF(LEFT(J272,1)="(",IFERROR(VALUE(MID(J272,2,FIND(")",J272)-2)),""),"")</f>
        <v/>
      </c>
      <c r="L272" s="75" t="str">
        <f aca="false">IF($K272="","",N(元データ_P!$B$270))</f>
        <v/>
      </c>
      <c r="M272" s="75" t="str">
        <f aca="false">IF($K272="","",N(元データ_P!$F$270))</f>
        <v/>
      </c>
      <c r="N272" s="74" t="str">
        <f aca="false">IF($K272="","",IF(COUNTIF(店舗マスタ!$B$5:$B$304,$K272)&gt;0,"登録済","未登録→マスタに追加"))</f>
        <v/>
      </c>
      <c r="P272" s="74" t="n">
        <v>270</v>
      </c>
      <c r="Q272" s="74" t="str">
        <f aca="false">IF(元データ_B!$A$270="","",元データ_B!$A$270)</f>
        <v/>
      </c>
      <c r="R272" s="74" t="str">
        <f aca="false">IF(LEFT(Q272,1)="(",IFERROR(VALUE(MID(Q272,2,FIND(")",Q272)-2)),""),"")</f>
        <v/>
      </c>
      <c r="S272" s="75" t="str">
        <f aca="false">IF($R272="","",N(元データ_B!$B$270))</f>
        <v/>
      </c>
      <c r="T272" s="75" t="str">
        <f aca="false">IF($R272="","",N(元データ_B!$F$270))</f>
        <v/>
      </c>
      <c r="U272" s="74" t="str">
        <f aca="false">IF($R272="","",IF(COUNTIF(店舗マスタ!$B$5:$B$304,$R272)&gt;0,"登録済","未登録→マスタに追加"))</f>
        <v/>
      </c>
    </row>
    <row r="273" customFormat="false" ht="15" hidden="false" customHeight="false" outlineLevel="0" collapsed="false">
      <c r="A273" s="74" t="n">
        <v>271</v>
      </c>
      <c r="B273" s="74" t="str">
        <f aca="false">IF(元データ_PB合計!$A$271="","",元データ_PB合計!$A$271)</f>
        <v/>
      </c>
      <c r="C273" s="74" t="str">
        <f aca="false">IF(LEFT(B273,1)="(",IFERROR(VALUE(MID(B273,2,FIND(")",B273)-2)),""),"")</f>
        <v/>
      </c>
      <c r="D273" s="75" t="str">
        <f aca="false">IF($C273="","",N(元データ_PB合計!$B$271))</f>
        <v/>
      </c>
      <c r="E273" s="75" t="str">
        <f aca="false">IF($C273="","",N(元データ_PB合計!$C$271))</f>
        <v/>
      </c>
      <c r="F273" s="75" t="str">
        <f aca="false">IF($C273="","",N(元データ_PB合計!$F$271))</f>
        <v/>
      </c>
      <c r="G273" s="74" t="str">
        <f aca="false">IF($C273="","",IF(COUNTIF(店舗マスタ!$B$5:$B$304,$C273)&gt;0,"登録済","未登録→マスタに追加"))</f>
        <v/>
      </c>
      <c r="I273" s="74" t="n">
        <v>271</v>
      </c>
      <c r="J273" s="74" t="str">
        <f aca="false">IF(元データ_P!$A$271="","",元データ_P!$A$271)</f>
        <v/>
      </c>
      <c r="K273" s="74" t="str">
        <f aca="false">IF(LEFT(J273,1)="(",IFERROR(VALUE(MID(J273,2,FIND(")",J273)-2)),""),"")</f>
        <v/>
      </c>
      <c r="L273" s="75" t="str">
        <f aca="false">IF($K273="","",N(元データ_P!$B$271))</f>
        <v/>
      </c>
      <c r="M273" s="75" t="str">
        <f aca="false">IF($K273="","",N(元データ_P!$F$271))</f>
        <v/>
      </c>
      <c r="N273" s="74" t="str">
        <f aca="false">IF($K273="","",IF(COUNTIF(店舗マスタ!$B$5:$B$304,$K273)&gt;0,"登録済","未登録→マスタに追加"))</f>
        <v/>
      </c>
      <c r="P273" s="74" t="n">
        <v>271</v>
      </c>
      <c r="Q273" s="74" t="str">
        <f aca="false">IF(元データ_B!$A$271="","",元データ_B!$A$271)</f>
        <v/>
      </c>
      <c r="R273" s="74" t="str">
        <f aca="false">IF(LEFT(Q273,1)="(",IFERROR(VALUE(MID(Q273,2,FIND(")",Q273)-2)),""),"")</f>
        <v/>
      </c>
      <c r="S273" s="75" t="str">
        <f aca="false">IF($R273="","",N(元データ_B!$B$271))</f>
        <v/>
      </c>
      <c r="T273" s="75" t="str">
        <f aca="false">IF($R273="","",N(元データ_B!$F$271))</f>
        <v/>
      </c>
      <c r="U273" s="74" t="str">
        <f aca="false">IF($R273="","",IF(COUNTIF(店舗マスタ!$B$5:$B$304,$R273)&gt;0,"登録済","未登録→マスタに追加"))</f>
        <v/>
      </c>
    </row>
    <row r="274" customFormat="false" ht="15" hidden="false" customHeight="false" outlineLevel="0" collapsed="false">
      <c r="A274" s="74" t="n">
        <v>272</v>
      </c>
      <c r="B274" s="74" t="str">
        <f aca="false">IF(元データ_PB合計!$A$272="","",元データ_PB合計!$A$272)</f>
        <v/>
      </c>
      <c r="C274" s="74" t="str">
        <f aca="false">IF(LEFT(B274,1)="(",IFERROR(VALUE(MID(B274,2,FIND(")",B274)-2)),""),"")</f>
        <v/>
      </c>
      <c r="D274" s="75" t="str">
        <f aca="false">IF($C274="","",N(元データ_PB合計!$B$272))</f>
        <v/>
      </c>
      <c r="E274" s="75" t="str">
        <f aca="false">IF($C274="","",N(元データ_PB合計!$C$272))</f>
        <v/>
      </c>
      <c r="F274" s="75" t="str">
        <f aca="false">IF($C274="","",N(元データ_PB合計!$F$272))</f>
        <v/>
      </c>
      <c r="G274" s="74" t="str">
        <f aca="false">IF($C274="","",IF(COUNTIF(店舗マスタ!$B$5:$B$304,$C274)&gt;0,"登録済","未登録→マスタに追加"))</f>
        <v/>
      </c>
      <c r="I274" s="74" t="n">
        <v>272</v>
      </c>
      <c r="J274" s="74" t="str">
        <f aca="false">IF(元データ_P!$A$272="","",元データ_P!$A$272)</f>
        <v/>
      </c>
      <c r="K274" s="74" t="str">
        <f aca="false">IF(LEFT(J274,1)="(",IFERROR(VALUE(MID(J274,2,FIND(")",J274)-2)),""),"")</f>
        <v/>
      </c>
      <c r="L274" s="75" t="str">
        <f aca="false">IF($K274="","",N(元データ_P!$B$272))</f>
        <v/>
      </c>
      <c r="M274" s="75" t="str">
        <f aca="false">IF($K274="","",N(元データ_P!$F$272))</f>
        <v/>
      </c>
      <c r="N274" s="74" t="str">
        <f aca="false">IF($K274="","",IF(COUNTIF(店舗マスタ!$B$5:$B$304,$K274)&gt;0,"登録済","未登録→マスタに追加"))</f>
        <v/>
      </c>
      <c r="P274" s="74" t="n">
        <v>272</v>
      </c>
      <c r="Q274" s="74" t="str">
        <f aca="false">IF(元データ_B!$A$272="","",元データ_B!$A$272)</f>
        <v/>
      </c>
      <c r="R274" s="74" t="str">
        <f aca="false">IF(LEFT(Q274,1)="(",IFERROR(VALUE(MID(Q274,2,FIND(")",Q274)-2)),""),"")</f>
        <v/>
      </c>
      <c r="S274" s="75" t="str">
        <f aca="false">IF($R274="","",N(元データ_B!$B$272))</f>
        <v/>
      </c>
      <c r="T274" s="75" t="str">
        <f aca="false">IF($R274="","",N(元データ_B!$F$272))</f>
        <v/>
      </c>
      <c r="U274" s="74" t="str">
        <f aca="false">IF($R274="","",IF(COUNTIF(店舗マスタ!$B$5:$B$304,$R274)&gt;0,"登録済","未登録→マスタに追加"))</f>
        <v/>
      </c>
    </row>
    <row r="275" customFormat="false" ht="15" hidden="false" customHeight="false" outlineLevel="0" collapsed="false">
      <c r="A275" s="74" t="n">
        <v>273</v>
      </c>
      <c r="B275" s="74" t="str">
        <f aca="false">IF(元データ_PB合計!$A$273="","",元データ_PB合計!$A$273)</f>
        <v/>
      </c>
      <c r="C275" s="74" t="str">
        <f aca="false">IF(LEFT(B275,1)="(",IFERROR(VALUE(MID(B275,2,FIND(")",B275)-2)),""),"")</f>
        <v/>
      </c>
      <c r="D275" s="75" t="str">
        <f aca="false">IF($C275="","",N(元データ_PB合計!$B$273))</f>
        <v/>
      </c>
      <c r="E275" s="75" t="str">
        <f aca="false">IF($C275="","",N(元データ_PB合計!$C$273))</f>
        <v/>
      </c>
      <c r="F275" s="75" t="str">
        <f aca="false">IF($C275="","",N(元データ_PB合計!$F$273))</f>
        <v/>
      </c>
      <c r="G275" s="74" t="str">
        <f aca="false">IF($C275="","",IF(COUNTIF(店舗マスタ!$B$5:$B$304,$C275)&gt;0,"登録済","未登録→マスタに追加"))</f>
        <v/>
      </c>
      <c r="I275" s="74" t="n">
        <v>273</v>
      </c>
      <c r="J275" s="74" t="str">
        <f aca="false">IF(元データ_P!$A$273="","",元データ_P!$A$273)</f>
        <v/>
      </c>
      <c r="K275" s="74" t="str">
        <f aca="false">IF(LEFT(J275,1)="(",IFERROR(VALUE(MID(J275,2,FIND(")",J275)-2)),""),"")</f>
        <v/>
      </c>
      <c r="L275" s="75" t="str">
        <f aca="false">IF($K275="","",N(元データ_P!$B$273))</f>
        <v/>
      </c>
      <c r="M275" s="75" t="str">
        <f aca="false">IF($K275="","",N(元データ_P!$F$273))</f>
        <v/>
      </c>
      <c r="N275" s="74" t="str">
        <f aca="false">IF($K275="","",IF(COUNTIF(店舗マスタ!$B$5:$B$304,$K275)&gt;0,"登録済","未登録→マスタに追加"))</f>
        <v/>
      </c>
      <c r="P275" s="74" t="n">
        <v>273</v>
      </c>
      <c r="Q275" s="74" t="str">
        <f aca="false">IF(元データ_B!$A$273="","",元データ_B!$A$273)</f>
        <v/>
      </c>
      <c r="R275" s="74" t="str">
        <f aca="false">IF(LEFT(Q275,1)="(",IFERROR(VALUE(MID(Q275,2,FIND(")",Q275)-2)),""),"")</f>
        <v/>
      </c>
      <c r="S275" s="75" t="str">
        <f aca="false">IF($R275="","",N(元データ_B!$B$273))</f>
        <v/>
      </c>
      <c r="T275" s="75" t="str">
        <f aca="false">IF($R275="","",N(元データ_B!$F$273))</f>
        <v/>
      </c>
      <c r="U275" s="74" t="str">
        <f aca="false">IF($R275="","",IF(COUNTIF(店舗マスタ!$B$5:$B$304,$R275)&gt;0,"登録済","未登録→マスタに追加"))</f>
        <v/>
      </c>
    </row>
    <row r="276" customFormat="false" ht="15" hidden="false" customHeight="false" outlineLevel="0" collapsed="false">
      <c r="A276" s="74" t="n">
        <v>274</v>
      </c>
      <c r="B276" s="74" t="str">
        <f aca="false">IF(元データ_PB合計!$A$274="","",元データ_PB合計!$A$274)</f>
        <v/>
      </c>
      <c r="C276" s="74" t="str">
        <f aca="false">IF(LEFT(B276,1)="(",IFERROR(VALUE(MID(B276,2,FIND(")",B276)-2)),""),"")</f>
        <v/>
      </c>
      <c r="D276" s="75" t="str">
        <f aca="false">IF($C276="","",N(元データ_PB合計!$B$274))</f>
        <v/>
      </c>
      <c r="E276" s="75" t="str">
        <f aca="false">IF($C276="","",N(元データ_PB合計!$C$274))</f>
        <v/>
      </c>
      <c r="F276" s="75" t="str">
        <f aca="false">IF($C276="","",N(元データ_PB合計!$F$274))</f>
        <v/>
      </c>
      <c r="G276" s="74" t="str">
        <f aca="false">IF($C276="","",IF(COUNTIF(店舗マスタ!$B$5:$B$304,$C276)&gt;0,"登録済","未登録→マスタに追加"))</f>
        <v/>
      </c>
      <c r="I276" s="74" t="n">
        <v>274</v>
      </c>
      <c r="J276" s="74" t="str">
        <f aca="false">IF(元データ_P!$A$274="","",元データ_P!$A$274)</f>
        <v/>
      </c>
      <c r="K276" s="74" t="str">
        <f aca="false">IF(LEFT(J276,1)="(",IFERROR(VALUE(MID(J276,2,FIND(")",J276)-2)),""),"")</f>
        <v/>
      </c>
      <c r="L276" s="75" t="str">
        <f aca="false">IF($K276="","",N(元データ_P!$B$274))</f>
        <v/>
      </c>
      <c r="M276" s="75" t="str">
        <f aca="false">IF($K276="","",N(元データ_P!$F$274))</f>
        <v/>
      </c>
      <c r="N276" s="74" t="str">
        <f aca="false">IF($K276="","",IF(COUNTIF(店舗マスタ!$B$5:$B$304,$K276)&gt;0,"登録済","未登録→マスタに追加"))</f>
        <v/>
      </c>
      <c r="P276" s="74" t="n">
        <v>274</v>
      </c>
      <c r="Q276" s="74" t="str">
        <f aca="false">IF(元データ_B!$A$274="","",元データ_B!$A$274)</f>
        <v/>
      </c>
      <c r="R276" s="74" t="str">
        <f aca="false">IF(LEFT(Q276,1)="(",IFERROR(VALUE(MID(Q276,2,FIND(")",Q276)-2)),""),"")</f>
        <v/>
      </c>
      <c r="S276" s="75" t="str">
        <f aca="false">IF($R276="","",N(元データ_B!$B$274))</f>
        <v/>
      </c>
      <c r="T276" s="75" t="str">
        <f aca="false">IF($R276="","",N(元データ_B!$F$274))</f>
        <v/>
      </c>
      <c r="U276" s="74" t="str">
        <f aca="false">IF($R276="","",IF(COUNTIF(店舗マスタ!$B$5:$B$304,$R276)&gt;0,"登録済","未登録→マスタに追加"))</f>
        <v/>
      </c>
    </row>
    <row r="277" customFormat="false" ht="15" hidden="false" customHeight="false" outlineLevel="0" collapsed="false">
      <c r="A277" s="74" t="n">
        <v>275</v>
      </c>
      <c r="B277" s="74" t="str">
        <f aca="false">IF(元データ_PB合計!$A$275="","",元データ_PB合計!$A$275)</f>
        <v/>
      </c>
      <c r="C277" s="74" t="str">
        <f aca="false">IF(LEFT(B277,1)="(",IFERROR(VALUE(MID(B277,2,FIND(")",B277)-2)),""),"")</f>
        <v/>
      </c>
      <c r="D277" s="75" t="str">
        <f aca="false">IF($C277="","",N(元データ_PB合計!$B$275))</f>
        <v/>
      </c>
      <c r="E277" s="75" t="str">
        <f aca="false">IF($C277="","",N(元データ_PB合計!$C$275))</f>
        <v/>
      </c>
      <c r="F277" s="75" t="str">
        <f aca="false">IF($C277="","",N(元データ_PB合計!$F$275))</f>
        <v/>
      </c>
      <c r="G277" s="74" t="str">
        <f aca="false">IF($C277="","",IF(COUNTIF(店舗マスタ!$B$5:$B$304,$C277)&gt;0,"登録済","未登録→マスタに追加"))</f>
        <v/>
      </c>
      <c r="I277" s="74" t="n">
        <v>275</v>
      </c>
      <c r="J277" s="74" t="str">
        <f aca="false">IF(元データ_P!$A$275="","",元データ_P!$A$275)</f>
        <v/>
      </c>
      <c r="K277" s="74" t="str">
        <f aca="false">IF(LEFT(J277,1)="(",IFERROR(VALUE(MID(J277,2,FIND(")",J277)-2)),""),"")</f>
        <v/>
      </c>
      <c r="L277" s="75" t="str">
        <f aca="false">IF($K277="","",N(元データ_P!$B$275))</f>
        <v/>
      </c>
      <c r="M277" s="75" t="str">
        <f aca="false">IF($K277="","",N(元データ_P!$F$275))</f>
        <v/>
      </c>
      <c r="N277" s="74" t="str">
        <f aca="false">IF($K277="","",IF(COUNTIF(店舗マスタ!$B$5:$B$304,$K277)&gt;0,"登録済","未登録→マスタに追加"))</f>
        <v/>
      </c>
      <c r="P277" s="74" t="n">
        <v>275</v>
      </c>
      <c r="Q277" s="74" t="str">
        <f aca="false">IF(元データ_B!$A$275="","",元データ_B!$A$275)</f>
        <v/>
      </c>
      <c r="R277" s="74" t="str">
        <f aca="false">IF(LEFT(Q277,1)="(",IFERROR(VALUE(MID(Q277,2,FIND(")",Q277)-2)),""),"")</f>
        <v/>
      </c>
      <c r="S277" s="75" t="str">
        <f aca="false">IF($R277="","",N(元データ_B!$B$275))</f>
        <v/>
      </c>
      <c r="T277" s="75" t="str">
        <f aca="false">IF($R277="","",N(元データ_B!$F$275))</f>
        <v/>
      </c>
      <c r="U277" s="74" t="str">
        <f aca="false">IF($R277="","",IF(COUNTIF(店舗マスタ!$B$5:$B$304,$R277)&gt;0,"登録済","未登録→マスタに追加"))</f>
        <v/>
      </c>
    </row>
    <row r="278" customFormat="false" ht="15" hidden="false" customHeight="false" outlineLevel="0" collapsed="false">
      <c r="A278" s="74" t="n">
        <v>276</v>
      </c>
      <c r="B278" s="74" t="str">
        <f aca="false">IF(元データ_PB合計!$A$276="","",元データ_PB合計!$A$276)</f>
        <v/>
      </c>
      <c r="C278" s="74" t="str">
        <f aca="false">IF(LEFT(B278,1)="(",IFERROR(VALUE(MID(B278,2,FIND(")",B278)-2)),""),"")</f>
        <v/>
      </c>
      <c r="D278" s="75" t="str">
        <f aca="false">IF($C278="","",N(元データ_PB合計!$B$276))</f>
        <v/>
      </c>
      <c r="E278" s="75" t="str">
        <f aca="false">IF($C278="","",N(元データ_PB合計!$C$276))</f>
        <v/>
      </c>
      <c r="F278" s="75" t="str">
        <f aca="false">IF($C278="","",N(元データ_PB合計!$F$276))</f>
        <v/>
      </c>
      <c r="G278" s="74" t="str">
        <f aca="false">IF($C278="","",IF(COUNTIF(店舗マスタ!$B$5:$B$304,$C278)&gt;0,"登録済","未登録→マスタに追加"))</f>
        <v/>
      </c>
      <c r="I278" s="74" t="n">
        <v>276</v>
      </c>
      <c r="J278" s="74" t="str">
        <f aca="false">IF(元データ_P!$A$276="","",元データ_P!$A$276)</f>
        <v/>
      </c>
      <c r="K278" s="74" t="str">
        <f aca="false">IF(LEFT(J278,1)="(",IFERROR(VALUE(MID(J278,2,FIND(")",J278)-2)),""),"")</f>
        <v/>
      </c>
      <c r="L278" s="75" t="str">
        <f aca="false">IF($K278="","",N(元データ_P!$B$276))</f>
        <v/>
      </c>
      <c r="M278" s="75" t="str">
        <f aca="false">IF($K278="","",N(元データ_P!$F$276))</f>
        <v/>
      </c>
      <c r="N278" s="74" t="str">
        <f aca="false">IF($K278="","",IF(COUNTIF(店舗マスタ!$B$5:$B$304,$K278)&gt;0,"登録済","未登録→マスタに追加"))</f>
        <v/>
      </c>
      <c r="P278" s="74" t="n">
        <v>276</v>
      </c>
      <c r="Q278" s="74" t="str">
        <f aca="false">IF(元データ_B!$A$276="","",元データ_B!$A$276)</f>
        <v/>
      </c>
      <c r="R278" s="74" t="str">
        <f aca="false">IF(LEFT(Q278,1)="(",IFERROR(VALUE(MID(Q278,2,FIND(")",Q278)-2)),""),"")</f>
        <v/>
      </c>
      <c r="S278" s="75" t="str">
        <f aca="false">IF($R278="","",N(元データ_B!$B$276))</f>
        <v/>
      </c>
      <c r="T278" s="75" t="str">
        <f aca="false">IF($R278="","",N(元データ_B!$F$276))</f>
        <v/>
      </c>
      <c r="U278" s="74" t="str">
        <f aca="false">IF($R278="","",IF(COUNTIF(店舗マスタ!$B$5:$B$304,$R278)&gt;0,"登録済","未登録→マスタに追加"))</f>
        <v/>
      </c>
    </row>
    <row r="279" customFormat="false" ht="15" hidden="false" customHeight="false" outlineLevel="0" collapsed="false">
      <c r="A279" s="74" t="n">
        <v>277</v>
      </c>
      <c r="B279" s="74" t="str">
        <f aca="false">IF(元データ_PB合計!$A$277="","",元データ_PB合計!$A$277)</f>
        <v/>
      </c>
      <c r="C279" s="74" t="str">
        <f aca="false">IF(LEFT(B279,1)="(",IFERROR(VALUE(MID(B279,2,FIND(")",B279)-2)),""),"")</f>
        <v/>
      </c>
      <c r="D279" s="75" t="str">
        <f aca="false">IF($C279="","",N(元データ_PB合計!$B$277))</f>
        <v/>
      </c>
      <c r="E279" s="75" t="str">
        <f aca="false">IF($C279="","",N(元データ_PB合計!$C$277))</f>
        <v/>
      </c>
      <c r="F279" s="75" t="str">
        <f aca="false">IF($C279="","",N(元データ_PB合計!$F$277))</f>
        <v/>
      </c>
      <c r="G279" s="74" t="str">
        <f aca="false">IF($C279="","",IF(COUNTIF(店舗マスタ!$B$5:$B$304,$C279)&gt;0,"登録済","未登録→マスタに追加"))</f>
        <v/>
      </c>
      <c r="I279" s="74" t="n">
        <v>277</v>
      </c>
      <c r="J279" s="74" t="str">
        <f aca="false">IF(元データ_P!$A$277="","",元データ_P!$A$277)</f>
        <v/>
      </c>
      <c r="K279" s="74" t="str">
        <f aca="false">IF(LEFT(J279,1)="(",IFERROR(VALUE(MID(J279,2,FIND(")",J279)-2)),""),"")</f>
        <v/>
      </c>
      <c r="L279" s="75" t="str">
        <f aca="false">IF($K279="","",N(元データ_P!$B$277))</f>
        <v/>
      </c>
      <c r="M279" s="75" t="str">
        <f aca="false">IF($K279="","",N(元データ_P!$F$277))</f>
        <v/>
      </c>
      <c r="N279" s="74" t="str">
        <f aca="false">IF($K279="","",IF(COUNTIF(店舗マスタ!$B$5:$B$304,$K279)&gt;0,"登録済","未登録→マスタに追加"))</f>
        <v/>
      </c>
      <c r="P279" s="74" t="n">
        <v>277</v>
      </c>
      <c r="Q279" s="74" t="str">
        <f aca="false">IF(元データ_B!$A$277="","",元データ_B!$A$277)</f>
        <v/>
      </c>
      <c r="R279" s="74" t="str">
        <f aca="false">IF(LEFT(Q279,1)="(",IFERROR(VALUE(MID(Q279,2,FIND(")",Q279)-2)),""),"")</f>
        <v/>
      </c>
      <c r="S279" s="75" t="str">
        <f aca="false">IF($R279="","",N(元データ_B!$B$277))</f>
        <v/>
      </c>
      <c r="T279" s="75" t="str">
        <f aca="false">IF($R279="","",N(元データ_B!$F$277))</f>
        <v/>
      </c>
      <c r="U279" s="74" t="str">
        <f aca="false">IF($R279="","",IF(COUNTIF(店舗マスタ!$B$5:$B$304,$R279)&gt;0,"登録済","未登録→マスタに追加"))</f>
        <v/>
      </c>
    </row>
    <row r="280" customFormat="false" ht="15" hidden="false" customHeight="false" outlineLevel="0" collapsed="false">
      <c r="A280" s="74" t="n">
        <v>278</v>
      </c>
      <c r="B280" s="74" t="str">
        <f aca="false">IF(元データ_PB合計!$A$278="","",元データ_PB合計!$A$278)</f>
        <v/>
      </c>
      <c r="C280" s="74" t="str">
        <f aca="false">IF(LEFT(B280,1)="(",IFERROR(VALUE(MID(B280,2,FIND(")",B280)-2)),""),"")</f>
        <v/>
      </c>
      <c r="D280" s="75" t="str">
        <f aca="false">IF($C280="","",N(元データ_PB合計!$B$278))</f>
        <v/>
      </c>
      <c r="E280" s="75" t="str">
        <f aca="false">IF($C280="","",N(元データ_PB合計!$C$278))</f>
        <v/>
      </c>
      <c r="F280" s="75" t="str">
        <f aca="false">IF($C280="","",N(元データ_PB合計!$F$278))</f>
        <v/>
      </c>
      <c r="G280" s="74" t="str">
        <f aca="false">IF($C280="","",IF(COUNTIF(店舗マスタ!$B$5:$B$304,$C280)&gt;0,"登録済","未登録→マスタに追加"))</f>
        <v/>
      </c>
      <c r="I280" s="74" t="n">
        <v>278</v>
      </c>
      <c r="J280" s="74" t="str">
        <f aca="false">IF(元データ_P!$A$278="","",元データ_P!$A$278)</f>
        <v/>
      </c>
      <c r="K280" s="74" t="str">
        <f aca="false">IF(LEFT(J280,1)="(",IFERROR(VALUE(MID(J280,2,FIND(")",J280)-2)),""),"")</f>
        <v/>
      </c>
      <c r="L280" s="75" t="str">
        <f aca="false">IF($K280="","",N(元データ_P!$B$278))</f>
        <v/>
      </c>
      <c r="M280" s="75" t="str">
        <f aca="false">IF($K280="","",N(元データ_P!$F$278))</f>
        <v/>
      </c>
      <c r="N280" s="74" t="str">
        <f aca="false">IF($K280="","",IF(COUNTIF(店舗マスタ!$B$5:$B$304,$K280)&gt;0,"登録済","未登録→マスタに追加"))</f>
        <v/>
      </c>
      <c r="P280" s="74" t="n">
        <v>278</v>
      </c>
      <c r="Q280" s="74" t="str">
        <f aca="false">IF(元データ_B!$A$278="","",元データ_B!$A$278)</f>
        <v/>
      </c>
      <c r="R280" s="74" t="str">
        <f aca="false">IF(LEFT(Q280,1)="(",IFERROR(VALUE(MID(Q280,2,FIND(")",Q280)-2)),""),"")</f>
        <v/>
      </c>
      <c r="S280" s="75" t="str">
        <f aca="false">IF($R280="","",N(元データ_B!$B$278))</f>
        <v/>
      </c>
      <c r="T280" s="75" t="str">
        <f aca="false">IF($R280="","",N(元データ_B!$F$278))</f>
        <v/>
      </c>
      <c r="U280" s="74" t="str">
        <f aca="false">IF($R280="","",IF(COUNTIF(店舗マスタ!$B$5:$B$304,$R280)&gt;0,"登録済","未登録→マスタに追加"))</f>
        <v/>
      </c>
    </row>
    <row r="281" customFormat="false" ht="15" hidden="false" customHeight="false" outlineLevel="0" collapsed="false">
      <c r="A281" s="74" t="n">
        <v>279</v>
      </c>
      <c r="B281" s="74" t="str">
        <f aca="false">IF(元データ_PB合計!$A$279="","",元データ_PB合計!$A$279)</f>
        <v/>
      </c>
      <c r="C281" s="74" t="str">
        <f aca="false">IF(LEFT(B281,1)="(",IFERROR(VALUE(MID(B281,2,FIND(")",B281)-2)),""),"")</f>
        <v/>
      </c>
      <c r="D281" s="75" t="str">
        <f aca="false">IF($C281="","",N(元データ_PB合計!$B$279))</f>
        <v/>
      </c>
      <c r="E281" s="75" t="str">
        <f aca="false">IF($C281="","",N(元データ_PB合計!$C$279))</f>
        <v/>
      </c>
      <c r="F281" s="75" t="str">
        <f aca="false">IF($C281="","",N(元データ_PB合計!$F$279))</f>
        <v/>
      </c>
      <c r="G281" s="74" t="str">
        <f aca="false">IF($C281="","",IF(COUNTIF(店舗マスタ!$B$5:$B$304,$C281)&gt;0,"登録済","未登録→マスタに追加"))</f>
        <v/>
      </c>
      <c r="I281" s="74" t="n">
        <v>279</v>
      </c>
      <c r="J281" s="74" t="str">
        <f aca="false">IF(元データ_P!$A$279="","",元データ_P!$A$279)</f>
        <v/>
      </c>
      <c r="K281" s="74" t="str">
        <f aca="false">IF(LEFT(J281,1)="(",IFERROR(VALUE(MID(J281,2,FIND(")",J281)-2)),""),"")</f>
        <v/>
      </c>
      <c r="L281" s="75" t="str">
        <f aca="false">IF($K281="","",N(元データ_P!$B$279))</f>
        <v/>
      </c>
      <c r="M281" s="75" t="str">
        <f aca="false">IF($K281="","",N(元データ_P!$F$279))</f>
        <v/>
      </c>
      <c r="N281" s="74" t="str">
        <f aca="false">IF($K281="","",IF(COUNTIF(店舗マスタ!$B$5:$B$304,$K281)&gt;0,"登録済","未登録→マスタに追加"))</f>
        <v/>
      </c>
      <c r="P281" s="74" t="n">
        <v>279</v>
      </c>
      <c r="Q281" s="74" t="str">
        <f aca="false">IF(元データ_B!$A$279="","",元データ_B!$A$279)</f>
        <v/>
      </c>
      <c r="R281" s="74" t="str">
        <f aca="false">IF(LEFT(Q281,1)="(",IFERROR(VALUE(MID(Q281,2,FIND(")",Q281)-2)),""),"")</f>
        <v/>
      </c>
      <c r="S281" s="75" t="str">
        <f aca="false">IF($R281="","",N(元データ_B!$B$279))</f>
        <v/>
      </c>
      <c r="T281" s="75" t="str">
        <f aca="false">IF($R281="","",N(元データ_B!$F$279))</f>
        <v/>
      </c>
      <c r="U281" s="74" t="str">
        <f aca="false">IF($R281="","",IF(COUNTIF(店舗マスタ!$B$5:$B$304,$R281)&gt;0,"登録済","未登録→マスタに追加"))</f>
        <v/>
      </c>
    </row>
    <row r="282" customFormat="false" ht="15" hidden="false" customHeight="false" outlineLevel="0" collapsed="false">
      <c r="A282" s="74" t="n">
        <v>280</v>
      </c>
      <c r="B282" s="74" t="str">
        <f aca="false">IF(元データ_PB合計!$A$280="","",元データ_PB合計!$A$280)</f>
        <v/>
      </c>
      <c r="C282" s="74" t="str">
        <f aca="false">IF(LEFT(B282,1)="(",IFERROR(VALUE(MID(B282,2,FIND(")",B282)-2)),""),"")</f>
        <v/>
      </c>
      <c r="D282" s="75" t="str">
        <f aca="false">IF($C282="","",N(元データ_PB合計!$B$280))</f>
        <v/>
      </c>
      <c r="E282" s="75" t="str">
        <f aca="false">IF($C282="","",N(元データ_PB合計!$C$280))</f>
        <v/>
      </c>
      <c r="F282" s="75" t="str">
        <f aca="false">IF($C282="","",N(元データ_PB合計!$F$280))</f>
        <v/>
      </c>
      <c r="G282" s="74" t="str">
        <f aca="false">IF($C282="","",IF(COUNTIF(店舗マスタ!$B$5:$B$304,$C282)&gt;0,"登録済","未登録→マスタに追加"))</f>
        <v/>
      </c>
      <c r="I282" s="74" t="n">
        <v>280</v>
      </c>
      <c r="J282" s="74" t="str">
        <f aca="false">IF(元データ_P!$A$280="","",元データ_P!$A$280)</f>
        <v/>
      </c>
      <c r="K282" s="74" t="str">
        <f aca="false">IF(LEFT(J282,1)="(",IFERROR(VALUE(MID(J282,2,FIND(")",J282)-2)),""),"")</f>
        <v/>
      </c>
      <c r="L282" s="75" t="str">
        <f aca="false">IF($K282="","",N(元データ_P!$B$280))</f>
        <v/>
      </c>
      <c r="M282" s="75" t="str">
        <f aca="false">IF($K282="","",N(元データ_P!$F$280))</f>
        <v/>
      </c>
      <c r="N282" s="74" t="str">
        <f aca="false">IF($K282="","",IF(COUNTIF(店舗マスタ!$B$5:$B$304,$K282)&gt;0,"登録済","未登録→マスタに追加"))</f>
        <v/>
      </c>
      <c r="P282" s="74" t="n">
        <v>280</v>
      </c>
      <c r="Q282" s="74" t="str">
        <f aca="false">IF(元データ_B!$A$280="","",元データ_B!$A$280)</f>
        <v/>
      </c>
      <c r="R282" s="74" t="str">
        <f aca="false">IF(LEFT(Q282,1)="(",IFERROR(VALUE(MID(Q282,2,FIND(")",Q282)-2)),""),"")</f>
        <v/>
      </c>
      <c r="S282" s="75" t="str">
        <f aca="false">IF($R282="","",N(元データ_B!$B$280))</f>
        <v/>
      </c>
      <c r="T282" s="75" t="str">
        <f aca="false">IF($R282="","",N(元データ_B!$F$280))</f>
        <v/>
      </c>
      <c r="U282" s="74" t="str">
        <f aca="false">IF($R282="","",IF(COUNTIF(店舗マスタ!$B$5:$B$304,$R282)&gt;0,"登録済","未登録→マスタに追加"))</f>
        <v/>
      </c>
    </row>
    <row r="283" customFormat="false" ht="15" hidden="false" customHeight="false" outlineLevel="0" collapsed="false">
      <c r="A283" s="74" t="n">
        <v>281</v>
      </c>
      <c r="B283" s="74" t="str">
        <f aca="false">IF(元データ_PB合計!$A$281="","",元データ_PB合計!$A$281)</f>
        <v/>
      </c>
      <c r="C283" s="74" t="str">
        <f aca="false">IF(LEFT(B283,1)="(",IFERROR(VALUE(MID(B283,2,FIND(")",B283)-2)),""),"")</f>
        <v/>
      </c>
      <c r="D283" s="75" t="str">
        <f aca="false">IF($C283="","",N(元データ_PB合計!$B$281))</f>
        <v/>
      </c>
      <c r="E283" s="75" t="str">
        <f aca="false">IF($C283="","",N(元データ_PB合計!$C$281))</f>
        <v/>
      </c>
      <c r="F283" s="75" t="str">
        <f aca="false">IF($C283="","",N(元データ_PB合計!$F$281))</f>
        <v/>
      </c>
      <c r="G283" s="74" t="str">
        <f aca="false">IF($C283="","",IF(COUNTIF(店舗マスタ!$B$5:$B$304,$C283)&gt;0,"登録済","未登録→マスタに追加"))</f>
        <v/>
      </c>
      <c r="I283" s="74" t="n">
        <v>281</v>
      </c>
      <c r="J283" s="74" t="str">
        <f aca="false">IF(元データ_P!$A$281="","",元データ_P!$A$281)</f>
        <v/>
      </c>
      <c r="K283" s="74" t="str">
        <f aca="false">IF(LEFT(J283,1)="(",IFERROR(VALUE(MID(J283,2,FIND(")",J283)-2)),""),"")</f>
        <v/>
      </c>
      <c r="L283" s="75" t="str">
        <f aca="false">IF($K283="","",N(元データ_P!$B$281))</f>
        <v/>
      </c>
      <c r="M283" s="75" t="str">
        <f aca="false">IF($K283="","",N(元データ_P!$F$281))</f>
        <v/>
      </c>
      <c r="N283" s="74" t="str">
        <f aca="false">IF($K283="","",IF(COUNTIF(店舗マスタ!$B$5:$B$304,$K283)&gt;0,"登録済","未登録→マスタに追加"))</f>
        <v/>
      </c>
      <c r="P283" s="74" t="n">
        <v>281</v>
      </c>
      <c r="Q283" s="74" t="str">
        <f aca="false">IF(元データ_B!$A$281="","",元データ_B!$A$281)</f>
        <v/>
      </c>
      <c r="R283" s="74" t="str">
        <f aca="false">IF(LEFT(Q283,1)="(",IFERROR(VALUE(MID(Q283,2,FIND(")",Q283)-2)),""),"")</f>
        <v/>
      </c>
      <c r="S283" s="75" t="str">
        <f aca="false">IF($R283="","",N(元データ_B!$B$281))</f>
        <v/>
      </c>
      <c r="T283" s="75" t="str">
        <f aca="false">IF($R283="","",N(元データ_B!$F$281))</f>
        <v/>
      </c>
      <c r="U283" s="74" t="str">
        <f aca="false">IF($R283="","",IF(COUNTIF(店舗マスタ!$B$5:$B$304,$R283)&gt;0,"登録済","未登録→マスタに追加"))</f>
        <v/>
      </c>
    </row>
    <row r="284" customFormat="false" ht="15" hidden="false" customHeight="false" outlineLevel="0" collapsed="false">
      <c r="A284" s="74" t="n">
        <v>282</v>
      </c>
      <c r="B284" s="74" t="str">
        <f aca="false">IF(元データ_PB合計!$A$282="","",元データ_PB合計!$A$282)</f>
        <v/>
      </c>
      <c r="C284" s="74" t="str">
        <f aca="false">IF(LEFT(B284,1)="(",IFERROR(VALUE(MID(B284,2,FIND(")",B284)-2)),""),"")</f>
        <v/>
      </c>
      <c r="D284" s="75" t="str">
        <f aca="false">IF($C284="","",N(元データ_PB合計!$B$282))</f>
        <v/>
      </c>
      <c r="E284" s="75" t="str">
        <f aca="false">IF($C284="","",N(元データ_PB合計!$C$282))</f>
        <v/>
      </c>
      <c r="F284" s="75" t="str">
        <f aca="false">IF($C284="","",N(元データ_PB合計!$F$282))</f>
        <v/>
      </c>
      <c r="G284" s="74" t="str">
        <f aca="false">IF($C284="","",IF(COUNTIF(店舗マスタ!$B$5:$B$304,$C284)&gt;0,"登録済","未登録→マスタに追加"))</f>
        <v/>
      </c>
      <c r="I284" s="74" t="n">
        <v>282</v>
      </c>
      <c r="J284" s="74" t="str">
        <f aca="false">IF(元データ_P!$A$282="","",元データ_P!$A$282)</f>
        <v/>
      </c>
      <c r="K284" s="74" t="str">
        <f aca="false">IF(LEFT(J284,1)="(",IFERROR(VALUE(MID(J284,2,FIND(")",J284)-2)),""),"")</f>
        <v/>
      </c>
      <c r="L284" s="75" t="str">
        <f aca="false">IF($K284="","",N(元データ_P!$B$282))</f>
        <v/>
      </c>
      <c r="M284" s="75" t="str">
        <f aca="false">IF($K284="","",N(元データ_P!$F$282))</f>
        <v/>
      </c>
      <c r="N284" s="74" t="str">
        <f aca="false">IF($K284="","",IF(COUNTIF(店舗マスタ!$B$5:$B$304,$K284)&gt;0,"登録済","未登録→マスタに追加"))</f>
        <v/>
      </c>
      <c r="P284" s="74" t="n">
        <v>282</v>
      </c>
      <c r="Q284" s="74" t="str">
        <f aca="false">IF(元データ_B!$A$282="","",元データ_B!$A$282)</f>
        <v/>
      </c>
      <c r="R284" s="74" t="str">
        <f aca="false">IF(LEFT(Q284,1)="(",IFERROR(VALUE(MID(Q284,2,FIND(")",Q284)-2)),""),"")</f>
        <v/>
      </c>
      <c r="S284" s="75" t="str">
        <f aca="false">IF($R284="","",N(元データ_B!$B$282))</f>
        <v/>
      </c>
      <c r="T284" s="75" t="str">
        <f aca="false">IF($R284="","",N(元データ_B!$F$282))</f>
        <v/>
      </c>
      <c r="U284" s="74" t="str">
        <f aca="false">IF($R284="","",IF(COUNTIF(店舗マスタ!$B$5:$B$304,$R284)&gt;0,"登録済","未登録→マスタに追加"))</f>
        <v/>
      </c>
    </row>
    <row r="285" customFormat="false" ht="15" hidden="false" customHeight="false" outlineLevel="0" collapsed="false">
      <c r="A285" s="74" t="n">
        <v>283</v>
      </c>
      <c r="B285" s="74" t="str">
        <f aca="false">IF(元データ_PB合計!$A$283="","",元データ_PB合計!$A$283)</f>
        <v/>
      </c>
      <c r="C285" s="74" t="str">
        <f aca="false">IF(LEFT(B285,1)="(",IFERROR(VALUE(MID(B285,2,FIND(")",B285)-2)),""),"")</f>
        <v/>
      </c>
      <c r="D285" s="75" t="str">
        <f aca="false">IF($C285="","",N(元データ_PB合計!$B$283))</f>
        <v/>
      </c>
      <c r="E285" s="75" t="str">
        <f aca="false">IF($C285="","",N(元データ_PB合計!$C$283))</f>
        <v/>
      </c>
      <c r="F285" s="75" t="str">
        <f aca="false">IF($C285="","",N(元データ_PB合計!$F$283))</f>
        <v/>
      </c>
      <c r="G285" s="74" t="str">
        <f aca="false">IF($C285="","",IF(COUNTIF(店舗マスタ!$B$5:$B$304,$C285)&gt;0,"登録済","未登録→マスタに追加"))</f>
        <v/>
      </c>
      <c r="I285" s="74" t="n">
        <v>283</v>
      </c>
      <c r="J285" s="74" t="str">
        <f aca="false">IF(元データ_P!$A$283="","",元データ_P!$A$283)</f>
        <v/>
      </c>
      <c r="K285" s="74" t="str">
        <f aca="false">IF(LEFT(J285,1)="(",IFERROR(VALUE(MID(J285,2,FIND(")",J285)-2)),""),"")</f>
        <v/>
      </c>
      <c r="L285" s="75" t="str">
        <f aca="false">IF($K285="","",N(元データ_P!$B$283))</f>
        <v/>
      </c>
      <c r="M285" s="75" t="str">
        <f aca="false">IF($K285="","",N(元データ_P!$F$283))</f>
        <v/>
      </c>
      <c r="N285" s="74" t="str">
        <f aca="false">IF($K285="","",IF(COUNTIF(店舗マスタ!$B$5:$B$304,$K285)&gt;0,"登録済","未登録→マスタに追加"))</f>
        <v/>
      </c>
      <c r="P285" s="74" t="n">
        <v>283</v>
      </c>
      <c r="Q285" s="74" t="str">
        <f aca="false">IF(元データ_B!$A$283="","",元データ_B!$A$283)</f>
        <v/>
      </c>
      <c r="R285" s="74" t="str">
        <f aca="false">IF(LEFT(Q285,1)="(",IFERROR(VALUE(MID(Q285,2,FIND(")",Q285)-2)),""),"")</f>
        <v/>
      </c>
      <c r="S285" s="75" t="str">
        <f aca="false">IF($R285="","",N(元データ_B!$B$283))</f>
        <v/>
      </c>
      <c r="T285" s="75" t="str">
        <f aca="false">IF($R285="","",N(元データ_B!$F$283))</f>
        <v/>
      </c>
      <c r="U285" s="74" t="str">
        <f aca="false">IF($R285="","",IF(COUNTIF(店舗マスタ!$B$5:$B$304,$R285)&gt;0,"登録済","未登録→マスタに追加"))</f>
        <v/>
      </c>
    </row>
    <row r="286" customFormat="false" ht="15" hidden="false" customHeight="false" outlineLevel="0" collapsed="false">
      <c r="A286" s="74" t="n">
        <v>284</v>
      </c>
      <c r="B286" s="74" t="str">
        <f aca="false">IF(元データ_PB合計!$A$284="","",元データ_PB合計!$A$284)</f>
        <v/>
      </c>
      <c r="C286" s="74" t="str">
        <f aca="false">IF(LEFT(B286,1)="(",IFERROR(VALUE(MID(B286,2,FIND(")",B286)-2)),""),"")</f>
        <v/>
      </c>
      <c r="D286" s="75" t="str">
        <f aca="false">IF($C286="","",N(元データ_PB合計!$B$284))</f>
        <v/>
      </c>
      <c r="E286" s="75" t="str">
        <f aca="false">IF($C286="","",N(元データ_PB合計!$C$284))</f>
        <v/>
      </c>
      <c r="F286" s="75" t="str">
        <f aca="false">IF($C286="","",N(元データ_PB合計!$F$284))</f>
        <v/>
      </c>
      <c r="G286" s="74" t="str">
        <f aca="false">IF($C286="","",IF(COUNTIF(店舗マスタ!$B$5:$B$304,$C286)&gt;0,"登録済","未登録→マスタに追加"))</f>
        <v/>
      </c>
      <c r="I286" s="74" t="n">
        <v>284</v>
      </c>
      <c r="J286" s="74" t="str">
        <f aca="false">IF(元データ_P!$A$284="","",元データ_P!$A$284)</f>
        <v/>
      </c>
      <c r="K286" s="74" t="str">
        <f aca="false">IF(LEFT(J286,1)="(",IFERROR(VALUE(MID(J286,2,FIND(")",J286)-2)),""),"")</f>
        <v/>
      </c>
      <c r="L286" s="75" t="str">
        <f aca="false">IF($K286="","",N(元データ_P!$B$284))</f>
        <v/>
      </c>
      <c r="M286" s="75" t="str">
        <f aca="false">IF($K286="","",N(元データ_P!$F$284))</f>
        <v/>
      </c>
      <c r="N286" s="74" t="str">
        <f aca="false">IF($K286="","",IF(COUNTIF(店舗マスタ!$B$5:$B$304,$K286)&gt;0,"登録済","未登録→マスタに追加"))</f>
        <v/>
      </c>
      <c r="P286" s="74" t="n">
        <v>284</v>
      </c>
      <c r="Q286" s="74" t="str">
        <f aca="false">IF(元データ_B!$A$284="","",元データ_B!$A$284)</f>
        <v/>
      </c>
      <c r="R286" s="74" t="str">
        <f aca="false">IF(LEFT(Q286,1)="(",IFERROR(VALUE(MID(Q286,2,FIND(")",Q286)-2)),""),"")</f>
        <v/>
      </c>
      <c r="S286" s="75" t="str">
        <f aca="false">IF($R286="","",N(元データ_B!$B$284))</f>
        <v/>
      </c>
      <c r="T286" s="75" t="str">
        <f aca="false">IF($R286="","",N(元データ_B!$F$284))</f>
        <v/>
      </c>
      <c r="U286" s="74" t="str">
        <f aca="false">IF($R286="","",IF(COUNTIF(店舗マスタ!$B$5:$B$304,$R286)&gt;0,"登録済","未登録→マスタに追加"))</f>
        <v/>
      </c>
    </row>
    <row r="287" customFormat="false" ht="15" hidden="false" customHeight="false" outlineLevel="0" collapsed="false">
      <c r="A287" s="74" t="n">
        <v>285</v>
      </c>
      <c r="B287" s="74" t="str">
        <f aca="false">IF(元データ_PB合計!$A$285="","",元データ_PB合計!$A$285)</f>
        <v/>
      </c>
      <c r="C287" s="74" t="str">
        <f aca="false">IF(LEFT(B287,1)="(",IFERROR(VALUE(MID(B287,2,FIND(")",B287)-2)),""),"")</f>
        <v/>
      </c>
      <c r="D287" s="75" t="str">
        <f aca="false">IF($C287="","",N(元データ_PB合計!$B$285))</f>
        <v/>
      </c>
      <c r="E287" s="75" t="str">
        <f aca="false">IF($C287="","",N(元データ_PB合計!$C$285))</f>
        <v/>
      </c>
      <c r="F287" s="75" t="str">
        <f aca="false">IF($C287="","",N(元データ_PB合計!$F$285))</f>
        <v/>
      </c>
      <c r="G287" s="74" t="str">
        <f aca="false">IF($C287="","",IF(COUNTIF(店舗マスタ!$B$5:$B$304,$C287)&gt;0,"登録済","未登録→マスタに追加"))</f>
        <v/>
      </c>
      <c r="I287" s="74" t="n">
        <v>285</v>
      </c>
      <c r="J287" s="74" t="str">
        <f aca="false">IF(元データ_P!$A$285="","",元データ_P!$A$285)</f>
        <v/>
      </c>
      <c r="K287" s="74" t="str">
        <f aca="false">IF(LEFT(J287,1)="(",IFERROR(VALUE(MID(J287,2,FIND(")",J287)-2)),""),"")</f>
        <v/>
      </c>
      <c r="L287" s="75" t="str">
        <f aca="false">IF($K287="","",N(元データ_P!$B$285))</f>
        <v/>
      </c>
      <c r="M287" s="75" t="str">
        <f aca="false">IF($K287="","",N(元データ_P!$F$285))</f>
        <v/>
      </c>
      <c r="N287" s="74" t="str">
        <f aca="false">IF($K287="","",IF(COUNTIF(店舗マスタ!$B$5:$B$304,$K287)&gt;0,"登録済","未登録→マスタに追加"))</f>
        <v/>
      </c>
      <c r="P287" s="74" t="n">
        <v>285</v>
      </c>
      <c r="Q287" s="74" t="str">
        <f aca="false">IF(元データ_B!$A$285="","",元データ_B!$A$285)</f>
        <v/>
      </c>
      <c r="R287" s="74" t="str">
        <f aca="false">IF(LEFT(Q287,1)="(",IFERROR(VALUE(MID(Q287,2,FIND(")",Q287)-2)),""),"")</f>
        <v/>
      </c>
      <c r="S287" s="75" t="str">
        <f aca="false">IF($R287="","",N(元データ_B!$B$285))</f>
        <v/>
      </c>
      <c r="T287" s="75" t="str">
        <f aca="false">IF($R287="","",N(元データ_B!$F$285))</f>
        <v/>
      </c>
      <c r="U287" s="74" t="str">
        <f aca="false">IF($R287="","",IF(COUNTIF(店舗マスタ!$B$5:$B$304,$R287)&gt;0,"登録済","未登録→マスタに追加"))</f>
        <v/>
      </c>
    </row>
    <row r="288" customFormat="false" ht="15" hidden="false" customHeight="false" outlineLevel="0" collapsed="false">
      <c r="A288" s="74" t="n">
        <v>286</v>
      </c>
      <c r="B288" s="74" t="str">
        <f aca="false">IF(元データ_PB合計!$A$286="","",元データ_PB合計!$A$286)</f>
        <v/>
      </c>
      <c r="C288" s="74" t="str">
        <f aca="false">IF(LEFT(B288,1)="(",IFERROR(VALUE(MID(B288,2,FIND(")",B288)-2)),""),"")</f>
        <v/>
      </c>
      <c r="D288" s="75" t="str">
        <f aca="false">IF($C288="","",N(元データ_PB合計!$B$286))</f>
        <v/>
      </c>
      <c r="E288" s="75" t="str">
        <f aca="false">IF($C288="","",N(元データ_PB合計!$C$286))</f>
        <v/>
      </c>
      <c r="F288" s="75" t="str">
        <f aca="false">IF($C288="","",N(元データ_PB合計!$F$286))</f>
        <v/>
      </c>
      <c r="G288" s="74" t="str">
        <f aca="false">IF($C288="","",IF(COUNTIF(店舗マスタ!$B$5:$B$304,$C288)&gt;0,"登録済","未登録→マスタに追加"))</f>
        <v/>
      </c>
      <c r="I288" s="74" t="n">
        <v>286</v>
      </c>
      <c r="J288" s="74" t="str">
        <f aca="false">IF(元データ_P!$A$286="","",元データ_P!$A$286)</f>
        <v/>
      </c>
      <c r="K288" s="74" t="str">
        <f aca="false">IF(LEFT(J288,1)="(",IFERROR(VALUE(MID(J288,2,FIND(")",J288)-2)),""),"")</f>
        <v/>
      </c>
      <c r="L288" s="75" t="str">
        <f aca="false">IF($K288="","",N(元データ_P!$B$286))</f>
        <v/>
      </c>
      <c r="M288" s="75" t="str">
        <f aca="false">IF($K288="","",N(元データ_P!$F$286))</f>
        <v/>
      </c>
      <c r="N288" s="74" t="str">
        <f aca="false">IF($K288="","",IF(COUNTIF(店舗マスタ!$B$5:$B$304,$K288)&gt;0,"登録済","未登録→マスタに追加"))</f>
        <v/>
      </c>
      <c r="P288" s="74" t="n">
        <v>286</v>
      </c>
      <c r="Q288" s="74" t="str">
        <f aca="false">IF(元データ_B!$A$286="","",元データ_B!$A$286)</f>
        <v/>
      </c>
      <c r="R288" s="74" t="str">
        <f aca="false">IF(LEFT(Q288,1)="(",IFERROR(VALUE(MID(Q288,2,FIND(")",Q288)-2)),""),"")</f>
        <v/>
      </c>
      <c r="S288" s="75" t="str">
        <f aca="false">IF($R288="","",N(元データ_B!$B$286))</f>
        <v/>
      </c>
      <c r="T288" s="75" t="str">
        <f aca="false">IF($R288="","",N(元データ_B!$F$286))</f>
        <v/>
      </c>
      <c r="U288" s="74" t="str">
        <f aca="false">IF($R288="","",IF(COUNTIF(店舗マスタ!$B$5:$B$304,$R288)&gt;0,"登録済","未登録→マスタに追加"))</f>
        <v/>
      </c>
    </row>
    <row r="289" customFormat="false" ht="15" hidden="false" customHeight="false" outlineLevel="0" collapsed="false">
      <c r="A289" s="74" t="n">
        <v>287</v>
      </c>
      <c r="B289" s="74" t="str">
        <f aca="false">IF(元データ_PB合計!$A$287="","",元データ_PB合計!$A$287)</f>
        <v/>
      </c>
      <c r="C289" s="74" t="str">
        <f aca="false">IF(LEFT(B289,1)="(",IFERROR(VALUE(MID(B289,2,FIND(")",B289)-2)),""),"")</f>
        <v/>
      </c>
      <c r="D289" s="75" t="str">
        <f aca="false">IF($C289="","",N(元データ_PB合計!$B$287))</f>
        <v/>
      </c>
      <c r="E289" s="75" t="str">
        <f aca="false">IF($C289="","",N(元データ_PB合計!$C$287))</f>
        <v/>
      </c>
      <c r="F289" s="75" t="str">
        <f aca="false">IF($C289="","",N(元データ_PB合計!$F$287))</f>
        <v/>
      </c>
      <c r="G289" s="74" t="str">
        <f aca="false">IF($C289="","",IF(COUNTIF(店舗マスタ!$B$5:$B$304,$C289)&gt;0,"登録済","未登録→マスタに追加"))</f>
        <v/>
      </c>
      <c r="I289" s="74" t="n">
        <v>287</v>
      </c>
      <c r="J289" s="74" t="str">
        <f aca="false">IF(元データ_P!$A$287="","",元データ_P!$A$287)</f>
        <v/>
      </c>
      <c r="K289" s="74" t="str">
        <f aca="false">IF(LEFT(J289,1)="(",IFERROR(VALUE(MID(J289,2,FIND(")",J289)-2)),""),"")</f>
        <v/>
      </c>
      <c r="L289" s="75" t="str">
        <f aca="false">IF($K289="","",N(元データ_P!$B$287))</f>
        <v/>
      </c>
      <c r="M289" s="75" t="str">
        <f aca="false">IF($K289="","",N(元データ_P!$F$287))</f>
        <v/>
      </c>
      <c r="N289" s="74" t="str">
        <f aca="false">IF($K289="","",IF(COUNTIF(店舗マスタ!$B$5:$B$304,$K289)&gt;0,"登録済","未登録→マスタに追加"))</f>
        <v/>
      </c>
      <c r="P289" s="74" t="n">
        <v>287</v>
      </c>
      <c r="Q289" s="74" t="str">
        <f aca="false">IF(元データ_B!$A$287="","",元データ_B!$A$287)</f>
        <v/>
      </c>
      <c r="R289" s="74" t="str">
        <f aca="false">IF(LEFT(Q289,1)="(",IFERROR(VALUE(MID(Q289,2,FIND(")",Q289)-2)),""),"")</f>
        <v/>
      </c>
      <c r="S289" s="75" t="str">
        <f aca="false">IF($R289="","",N(元データ_B!$B$287))</f>
        <v/>
      </c>
      <c r="T289" s="75" t="str">
        <f aca="false">IF($R289="","",N(元データ_B!$F$287))</f>
        <v/>
      </c>
      <c r="U289" s="74" t="str">
        <f aca="false">IF($R289="","",IF(COUNTIF(店舗マスタ!$B$5:$B$304,$R289)&gt;0,"登録済","未登録→マスタに追加"))</f>
        <v/>
      </c>
    </row>
    <row r="290" customFormat="false" ht="15" hidden="false" customHeight="false" outlineLevel="0" collapsed="false">
      <c r="A290" s="74" t="n">
        <v>288</v>
      </c>
      <c r="B290" s="74" t="str">
        <f aca="false">IF(元データ_PB合計!$A$288="","",元データ_PB合計!$A$288)</f>
        <v/>
      </c>
      <c r="C290" s="74" t="str">
        <f aca="false">IF(LEFT(B290,1)="(",IFERROR(VALUE(MID(B290,2,FIND(")",B290)-2)),""),"")</f>
        <v/>
      </c>
      <c r="D290" s="75" t="str">
        <f aca="false">IF($C290="","",N(元データ_PB合計!$B$288))</f>
        <v/>
      </c>
      <c r="E290" s="75" t="str">
        <f aca="false">IF($C290="","",N(元データ_PB合計!$C$288))</f>
        <v/>
      </c>
      <c r="F290" s="75" t="str">
        <f aca="false">IF($C290="","",N(元データ_PB合計!$F$288))</f>
        <v/>
      </c>
      <c r="G290" s="74" t="str">
        <f aca="false">IF($C290="","",IF(COUNTIF(店舗マスタ!$B$5:$B$304,$C290)&gt;0,"登録済","未登録→マスタに追加"))</f>
        <v/>
      </c>
      <c r="I290" s="74" t="n">
        <v>288</v>
      </c>
      <c r="J290" s="74" t="str">
        <f aca="false">IF(元データ_P!$A$288="","",元データ_P!$A$288)</f>
        <v/>
      </c>
      <c r="K290" s="74" t="str">
        <f aca="false">IF(LEFT(J290,1)="(",IFERROR(VALUE(MID(J290,2,FIND(")",J290)-2)),""),"")</f>
        <v/>
      </c>
      <c r="L290" s="75" t="str">
        <f aca="false">IF($K290="","",N(元データ_P!$B$288))</f>
        <v/>
      </c>
      <c r="M290" s="75" t="str">
        <f aca="false">IF($K290="","",N(元データ_P!$F$288))</f>
        <v/>
      </c>
      <c r="N290" s="74" t="str">
        <f aca="false">IF($K290="","",IF(COUNTIF(店舗マスタ!$B$5:$B$304,$K290)&gt;0,"登録済","未登録→マスタに追加"))</f>
        <v/>
      </c>
      <c r="P290" s="74" t="n">
        <v>288</v>
      </c>
      <c r="Q290" s="74" t="str">
        <f aca="false">IF(元データ_B!$A$288="","",元データ_B!$A$288)</f>
        <v/>
      </c>
      <c r="R290" s="74" t="str">
        <f aca="false">IF(LEFT(Q290,1)="(",IFERROR(VALUE(MID(Q290,2,FIND(")",Q290)-2)),""),"")</f>
        <v/>
      </c>
      <c r="S290" s="75" t="str">
        <f aca="false">IF($R290="","",N(元データ_B!$B$288))</f>
        <v/>
      </c>
      <c r="T290" s="75" t="str">
        <f aca="false">IF($R290="","",N(元データ_B!$F$288))</f>
        <v/>
      </c>
      <c r="U290" s="74" t="str">
        <f aca="false">IF($R290="","",IF(COUNTIF(店舗マスタ!$B$5:$B$304,$R290)&gt;0,"登録済","未登録→マスタに追加"))</f>
        <v/>
      </c>
    </row>
    <row r="291" customFormat="false" ht="15" hidden="false" customHeight="false" outlineLevel="0" collapsed="false">
      <c r="A291" s="74" t="n">
        <v>289</v>
      </c>
      <c r="B291" s="74" t="str">
        <f aca="false">IF(元データ_PB合計!$A$289="","",元データ_PB合計!$A$289)</f>
        <v/>
      </c>
      <c r="C291" s="74" t="str">
        <f aca="false">IF(LEFT(B291,1)="(",IFERROR(VALUE(MID(B291,2,FIND(")",B291)-2)),""),"")</f>
        <v/>
      </c>
      <c r="D291" s="75" t="str">
        <f aca="false">IF($C291="","",N(元データ_PB合計!$B$289))</f>
        <v/>
      </c>
      <c r="E291" s="75" t="str">
        <f aca="false">IF($C291="","",N(元データ_PB合計!$C$289))</f>
        <v/>
      </c>
      <c r="F291" s="75" t="str">
        <f aca="false">IF($C291="","",N(元データ_PB合計!$F$289))</f>
        <v/>
      </c>
      <c r="G291" s="74" t="str">
        <f aca="false">IF($C291="","",IF(COUNTIF(店舗マスタ!$B$5:$B$304,$C291)&gt;0,"登録済","未登録→マスタに追加"))</f>
        <v/>
      </c>
      <c r="I291" s="74" t="n">
        <v>289</v>
      </c>
      <c r="J291" s="74" t="str">
        <f aca="false">IF(元データ_P!$A$289="","",元データ_P!$A$289)</f>
        <v/>
      </c>
      <c r="K291" s="74" t="str">
        <f aca="false">IF(LEFT(J291,1)="(",IFERROR(VALUE(MID(J291,2,FIND(")",J291)-2)),""),"")</f>
        <v/>
      </c>
      <c r="L291" s="75" t="str">
        <f aca="false">IF($K291="","",N(元データ_P!$B$289))</f>
        <v/>
      </c>
      <c r="M291" s="75" t="str">
        <f aca="false">IF($K291="","",N(元データ_P!$F$289))</f>
        <v/>
      </c>
      <c r="N291" s="74" t="str">
        <f aca="false">IF($K291="","",IF(COUNTIF(店舗マスタ!$B$5:$B$304,$K291)&gt;0,"登録済","未登録→マスタに追加"))</f>
        <v/>
      </c>
      <c r="P291" s="74" t="n">
        <v>289</v>
      </c>
      <c r="Q291" s="74" t="str">
        <f aca="false">IF(元データ_B!$A$289="","",元データ_B!$A$289)</f>
        <v/>
      </c>
      <c r="R291" s="74" t="str">
        <f aca="false">IF(LEFT(Q291,1)="(",IFERROR(VALUE(MID(Q291,2,FIND(")",Q291)-2)),""),"")</f>
        <v/>
      </c>
      <c r="S291" s="75" t="str">
        <f aca="false">IF($R291="","",N(元データ_B!$B$289))</f>
        <v/>
      </c>
      <c r="T291" s="75" t="str">
        <f aca="false">IF($R291="","",N(元データ_B!$F$289))</f>
        <v/>
      </c>
      <c r="U291" s="74" t="str">
        <f aca="false">IF($R291="","",IF(COUNTIF(店舗マスタ!$B$5:$B$304,$R291)&gt;0,"登録済","未登録→マスタに追加"))</f>
        <v/>
      </c>
    </row>
    <row r="292" customFormat="false" ht="15" hidden="false" customHeight="false" outlineLevel="0" collapsed="false">
      <c r="A292" s="74" t="n">
        <v>290</v>
      </c>
      <c r="B292" s="74" t="str">
        <f aca="false">IF(元データ_PB合計!$A$290="","",元データ_PB合計!$A$290)</f>
        <v/>
      </c>
      <c r="C292" s="74" t="str">
        <f aca="false">IF(LEFT(B292,1)="(",IFERROR(VALUE(MID(B292,2,FIND(")",B292)-2)),""),"")</f>
        <v/>
      </c>
      <c r="D292" s="75" t="str">
        <f aca="false">IF($C292="","",N(元データ_PB合計!$B$290))</f>
        <v/>
      </c>
      <c r="E292" s="75" t="str">
        <f aca="false">IF($C292="","",N(元データ_PB合計!$C$290))</f>
        <v/>
      </c>
      <c r="F292" s="75" t="str">
        <f aca="false">IF($C292="","",N(元データ_PB合計!$F$290))</f>
        <v/>
      </c>
      <c r="G292" s="74" t="str">
        <f aca="false">IF($C292="","",IF(COUNTIF(店舗マスタ!$B$5:$B$304,$C292)&gt;0,"登録済","未登録→マスタに追加"))</f>
        <v/>
      </c>
      <c r="I292" s="74" t="n">
        <v>290</v>
      </c>
      <c r="J292" s="74" t="str">
        <f aca="false">IF(元データ_P!$A$290="","",元データ_P!$A$290)</f>
        <v/>
      </c>
      <c r="K292" s="74" t="str">
        <f aca="false">IF(LEFT(J292,1)="(",IFERROR(VALUE(MID(J292,2,FIND(")",J292)-2)),""),"")</f>
        <v/>
      </c>
      <c r="L292" s="75" t="str">
        <f aca="false">IF($K292="","",N(元データ_P!$B$290))</f>
        <v/>
      </c>
      <c r="M292" s="75" t="str">
        <f aca="false">IF($K292="","",N(元データ_P!$F$290))</f>
        <v/>
      </c>
      <c r="N292" s="74" t="str">
        <f aca="false">IF($K292="","",IF(COUNTIF(店舗マスタ!$B$5:$B$304,$K292)&gt;0,"登録済","未登録→マスタに追加"))</f>
        <v/>
      </c>
      <c r="P292" s="74" t="n">
        <v>290</v>
      </c>
      <c r="Q292" s="74" t="str">
        <f aca="false">IF(元データ_B!$A$290="","",元データ_B!$A$290)</f>
        <v/>
      </c>
      <c r="R292" s="74" t="str">
        <f aca="false">IF(LEFT(Q292,1)="(",IFERROR(VALUE(MID(Q292,2,FIND(")",Q292)-2)),""),"")</f>
        <v/>
      </c>
      <c r="S292" s="75" t="str">
        <f aca="false">IF($R292="","",N(元データ_B!$B$290))</f>
        <v/>
      </c>
      <c r="T292" s="75" t="str">
        <f aca="false">IF($R292="","",N(元データ_B!$F$290))</f>
        <v/>
      </c>
      <c r="U292" s="74" t="str">
        <f aca="false">IF($R292="","",IF(COUNTIF(店舗マスタ!$B$5:$B$304,$R292)&gt;0,"登録済","未登録→マスタに追加"))</f>
        <v/>
      </c>
    </row>
    <row r="293" customFormat="false" ht="15" hidden="false" customHeight="false" outlineLevel="0" collapsed="false">
      <c r="A293" s="74" t="n">
        <v>291</v>
      </c>
      <c r="B293" s="74" t="str">
        <f aca="false">IF(元データ_PB合計!$A$291="","",元データ_PB合計!$A$291)</f>
        <v/>
      </c>
      <c r="C293" s="74" t="str">
        <f aca="false">IF(LEFT(B293,1)="(",IFERROR(VALUE(MID(B293,2,FIND(")",B293)-2)),""),"")</f>
        <v/>
      </c>
      <c r="D293" s="75" t="str">
        <f aca="false">IF($C293="","",N(元データ_PB合計!$B$291))</f>
        <v/>
      </c>
      <c r="E293" s="75" t="str">
        <f aca="false">IF($C293="","",N(元データ_PB合計!$C$291))</f>
        <v/>
      </c>
      <c r="F293" s="75" t="str">
        <f aca="false">IF($C293="","",N(元データ_PB合計!$F$291))</f>
        <v/>
      </c>
      <c r="G293" s="74" t="str">
        <f aca="false">IF($C293="","",IF(COUNTIF(店舗マスタ!$B$5:$B$304,$C293)&gt;0,"登録済","未登録→マスタに追加"))</f>
        <v/>
      </c>
      <c r="I293" s="74" t="n">
        <v>291</v>
      </c>
      <c r="J293" s="74" t="str">
        <f aca="false">IF(元データ_P!$A$291="","",元データ_P!$A$291)</f>
        <v/>
      </c>
      <c r="K293" s="74" t="str">
        <f aca="false">IF(LEFT(J293,1)="(",IFERROR(VALUE(MID(J293,2,FIND(")",J293)-2)),""),"")</f>
        <v/>
      </c>
      <c r="L293" s="75" t="str">
        <f aca="false">IF($K293="","",N(元データ_P!$B$291))</f>
        <v/>
      </c>
      <c r="M293" s="75" t="str">
        <f aca="false">IF($K293="","",N(元データ_P!$F$291))</f>
        <v/>
      </c>
      <c r="N293" s="74" t="str">
        <f aca="false">IF($K293="","",IF(COUNTIF(店舗マスタ!$B$5:$B$304,$K293)&gt;0,"登録済","未登録→マスタに追加"))</f>
        <v/>
      </c>
      <c r="P293" s="74" t="n">
        <v>291</v>
      </c>
      <c r="Q293" s="74" t="str">
        <f aca="false">IF(元データ_B!$A$291="","",元データ_B!$A$291)</f>
        <v/>
      </c>
      <c r="R293" s="74" t="str">
        <f aca="false">IF(LEFT(Q293,1)="(",IFERROR(VALUE(MID(Q293,2,FIND(")",Q293)-2)),""),"")</f>
        <v/>
      </c>
      <c r="S293" s="75" t="str">
        <f aca="false">IF($R293="","",N(元データ_B!$B$291))</f>
        <v/>
      </c>
      <c r="T293" s="75" t="str">
        <f aca="false">IF($R293="","",N(元データ_B!$F$291))</f>
        <v/>
      </c>
      <c r="U293" s="74" t="str">
        <f aca="false">IF($R293="","",IF(COUNTIF(店舗マスタ!$B$5:$B$304,$R293)&gt;0,"登録済","未登録→マスタに追加"))</f>
        <v/>
      </c>
    </row>
    <row r="294" customFormat="false" ht="15" hidden="false" customHeight="false" outlineLevel="0" collapsed="false">
      <c r="A294" s="74" t="n">
        <v>292</v>
      </c>
      <c r="B294" s="74" t="str">
        <f aca="false">IF(元データ_PB合計!$A$292="","",元データ_PB合計!$A$292)</f>
        <v/>
      </c>
      <c r="C294" s="74" t="str">
        <f aca="false">IF(LEFT(B294,1)="(",IFERROR(VALUE(MID(B294,2,FIND(")",B294)-2)),""),"")</f>
        <v/>
      </c>
      <c r="D294" s="75" t="str">
        <f aca="false">IF($C294="","",N(元データ_PB合計!$B$292))</f>
        <v/>
      </c>
      <c r="E294" s="75" t="str">
        <f aca="false">IF($C294="","",N(元データ_PB合計!$C$292))</f>
        <v/>
      </c>
      <c r="F294" s="75" t="str">
        <f aca="false">IF($C294="","",N(元データ_PB合計!$F$292))</f>
        <v/>
      </c>
      <c r="G294" s="74" t="str">
        <f aca="false">IF($C294="","",IF(COUNTIF(店舗マスタ!$B$5:$B$304,$C294)&gt;0,"登録済","未登録→マスタに追加"))</f>
        <v/>
      </c>
      <c r="I294" s="74" t="n">
        <v>292</v>
      </c>
      <c r="J294" s="74" t="str">
        <f aca="false">IF(元データ_P!$A$292="","",元データ_P!$A$292)</f>
        <v/>
      </c>
      <c r="K294" s="74" t="str">
        <f aca="false">IF(LEFT(J294,1)="(",IFERROR(VALUE(MID(J294,2,FIND(")",J294)-2)),""),"")</f>
        <v/>
      </c>
      <c r="L294" s="75" t="str">
        <f aca="false">IF($K294="","",N(元データ_P!$B$292))</f>
        <v/>
      </c>
      <c r="M294" s="75" t="str">
        <f aca="false">IF($K294="","",N(元データ_P!$F$292))</f>
        <v/>
      </c>
      <c r="N294" s="74" t="str">
        <f aca="false">IF($K294="","",IF(COUNTIF(店舗マスタ!$B$5:$B$304,$K294)&gt;0,"登録済","未登録→マスタに追加"))</f>
        <v/>
      </c>
      <c r="P294" s="74" t="n">
        <v>292</v>
      </c>
      <c r="Q294" s="74" t="str">
        <f aca="false">IF(元データ_B!$A$292="","",元データ_B!$A$292)</f>
        <v/>
      </c>
      <c r="R294" s="74" t="str">
        <f aca="false">IF(LEFT(Q294,1)="(",IFERROR(VALUE(MID(Q294,2,FIND(")",Q294)-2)),""),"")</f>
        <v/>
      </c>
      <c r="S294" s="75" t="str">
        <f aca="false">IF($R294="","",N(元データ_B!$B$292))</f>
        <v/>
      </c>
      <c r="T294" s="75" t="str">
        <f aca="false">IF($R294="","",N(元データ_B!$F$292))</f>
        <v/>
      </c>
      <c r="U294" s="74" t="str">
        <f aca="false">IF($R294="","",IF(COUNTIF(店舗マスタ!$B$5:$B$304,$R294)&gt;0,"登録済","未登録→マスタに追加"))</f>
        <v/>
      </c>
    </row>
    <row r="295" customFormat="false" ht="15" hidden="false" customHeight="false" outlineLevel="0" collapsed="false">
      <c r="A295" s="74" t="n">
        <v>293</v>
      </c>
      <c r="B295" s="74" t="str">
        <f aca="false">IF(元データ_PB合計!$A$293="","",元データ_PB合計!$A$293)</f>
        <v/>
      </c>
      <c r="C295" s="74" t="str">
        <f aca="false">IF(LEFT(B295,1)="(",IFERROR(VALUE(MID(B295,2,FIND(")",B295)-2)),""),"")</f>
        <v/>
      </c>
      <c r="D295" s="75" t="str">
        <f aca="false">IF($C295="","",N(元データ_PB合計!$B$293))</f>
        <v/>
      </c>
      <c r="E295" s="75" t="str">
        <f aca="false">IF($C295="","",N(元データ_PB合計!$C$293))</f>
        <v/>
      </c>
      <c r="F295" s="75" t="str">
        <f aca="false">IF($C295="","",N(元データ_PB合計!$F$293))</f>
        <v/>
      </c>
      <c r="G295" s="74" t="str">
        <f aca="false">IF($C295="","",IF(COUNTIF(店舗マスタ!$B$5:$B$304,$C295)&gt;0,"登録済","未登録→マスタに追加"))</f>
        <v/>
      </c>
      <c r="I295" s="74" t="n">
        <v>293</v>
      </c>
      <c r="J295" s="74" t="str">
        <f aca="false">IF(元データ_P!$A$293="","",元データ_P!$A$293)</f>
        <v/>
      </c>
      <c r="K295" s="74" t="str">
        <f aca="false">IF(LEFT(J295,1)="(",IFERROR(VALUE(MID(J295,2,FIND(")",J295)-2)),""),"")</f>
        <v/>
      </c>
      <c r="L295" s="75" t="str">
        <f aca="false">IF($K295="","",N(元データ_P!$B$293))</f>
        <v/>
      </c>
      <c r="M295" s="75" t="str">
        <f aca="false">IF($K295="","",N(元データ_P!$F$293))</f>
        <v/>
      </c>
      <c r="N295" s="74" t="str">
        <f aca="false">IF($K295="","",IF(COUNTIF(店舗マスタ!$B$5:$B$304,$K295)&gt;0,"登録済","未登録→マスタに追加"))</f>
        <v/>
      </c>
      <c r="P295" s="74" t="n">
        <v>293</v>
      </c>
      <c r="Q295" s="74" t="str">
        <f aca="false">IF(元データ_B!$A$293="","",元データ_B!$A$293)</f>
        <v/>
      </c>
      <c r="R295" s="74" t="str">
        <f aca="false">IF(LEFT(Q295,1)="(",IFERROR(VALUE(MID(Q295,2,FIND(")",Q295)-2)),""),"")</f>
        <v/>
      </c>
      <c r="S295" s="75" t="str">
        <f aca="false">IF($R295="","",N(元データ_B!$B$293))</f>
        <v/>
      </c>
      <c r="T295" s="75" t="str">
        <f aca="false">IF($R295="","",N(元データ_B!$F$293))</f>
        <v/>
      </c>
      <c r="U295" s="74" t="str">
        <f aca="false">IF($R295="","",IF(COUNTIF(店舗マスタ!$B$5:$B$304,$R295)&gt;0,"登録済","未登録→マスタに追加"))</f>
        <v/>
      </c>
    </row>
    <row r="296" customFormat="false" ht="15" hidden="false" customHeight="false" outlineLevel="0" collapsed="false">
      <c r="A296" s="74" t="n">
        <v>294</v>
      </c>
      <c r="B296" s="74" t="str">
        <f aca="false">IF(元データ_PB合計!$A$294="","",元データ_PB合計!$A$294)</f>
        <v/>
      </c>
      <c r="C296" s="74" t="str">
        <f aca="false">IF(LEFT(B296,1)="(",IFERROR(VALUE(MID(B296,2,FIND(")",B296)-2)),""),"")</f>
        <v/>
      </c>
      <c r="D296" s="75" t="str">
        <f aca="false">IF($C296="","",N(元データ_PB合計!$B$294))</f>
        <v/>
      </c>
      <c r="E296" s="75" t="str">
        <f aca="false">IF($C296="","",N(元データ_PB合計!$C$294))</f>
        <v/>
      </c>
      <c r="F296" s="75" t="str">
        <f aca="false">IF($C296="","",N(元データ_PB合計!$F$294))</f>
        <v/>
      </c>
      <c r="G296" s="74" t="str">
        <f aca="false">IF($C296="","",IF(COUNTIF(店舗マスタ!$B$5:$B$304,$C296)&gt;0,"登録済","未登録→マスタに追加"))</f>
        <v/>
      </c>
      <c r="I296" s="74" t="n">
        <v>294</v>
      </c>
      <c r="J296" s="74" t="str">
        <f aca="false">IF(元データ_P!$A$294="","",元データ_P!$A$294)</f>
        <v/>
      </c>
      <c r="K296" s="74" t="str">
        <f aca="false">IF(LEFT(J296,1)="(",IFERROR(VALUE(MID(J296,2,FIND(")",J296)-2)),""),"")</f>
        <v/>
      </c>
      <c r="L296" s="75" t="str">
        <f aca="false">IF($K296="","",N(元データ_P!$B$294))</f>
        <v/>
      </c>
      <c r="M296" s="75" t="str">
        <f aca="false">IF($K296="","",N(元データ_P!$F$294))</f>
        <v/>
      </c>
      <c r="N296" s="74" t="str">
        <f aca="false">IF($K296="","",IF(COUNTIF(店舗マスタ!$B$5:$B$304,$K296)&gt;0,"登録済","未登録→マスタに追加"))</f>
        <v/>
      </c>
      <c r="P296" s="74" t="n">
        <v>294</v>
      </c>
      <c r="Q296" s="74" t="str">
        <f aca="false">IF(元データ_B!$A$294="","",元データ_B!$A$294)</f>
        <v/>
      </c>
      <c r="R296" s="74" t="str">
        <f aca="false">IF(LEFT(Q296,1)="(",IFERROR(VALUE(MID(Q296,2,FIND(")",Q296)-2)),""),"")</f>
        <v/>
      </c>
      <c r="S296" s="75" t="str">
        <f aca="false">IF($R296="","",N(元データ_B!$B$294))</f>
        <v/>
      </c>
      <c r="T296" s="75" t="str">
        <f aca="false">IF($R296="","",N(元データ_B!$F$294))</f>
        <v/>
      </c>
      <c r="U296" s="74" t="str">
        <f aca="false">IF($R296="","",IF(COUNTIF(店舗マスタ!$B$5:$B$304,$R296)&gt;0,"登録済","未登録→マスタに追加"))</f>
        <v/>
      </c>
    </row>
    <row r="297" customFormat="false" ht="15" hidden="false" customHeight="false" outlineLevel="0" collapsed="false">
      <c r="A297" s="74" t="n">
        <v>295</v>
      </c>
      <c r="B297" s="74" t="str">
        <f aca="false">IF(元データ_PB合計!$A$295="","",元データ_PB合計!$A$295)</f>
        <v/>
      </c>
      <c r="C297" s="74" t="str">
        <f aca="false">IF(LEFT(B297,1)="(",IFERROR(VALUE(MID(B297,2,FIND(")",B297)-2)),""),"")</f>
        <v/>
      </c>
      <c r="D297" s="75" t="str">
        <f aca="false">IF($C297="","",N(元データ_PB合計!$B$295))</f>
        <v/>
      </c>
      <c r="E297" s="75" t="str">
        <f aca="false">IF($C297="","",N(元データ_PB合計!$C$295))</f>
        <v/>
      </c>
      <c r="F297" s="75" t="str">
        <f aca="false">IF($C297="","",N(元データ_PB合計!$F$295))</f>
        <v/>
      </c>
      <c r="G297" s="74" t="str">
        <f aca="false">IF($C297="","",IF(COUNTIF(店舗マスタ!$B$5:$B$304,$C297)&gt;0,"登録済","未登録→マスタに追加"))</f>
        <v/>
      </c>
      <c r="I297" s="74" t="n">
        <v>295</v>
      </c>
      <c r="J297" s="74" t="str">
        <f aca="false">IF(元データ_P!$A$295="","",元データ_P!$A$295)</f>
        <v/>
      </c>
      <c r="K297" s="74" t="str">
        <f aca="false">IF(LEFT(J297,1)="(",IFERROR(VALUE(MID(J297,2,FIND(")",J297)-2)),""),"")</f>
        <v/>
      </c>
      <c r="L297" s="75" t="str">
        <f aca="false">IF($K297="","",N(元データ_P!$B$295))</f>
        <v/>
      </c>
      <c r="M297" s="75" t="str">
        <f aca="false">IF($K297="","",N(元データ_P!$F$295))</f>
        <v/>
      </c>
      <c r="N297" s="74" t="str">
        <f aca="false">IF($K297="","",IF(COUNTIF(店舗マスタ!$B$5:$B$304,$K297)&gt;0,"登録済","未登録→マスタに追加"))</f>
        <v/>
      </c>
      <c r="P297" s="74" t="n">
        <v>295</v>
      </c>
      <c r="Q297" s="74" t="str">
        <f aca="false">IF(元データ_B!$A$295="","",元データ_B!$A$295)</f>
        <v/>
      </c>
      <c r="R297" s="74" t="str">
        <f aca="false">IF(LEFT(Q297,1)="(",IFERROR(VALUE(MID(Q297,2,FIND(")",Q297)-2)),""),"")</f>
        <v/>
      </c>
      <c r="S297" s="75" t="str">
        <f aca="false">IF($R297="","",N(元データ_B!$B$295))</f>
        <v/>
      </c>
      <c r="T297" s="75" t="str">
        <f aca="false">IF($R297="","",N(元データ_B!$F$295))</f>
        <v/>
      </c>
      <c r="U297" s="74" t="str">
        <f aca="false">IF($R297="","",IF(COUNTIF(店舗マスタ!$B$5:$B$304,$R297)&gt;0,"登録済","未登録→マスタに追加"))</f>
        <v/>
      </c>
    </row>
    <row r="298" customFormat="false" ht="15" hidden="false" customHeight="false" outlineLevel="0" collapsed="false">
      <c r="A298" s="74" t="n">
        <v>296</v>
      </c>
      <c r="B298" s="74" t="str">
        <f aca="false">IF(元データ_PB合計!$A$296="","",元データ_PB合計!$A$296)</f>
        <v/>
      </c>
      <c r="C298" s="74" t="str">
        <f aca="false">IF(LEFT(B298,1)="(",IFERROR(VALUE(MID(B298,2,FIND(")",B298)-2)),""),"")</f>
        <v/>
      </c>
      <c r="D298" s="75" t="str">
        <f aca="false">IF($C298="","",N(元データ_PB合計!$B$296))</f>
        <v/>
      </c>
      <c r="E298" s="75" t="str">
        <f aca="false">IF($C298="","",N(元データ_PB合計!$C$296))</f>
        <v/>
      </c>
      <c r="F298" s="75" t="str">
        <f aca="false">IF($C298="","",N(元データ_PB合計!$F$296))</f>
        <v/>
      </c>
      <c r="G298" s="74" t="str">
        <f aca="false">IF($C298="","",IF(COUNTIF(店舗マスタ!$B$5:$B$304,$C298)&gt;0,"登録済","未登録→マスタに追加"))</f>
        <v/>
      </c>
      <c r="I298" s="74" t="n">
        <v>296</v>
      </c>
      <c r="J298" s="74" t="str">
        <f aca="false">IF(元データ_P!$A$296="","",元データ_P!$A$296)</f>
        <v/>
      </c>
      <c r="K298" s="74" t="str">
        <f aca="false">IF(LEFT(J298,1)="(",IFERROR(VALUE(MID(J298,2,FIND(")",J298)-2)),""),"")</f>
        <v/>
      </c>
      <c r="L298" s="75" t="str">
        <f aca="false">IF($K298="","",N(元データ_P!$B$296))</f>
        <v/>
      </c>
      <c r="M298" s="75" t="str">
        <f aca="false">IF($K298="","",N(元データ_P!$F$296))</f>
        <v/>
      </c>
      <c r="N298" s="74" t="str">
        <f aca="false">IF($K298="","",IF(COUNTIF(店舗マスタ!$B$5:$B$304,$K298)&gt;0,"登録済","未登録→マスタに追加"))</f>
        <v/>
      </c>
      <c r="P298" s="74" t="n">
        <v>296</v>
      </c>
      <c r="Q298" s="74" t="str">
        <f aca="false">IF(元データ_B!$A$296="","",元データ_B!$A$296)</f>
        <v/>
      </c>
      <c r="R298" s="74" t="str">
        <f aca="false">IF(LEFT(Q298,1)="(",IFERROR(VALUE(MID(Q298,2,FIND(")",Q298)-2)),""),"")</f>
        <v/>
      </c>
      <c r="S298" s="75" t="str">
        <f aca="false">IF($R298="","",N(元データ_B!$B$296))</f>
        <v/>
      </c>
      <c r="T298" s="75" t="str">
        <f aca="false">IF($R298="","",N(元データ_B!$F$296))</f>
        <v/>
      </c>
      <c r="U298" s="74" t="str">
        <f aca="false">IF($R298="","",IF(COUNTIF(店舗マスタ!$B$5:$B$304,$R298)&gt;0,"登録済","未登録→マスタに追加"))</f>
        <v/>
      </c>
    </row>
    <row r="299" customFormat="false" ht="15" hidden="false" customHeight="false" outlineLevel="0" collapsed="false">
      <c r="A299" s="74" t="n">
        <v>297</v>
      </c>
      <c r="B299" s="74" t="str">
        <f aca="false">IF(元データ_PB合計!$A$297="","",元データ_PB合計!$A$297)</f>
        <v/>
      </c>
      <c r="C299" s="74" t="str">
        <f aca="false">IF(LEFT(B299,1)="(",IFERROR(VALUE(MID(B299,2,FIND(")",B299)-2)),""),"")</f>
        <v/>
      </c>
      <c r="D299" s="75" t="str">
        <f aca="false">IF($C299="","",N(元データ_PB合計!$B$297))</f>
        <v/>
      </c>
      <c r="E299" s="75" t="str">
        <f aca="false">IF($C299="","",N(元データ_PB合計!$C$297))</f>
        <v/>
      </c>
      <c r="F299" s="75" t="str">
        <f aca="false">IF($C299="","",N(元データ_PB合計!$F$297))</f>
        <v/>
      </c>
      <c r="G299" s="74" t="str">
        <f aca="false">IF($C299="","",IF(COUNTIF(店舗マスタ!$B$5:$B$304,$C299)&gt;0,"登録済","未登録→マスタに追加"))</f>
        <v/>
      </c>
      <c r="I299" s="74" t="n">
        <v>297</v>
      </c>
      <c r="J299" s="74" t="str">
        <f aca="false">IF(元データ_P!$A$297="","",元データ_P!$A$297)</f>
        <v/>
      </c>
      <c r="K299" s="74" t="str">
        <f aca="false">IF(LEFT(J299,1)="(",IFERROR(VALUE(MID(J299,2,FIND(")",J299)-2)),""),"")</f>
        <v/>
      </c>
      <c r="L299" s="75" t="str">
        <f aca="false">IF($K299="","",N(元データ_P!$B$297))</f>
        <v/>
      </c>
      <c r="M299" s="75" t="str">
        <f aca="false">IF($K299="","",N(元データ_P!$F$297))</f>
        <v/>
      </c>
      <c r="N299" s="74" t="str">
        <f aca="false">IF($K299="","",IF(COUNTIF(店舗マスタ!$B$5:$B$304,$K299)&gt;0,"登録済","未登録→マスタに追加"))</f>
        <v/>
      </c>
      <c r="P299" s="74" t="n">
        <v>297</v>
      </c>
      <c r="Q299" s="74" t="str">
        <f aca="false">IF(元データ_B!$A$297="","",元データ_B!$A$297)</f>
        <v/>
      </c>
      <c r="R299" s="74" t="str">
        <f aca="false">IF(LEFT(Q299,1)="(",IFERROR(VALUE(MID(Q299,2,FIND(")",Q299)-2)),""),"")</f>
        <v/>
      </c>
      <c r="S299" s="75" t="str">
        <f aca="false">IF($R299="","",N(元データ_B!$B$297))</f>
        <v/>
      </c>
      <c r="T299" s="75" t="str">
        <f aca="false">IF($R299="","",N(元データ_B!$F$297))</f>
        <v/>
      </c>
      <c r="U299" s="74" t="str">
        <f aca="false">IF($R299="","",IF(COUNTIF(店舗マスタ!$B$5:$B$304,$R299)&gt;0,"登録済","未登録→マスタに追加"))</f>
        <v/>
      </c>
    </row>
    <row r="300" customFormat="false" ht="15" hidden="false" customHeight="false" outlineLevel="0" collapsed="false">
      <c r="A300" s="74" t="n">
        <v>298</v>
      </c>
      <c r="B300" s="74" t="str">
        <f aca="false">IF(元データ_PB合計!$A$298="","",元データ_PB合計!$A$298)</f>
        <v/>
      </c>
      <c r="C300" s="74" t="str">
        <f aca="false">IF(LEFT(B300,1)="(",IFERROR(VALUE(MID(B300,2,FIND(")",B300)-2)),""),"")</f>
        <v/>
      </c>
      <c r="D300" s="75" t="str">
        <f aca="false">IF($C300="","",N(元データ_PB合計!$B$298))</f>
        <v/>
      </c>
      <c r="E300" s="75" t="str">
        <f aca="false">IF($C300="","",N(元データ_PB合計!$C$298))</f>
        <v/>
      </c>
      <c r="F300" s="75" t="str">
        <f aca="false">IF($C300="","",N(元データ_PB合計!$F$298))</f>
        <v/>
      </c>
      <c r="G300" s="74" t="str">
        <f aca="false">IF($C300="","",IF(COUNTIF(店舗マスタ!$B$5:$B$304,$C300)&gt;0,"登録済","未登録→マスタに追加"))</f>
        <v/>
      </c>
      <c r="I300" s="74" t="n">
        <v>298</v>
      </c>
      <c r="J300" s="74" t="str">
        <f aca="false">IF(元データ_P!$A$298="","",元データ_P!$A$298)</f>
        <v/>
      </c>
      <c r="K300" s="74" t="str">
        <f aca="false">IF(LEFT(J300,1)="(",IFERROR(VALUE(MID(J300,2,FIND(")",J300)-2)),""),"")</f>
        <v/>
      </c>
      <c r="L300" s="75" t="str">
        <f aca="false">IF($K300="","",N(元データ_P!$B$298))</f>
        <v/>
      </c>
      <c r="M300" s="75" t="str">
        <f aca="false">IF($K300="","",N(元データ_P!$F$298))</f>
        <v/>
      </c>
      <c r="N300" s="74" t="str">
        <f aca="false">IF($K300="","",IF(COUNTIF(店舗マスタ!$B$5:$B$304,$K300)&gt;0,"登録済","未登録→マスタに追加"))</f>
        <v/>
      </c>
      <c r="P300" s="74" t="n">
        <v>298</v>
      </c>
      <c r="Q300" s="74" t="str">
        <f aca="false">IF(元データ_B!$A$298="","",元データ_B!$A$298)</f>
        <v/>
      </c>
      <c r="R300" s="74" t="str">
        <f aca="false">IF(LEFT(Q300,1)="(",IFERROR(VALUE(MID(Q300,2,FIND(")",Q300)-2)),""),"")</f>
        <v/>
      </c>
      <c r="S300" s="75" t="str">
        <f aca="false">IF($R300="","",N(元データ_B!$B$298))</f>
        <v/>
      </c>
      <c r="T300" s="75" t="str">
        <f aca="false">IF($R300="","",N(元データ_B!$F$298))</f>
        <v/>
      </c>
      <c r="U300" s="74" t="str">
        <f aca="false">IF($R300="","",IF(COUNTIF(店舗マスタ!$B$5:$B$304,$R300)&gt;0,"登録済","未登録→マスタに追加"))</f>
        <v/>
      </c>
    </row>
    <row r="301" customFormat="false" ht="15" hidden="false" customHeight="false" outlineLevel="0" collapsed="false">
      <c r="A301" s="74" t="n">
        <v>299</v>
      </c>
      <c r="B301" s="74" t="str">
        <f aca="false">IF(元データ_PB合計!$A$299="","",元データ_PB合計!$A$299)</f>
        <v/>
      </c>
      <c r="C301" s="74" t="str">
        <f aca="false">IF(LEFT(B301,1)="(",IFERROR(VALUE(MID(B301,2,FIND(")",B301)-2)),""),"")</f>
        <v/>
      </c>
      <c r="D301" s="75" t="str">
        <f aca="false">IF($C301="","",N(元データ_PB合計!$B$299))</f>
        <v/>
      </c>
      <c r="E301" s="75" t="str">
        <f aca="false">IF($C301="","",N(元データ_PB合計!$C$299))</f>
        <v/>
      </c>
      <c r="F301" s="75" t="str">
        <f aca="false">IF($C301="","",N(元データ_PB合計!$F$299))</f>
        <v/>
      </c>
      <c r="G301" s="74" t="str">
        <f aca="false">IF($C301="","",IF(COUNTIF(店舗マスタ!$B$5:$B$304,$C301)&gt;0,"登録済","未登録→マスタに追加"))</f>
        <v/>
      </c>
      <c r="I301" s="74" t="n">
        <v>299</v>
      </c>
      <c r="J301" s="74" t="str">
        <f aca="false">IF(元データ_P!$A$299="","",元データ_P!$A$299)</f>
        <v/>
      </c>
      <c r="K301" s="74" t="str">
        <f aca="false">IF(LEFT(J301,1)="(",IFERROR(VALUE(MID(J301,2,FIND(")",J301)-2)),""),"")</f>
        <v/>
      </c>
      <c r="L301" s="75" t="str">
        <f aca="false">IF($K301="","",N(元データ_P!$B$299))</f>
        <v/>
      </c>
      <c r="M301" s="75" t="str">
        <f aca="false">IF($K301="","",N(元データ_P!$F$299))</f>
        <v/>
      </c>
      <c r="N301" s="74" t="str">
        <f aca="false">IF($K301="","",IF(COUNTIF(店舗マスタ!$B$5:$B$304,$K301)&gt;0,"登録済","未登録→マスタに追加"))</f>
        <v/>
      </c>
      <c r="P301" s="74" t="n">
        <v>299</v>
      </c>
      <c r="Q301" s="74" t="str">
        <f aca="false">IF(元データ_B!$A$299="","",元データ_B!$A$299)</f>
        <v/>
      </c>
      <c r="R301" s="74" t="str">
        <f aca="false">IF(LEFT(Q301,1)="(",IFERROR(VALUE(MID(Q301,2,FIND(")",Q301)-2)),""),"")</f>
        <v/>
      </c>
      <c r="S301" s="75" t="str">
        <f aca="false">IF($R301="","",N(元データ_B!$B$299))</f>
        <v/>
      </c>
      <c r="T301" s="75" t="str">
        <f aca="false">IF($R301="","",N(元データ_B!$F$299))</f>
        <v/>
      </c>
      <c r="U301" s="74" t="str">
        <f aca="false">IF($R301="","",IF(COUNTIF(店舗マスタ!$B$5:$B$304,$R301)&gt;0,"登録済","未登録→マスタに追加"))</f>
        <v/>
      </c>
    </row>
    <row r="302" customFormat="false" ht="15" hidden="false" customHeight="false" outlineLevel="0" collapsed="false">
      <c r="A302" s="74" t="n">
        <v>300</v>
      </c>
      <c r="B302" s="74" t="str">
        <f aca="false">IF(元データ_PB合計!$A$300="","",元データ_PB合計!$A$300)</f>
        <v/>
      </c>
      <c r="C302" s="74" t="str">
        <f aca="false">IF(LEFT(B302,1)="(",IFERROR(VALUE(MID(B302,2,FIND(")",B302)-2)),""),"")</f>
        <v/>
      </c>
      <c r="D302" s="75" t="str">
        <f aca="false">IF($C302="","",N(元データ_PB合計!$B$300))</f>
        <v/>
      </c>
      <c r="E302" s="75" t="str">
        <f aca="false">IF($C302="","",N(元データ_PB合計!$C$300))</f>
        <v/>
      </c>
      <c r="F302" s="75" t="str">
        <f aca="false">IF($C302="","",N(元データ_PB合計!$F$300))</f>
        <v/>
      </c>
      <c r="G302" s="74" t="str">
        <f aca="false">IF($C302="","",IF(COUNTIF(店舗マスタ!$B$5:$B$304,$C302)&gt;0,"登録済","未登録→マスタに追加"))</f>
        <v/>
      </c>
      <c r="I302" s="74" t="n">
        <v>300</v>
      </c>
      <c r="J302" s="74" t="str">
        <f aca="false">IF(元データ_P!$A$300="","",元データ_P!$A$300)</f>
        <v/>
      </c>
      <c r="K302" s="74" t="str">
        <f aca="false">IF(LEFT(J302,1)="(",IFERROR(VALUE(MID(J302,2,FIND(")",J302)-2)),""),"")</f>
        <v/>
      </c>
      <c r="L302" s="75" t="str">
        <f aca="false">IF($K302="","",N(元データ_P!$B$300))</f>
        <v/>
      </c>
      <c r="M302" s="75" t="str">
        <f aca="false">IF($K302="","",N(元データ_P!$F$300))</f>
        <v/>
      </c>
      <c r="N302" s="74" t="str">
        <f aca="false">IF($K302="","",IF(COUNTIF(店舗マスタ!$B$5:$B$304,$K302)&gt;0,"登録済","未登録→マスタに追加"))</f>
        <v/>
      </c>
      <c r="P302" s="74" t="n">
        <v>300</v>
      </c>
      <c r="Q302" s="74" t="str">
        <f aca="false">IF(元データ_B!$A$300="","",元データ_B!$A$300)</f>
        <v/>
      </c>
      <c r="R302" s="74" t="str">
        <f aca="false">IF(LEFT(Q302,1)="(",IFERROR(VALUE(MID(Q302,2,FIND(")",Q302)-2)),""),"")</f>
        <v/>
      </c>
      <c r="S302" s="75" t="str">
        <f aca="false">IF($R302="","",N(元データ_B!$B$300))</f>
        <v/>
      </c>
      <c r="T302" s="75" t="str">
        <f aca="false">IF($R302="","",N(元データ_B!$F$300))</f>
        <v/>
      </c>
      <c r="U302" s="74" t="str">
        <f aca="false">IF($R302="","",IF(COUNTIF(店舗マスタ!$B$5:$B$304,$R302)&gt;0,"登録済","未登録→マスタに追加"))</f>
        <v/>
      </c>
    </row>
    <row r="303" customFormat="false" ht="15" hidden="false" customHeight="false" outlineLevel="0" collapsed="false">
      <c r="A303" s="74" t="n">
        <v>301</v>
      </c>
      <c r="B303" s="74" t="str">
        <f aca="false">IF(元データ_PB合計!$A$301="","",元データ_PB合計!$A$301)</f>
        <v/>
      </c>
      <c r="C303" s="74" t="str">
        <f aca="false">IF(LEFT(B303,1)="(",IFERROR(VALUE(MID(B303,2,FIND(")",B303)-2)),""),"")</f>
        <v/>
      </c>
      <c r="D303" s="75" t="str">
        <f aca="false">IF($C303="","",N(元データ_PB合計!$B$301))</f>
        <v/>
      </c>
      <c r="E303" s="75" t="str">
        <f aca="false">IF($C303="","",N(元データ_PB合計!$C$301))</f>
        <v/>
      </c>
      <c r="F303" s="75" t="str">
        <f aca="false">IF($C303="","",N(元データ_PB合計!$F$301))</f>
        <v/>
      </c>
      <c r="G303" s="74" t="str">
        <f aca="false">IF($C303="","",IF(COUNTIF(店舗マスタ!$B$5:$B$304,$C303)&gt;0,"登録済","未登録→マスタに追加"))</f>
        <v/>
      </c>
      <c r="I303" s="74" t="n">
        <v>301</v>
      </c>
      <c r="J303" s="74" t="str">
        <f aca="false">IF(元データ_P!$A$301="","",元データ_P!$A$301)</f>
        <v/>
      </c>
      <c r="K303" s="74" t="str">
        <f aca="false">IF(LEFT(J303,1)="(",IFERROR(VALUE(MID(J303,2,FIND(")",J303)-2)),""),"")</f>
        <v/>
      </c>
      <c r="L303" s="75" t="str">
        <f aca="false">IF($K303="","",N(元データ_P!$B$301))</f>
        <v/>
      </c>
      <c r="M303" s="75" t="str">
        <f aca="false">IF($K303="","",N(元データ_P!$F$301))</f>
        <v/>
      </c>
      <c r="N303" s="74" t="str">
        <f aca="false">IF($K303="","",IF(COUNTIF(店舗マスタ!$B$5:$B$304,$K303)&gt;0,"登録済","未登録→マスタに追加"))</f>
        <v/>
      </c>
      <c r="P303" s="74" t="n">
        <v>301</v>
      </c>
      <c r="Q303" s="74" t="str">
        <f aca="false">IF(元データ_B!$A$301="","",元データ_B!$A$301)</f>
        <v/>
      </c>
      <c r="R303" s="74" t="str">
        <f aca="false">IF(LEFT(Q303,1)="(",IFERROR(VALUE(MID(Q303,2,FIND(")",Q303)-2)),""),"")</f>
        <v/>
      </c>
      <c r="S303" s="75" t="str">
        <f aca="false">IF($R303="","",N(元データ_B!$B$301))</f>
        <v/>
      </c>
      <c r="T303" s="75" t="str">
        <f aca="false">IF($R303="","",N(元データ_B!$F$301))</f>
        <v/>
      </c>
      <c r="U303" s="74" t="str">
        <f aca="false">IF($R303="","",IF(COUNTIF(店舗マスタ!$B$5:$B$304,$R303)&gt;0,"登録済","未登録→マスタに追加"))</f>
        <v/>
      </c>
    </row>
    <row r="304" customFormat="false" ht="15" hidden="false" customHeight="false" outlineLevel="0" collapsed="false">
      <c r="A304" s="74" t="n">
        <v>302</v>
      </c>
      <c r="B304" s="74" t="str">
        <f aca="false">IF(元データ_PB合計!$A$302="","",元データ_PB合計!$A$302)</f>
        <v/>
      </c>
      <c r="C304" s="74" t="str">
        <f aca="false">IF(LEFT(B304,1)="(",IFERROR(VALUE(MID(B304,2,FIND(")",B304)-2)),""),"")</f>
        <v/>
      </c>
      <c r="D304" s="75" t="str">
        <f aca="false">IF($C304="","",N(元データ_PB合計!$B$302))</f>
        <v/>
      </c>
      <c r="E304" s="75" t="str">
        <f aca="false">IF($C304="","",N(元データ_PB合計!$C$302))</f>
        <v/>
      </c>
      <c r="F304" s="75" t="str">
        <f aca="false">IF($C304="","",N(元データ_PB合計!$F$302))</f>
        <v/>
      </c>
      <c r="G304" s="74" t="str">
        <f aca="false">IF($C304="","",IF(COUNTIF(店舗マスタ!$B$5:$B$304,$C304)&gt;0,"登録済","未登録→マスタに追加"))</f>
        <v/>
      </c>
      <c r="I304" s="74" t="n">
        <v>302</v>
      </c>
      <c r="J304" s="74" t="str">
        <f aca="false">IF(元データ_P!$A$302="","",元データ_P!$A$302)</f>
        <v/>
      </c>
      <c r="K304" s="74" t="str">
        <f aca="false">IF(LEFT(J304,1)="(",IFERROR(VALUE(MID(J304,2,FIND(")",J304)-2)),""),"")</f>
        <v/>
      </c>
      <c r="L304" s="75" t="str">
        <f aca="false">IF($K304="","",N(元データ_P!$B$302))</f>
        <v/>
      </c>
      <c r="M304" s="75" t="str">
        <f aca="false">IF($K304="","",N(元データ_P!$F$302))</f>
        <v/>
      </c>
      <c r="N304" s="74" t="str">
        <f aca="false">IF($K304="","",IF(COUNTIF(店舗マスタ!$B$5:$B$304,$K304)&gt;0,"登録済","未登録→マスタに追加"))</f>
        <v/>
      </c>
      <c r="P304" s="74" t="n">
        <v>302</v>
      </c>
      <c r="Q304" s="74" t="str">
        <f aca="false">IF(元データ_B!$A$302="","",元データ_B!$A$302)</f>
        <v/>
      </c>
      <c r="R304" s="74" t="str">
        <f aca="false">IF(LEFT(Q304,1)="(",IFERROR(VALUE(MID(Q304,2,FIND(")",Q304)-2)),""),"")</f>
        <v/>
      </c>
      <c r="S304" s="75" t="str">
        <f aca="false">IF($R304="","",N(元データ_B!$B$302))</f>
        <v/>
      </c>
      <c r="T304" s="75" t="str">
        <f aca="false">IF($R304="","",N(元データ_B!$F$302))</f>
        <v/>
      </c>
      <c r="U304" s="74" t="str">
        <f aca="false">IF($R304="","",IF(COUNTIF(店舗マスタ!$B$5:$B$304,$R304)&gt;0,"登録済","未登録→マスタに追加"))</f>
        <v/>
      </c>
    </row>
    <row r="305" customFormat="false" ht="15" hidden="false" customHeight="false" outlineLevel="0" collapsed="false">
      <c r="A305" s="74" t="n">
        <v>303</v>
      </c>
      <c r="B305" s="74" t="str">
        <f aca="false">IF(元データ_PB合計!$A$303="","",元データ_PB合計!$A$303)</f>
        <v/>
      </c>
      <c r="C305" s="74" t="str">
        <f aca="false">IF(LEFT(B305,1)="(",IFERROR(VALUE(MID(B305,2,FIND(")",B305)-2)),""),"")</f>
        <v/>
      </c>
      <c r="D305" s="75" t="str">
        <f aca="false">IF($C305="","",N(元データ_PB合計!$B$303))</f>
        <v/>
      </c>
      <c r="E305" s="75" t="str">
        <f aca="false">IF($C305="","",N(元データ_PB合計!$C$303))</f>
        <v/>
      </c>
      <c r="F305" s="75" t="str">
        <f aca="false">IF($C305="","",N(元データ_PB合計!$F$303))</f>
        <v/>
      </c>
      <c r="G305" s="74" t="str">
        <f aca="false">IF($C305="","",IF(COUNTIF(店舗マスタ!$B$5:$B$304,$C305)&gt;0,"登録済","未登録→マスタに追加"))</f>
        <v/>
      </c>
      <c r="I305" s="74" t="n">
        <v>303</v>
      </c>
      <c r="J305" s="74" t="str">
        <f aca="false">IF(元データ_P!$A$303="","",元データ_P!$A$303)</f>
        <v/>
      </c>
      <c r="K305" s="74" t="str">
        <f aca="false">IF(LEFT(J305,1)="(",IFERROR(VALUE(MID(J305,2,FIND(")",J305)-2)),""),"")</f>
        <v/>
      </c>
      <c r="L305" s="75" t="str">
        <f aca="false">IF($K305="","",N(元データ_P!$B$303))</f>
        <v/>
      </c>
      <c r="M305" s="75" t="str">
        <f aca="false">IF($K305="","",N(元データ_P!$F$303))</f>
        <v/>
      </c>
      <c r="N305" s="74" t="str">
        <f aca="false">IF($K305="","",IF(COUNTIF(店舗マスタ!$B$5:$B$304,$K305)&gt;0,"登録済","未登録→マスタに追加"))</f>
        <v/>
      </c>
      <c r="P305" s="74" t="n">
        <v>303</v>
      </c>
      <c r="Q305" s="74" t="str">
        <f aca="false">IF(元データ_B!$A$303="","",元データ_B!$A$303)</f>
        <v/>
      </c>
      <c r="R305" s="74" t="str">
        <f aca="false">IF(LEFT(Q305,1)="(",IFERROR(VALUE(MID(Q305,2,FIND(")",Q305)-2)),""),"")</f>
        <v/>
      </c>
      <c r="S305" s="75" t="str">
        <f aca="false">IF($R305="","",N(元データ_B!$B$303))</f>
        <v/>
      </c>
      <c r="T305" s="75" t="str">
        <f aca="false">IF($R305="","",N(元データ_B!$F$303))</f>
        <v/>
      </c>
      <c r="U305" s="74" t="str">
        <f aca="false">IF($R305="","",IF(COUNTIF(店舗マスタ!$B$5:$B$304,$R305)&gt;0,"登録済","未登録→マスタに追加"))</f>
        <v/>
      </c>
    </row>
    <row r="306" customFormat="false" ht="15" hidden="false" customHeight="false" outlineLevel="0" collapsed="false">
      <c r="A306" s="74" t="n">
        <v>304</v>
      </c>
      <c r="B306" s="74" t="str">
        <f aca="false">IF(元データ_PB合計!$A$304="","",元データ_PB合計!$A$304)</f>
        <v/>
      </c>
      <c r="C306" s="74" t="str">
        <f aca="false">IF(LEFT(B306,1)="(",IFERROR(VALUE(MID(B306,2,FIND(")",B306)-2)),""),"")</f>
        <v/>
      </c>
      <c r="D306" s="75" t="str">
        <f aca="false">IF($C306="","",N(元データ_PB合計!$B$304))</f>
        <v/>
      </c>
      <c r="E306" s="75" t="str">
        <f aca="false">IF($C306="","",N(元データ_PB合計!$C$304))</f>
        <v/>
      </c>
      <c r="F306" s="75" t="str">
        <f aca="false">IF($C306="","",N(元データ_PB合計!$F$304))</f>
        <v/>
      </c>
      <c r="G306" s="74" t="str">
        <f aca="false">IF($C306="","",IF(COUNTIF(店舗マスタ!$B$5:$B$304,$C306)&gt;0,"登録済","未登録→マスタに追加"))</f>
        <v/>
      </c>
      <c r="I306" s="74" t="n">
        <v>304</v>
      </c>
      <c r="J306" s="74" t="str">
        <f aca="false">IF(元データ_P!$A$304="","",元データ_P!$A$304)</f>
        <v/>
      </c>
      <c r="K306" s="74" t="str">
        <f aca="false">IF(LEFT(J306,1)="(",IFERROR(VALUE(MID(J306,2,FIND(")",J306)-2)),""),"")</f>
        <v/>
      </c>
      <c r="L306" s="75" t="str">
        <f aca="false">IF($K306="","",N(元データ_P!$B$304))</f>
        <v/>
      </c>
      <c r="M306" s="75" t="str">
        <f aca="false">IF($K306="","",N(元データ_P!$F$304))</f>
        <v/>
      </c>
      <c r="N306" s="74" t="str">
        <f aca="false">IF($K306="","",IF(COUNTIF(店舗マスタ!$B$5:$B$304,$K306)&gt;0,"登録済","未登録→マスタに追加"))</f>
        <v/>
      </c>
      <c r="P306" s="74" t="n">
        <v>304</v>
      </c>
      <c r="Q306" s="74" t="str">
        <f aca="false">IF(元データ_B!$A$304="","",元データ_B!$A$304)</f>
        <v/>
      </c>
      <c r="R306" s="74" t="str">
        <f aca="false">IF(LEFT(Q306,1)="(",IFERROR(VALUE(MID(Q306,2,FIND(")",Q306)-2)),""),"")</f>
        <v/>
      </c>
      <c r="S306" s="75" t="str">
        <f aca="false">IF($R306="","",N(元データ_B!$B$304))</f>
        <v/>
      </c>
      <c r="T306" s="75" t="str">
        <f aca="false">IF($R306="","",N(元データ_B!$F$304))</f>
        <v/>
      </c>
      <c r="U306" s="74" t="str">
        <f aca="false">IF($R306="","",IF(COUNTIF(店舗マスタ!$B$5:$B$304,$R306)&gt;0,"登録済","未登録→マスタに追加"))</f>
        <v/>
      </c>
    </row>
    <row r="307" customFormat="false" ht="15" hidden="false" customHeight="false" outlineLevel="0" collapsed="false">
      <c r="A307" s="74" t="n">
        <v>305</v>
      </c>
      <c r="B307" s="74" t="str">
        <f aca="false">IF(元データ_PB合計!$A$305="","",元データ_PB合計!$A$305)</f>
        <v/>
      </c>
      <c r="C307" s="74" t="str">
        <f aca="false">IF(LEFT(B307,1)="(",IFERROR(VALUE(MID(B307,2,FIND(")",B307)-2)),""),"")</f>
        <v/>
      </c>
      <c r="D307" s="75" t="str">
        <f aca="false">IF($C307="","",N(元データ_PB合計!$B$305))</f>
        <v/>
      </c>
      <c r="E307" s="75" t="str">
        <f aca="false">IF($C307="","",N(元データ_PB合計!$C$305))</f>
        <v/>
      </c>
      <c r="F307" s="75" t="str">
        <f aca="false">IF($C307="","",N(元データ_PB合計!$F$305))</f>
        <v/>
      </c>
      <c r="G307" s="74" t="str">
        <f aca="false">IF($C307="","",IF(COUNTIF(店舗マスタ!$B$5:$B$304,$C307)&gt;0,"登録済","未登録→マスタに追加"))</f>
        <v/>
      </c>
      <c r="I307" s="74" t="n">
        <v>305</v>
      </c>
      <c r="J307" s="74" t="str">
        <f aca="false">IF(元データ_P!$A$305="","",元データ_P!$A$305)</f>
        <v/>
      </c>
      <c r="K307" s="74" t="str">
        <f aca="false">IF(LEFT(J307,1)="(",IFERROR(VALUE(MID(J307,2,FIND(")",J307)-2)),""),"")</f>
        <v/>
      </c>
      <c r="L307" s="75" t="str">
        <f aca="false">IF($K307="","",N(元データ_P!$B$305))</f>
        <v/>
      </c>
      <c r="M307" s="75" t="str">
        <f aca="false">IF($K307="","",N(元データ_P!$F$305))</f>
        <v/>
      </c>
      <c r="N307" s="74" t="str">
        <f aca="false">IF($K307="","",IF(COUNTIF(店舗マスタ!$B$5:$B$304,$K307)&gt;0,"登録済","未登録→マスタに追加"))</f>
        <v/>
      </c>
      <c r="P307" s="74" t="n">
        <v>305</v>
      </c>
      <c r="Q307" s="74" t="str">
        <f aca="false">IF(元データ_B!$A$305="","",元データ_B!$A$305)</f>
        <v/>
      </c>
      <c r="R307" s="74" t="str">
        <f aca="false">IF(LEFT(Q307,1)="(",IFERROR(VALUE(MID(Q307,2,FIND(")",Q307)-2)),""),"")</f>
        <v/>
      </c>
      <c r="S307" s="75" t="str">
        <f aca="false">IF($R307="","",N(元データ_B!$B$305))</f>
        <v/>
      </c>
      <c r="T307" s="75" t="str">
        <f aca="false">IF($R307="","",N(元データ_B!$F$305))</f>
        <v/>
      </c>
      <c r="U307" s="74" t="str">
        <f aca="false">IF($R307="","",IF(COUNTIF(店舗マスタ!$B$5:$B$304,$R307)&gt;0,"登録済","未登録→マスタに追加"))</f>
        <v/>
      </c>
    </row>
    <row r="308" customFormat="false" ht="15" hidden="false" customHeight="false" outlineLevel="0" collapsed="false">
      <c r="A308" s="74" t="n">
        <v>306</v>
      </c>
      <c r="B308" s="74" t="str">
        <f aca="false">IF(元データ_PB合計!$A$306="","",元データ_PB合計!$A$306)</f>
        <v/>
      </c>
      <c r="C308" s="74" t="str">
        <f aca="false">IF(LEFT(B308,1)="(",IFERROR(VALUE(MID(B308,2,FIND(")",B308)-2)),""),"")</f>
        <v/>
      </c>
      <c r="D308" s="75" t="str">
        <f aca="false">IF($C308="","",N(元データ_PB合計!$B$306))</f>
        <v/>
      </c>
      <c r="E308" s="75" t="str">
        <f aca="false">IF($C308="","",N(元データ_PB合計!$C$306))</f>
        <v/>
      </c>
      <c r="F308" s="75" t="str">
        <f aca="false">IF($C308="","",N(元データ_PB合計!$F$306))</f>
        <v/>
      </c>
      <c r="G308" s="74" t="str">
        <f aca="false">IF($C308="","",IF(COUNTIF(店舗マスタ!$B$5:$B$304,$C308)&gt;0,"登録済","未登録→マスタに追加"))</f>
        <v/>
      </c>
      <c r="I308" s="74" t="n">
        <v>306</v>
      </c>
      <c r="J308" s="74" t="str">
        <f aca="false">IF(元データ_P!$A$306="","",元データ_P!$A$306)</f>
        <v/>
      </c>
      <c r="K308" s="74" t="str">
        <f aca="false">IF(LEFT(J308,1)="(",IFERROR(VALUE(MID(J308,2,FIND(")",J308)-2)),""),"")</f>
        <v/>
      </c>
      <c r="L308" s="75" t="str">
        <f aca="false">IF($K308="","",N(元データ_P!$B$306))</f>
        <v/>
      </c>
      <c r="M308" s="75" t="str">
        <f aca="false">IF($K308="","",N(元データ_P!$F$306))</f>
        <v/>
      </c>
      <c r="N308" s="74" t="str">
        <f aca="false">IF($K308="","",IF(COUNTIF(店舗マスタ!$B$5:$B$304,$K308)&gt;0,"登録済","未登録→マスタに追加"))</f>
        <v/>
      </c>
      <c r="P308" s="74" t="n">
        <v>306</v>
      </c>
      <c r="Q308" s="74" t="str">
        <f aca="false">IF(元データ_B!$A$306="","",元データ_B!$A$306)</f>
        <v/>
      </c>
      <c r="R308" s="74" t="str">
        <f aca="false">IF(LEFT(Q308,1)="(",IFERROR(VALUE(MID(Q308,2,FIND(")",Q308)-2)),""),"")</f>
        <v/>
      </c>
      <c r="S308" s="75" t="str">
        <f aca="false">IF($R308="","",N(元データ_B!$B$306))</f>
        <v/>
      </c>
      <c r="T308" s="75" t="str">
        <f aca="false">IF($R308="","",N(元データ_B!$F$306))</f>
        <v/>
      </c>
      <c r="U308" s="74" t="str">
        <f aca="false">IF($R308="","",IF(COUNTIF(店舗マスタ!$B$5:$B$304,$R308)&gt;0,"登録済","未登録→マスタに追加"))</f>
        <v/>
      </c>
    </row>
    <row r="309" customFormat="false" ht="15" hidden="false" customHeight="false" outlineLevel="0" collapsed="false">
      <c r="A309" s="74" t="n">
        <v>307</v>
      </c>
      <c r="B309" s="74" t="str">
        <f aca="false">IF(元データ_PB合計!$A$307="","",元データ_PB合計!$A$307)</f>
        <v/>
      </c>
      <c r="C309" s="74" t="str">
        <f aca="false">IF(LEFT(B309,1)="(",IFERROR(VALUE(MID(B309,2,FIND(")",B309)-2)),""),"")</f>
        <v/>
      </c>
      <c r="D309" s="75" t="str">
        <f aca="false">IF($C309="","",N(元データ_PB合計!$B$307))</f>
        <v/>
      </c>
      <c r="E309" s="75" t="str">
        <f aca="false">IF($C309="","",N(元データ_PB合計!$C$307))</f>
        <v/>
      </c>
      <c r="F309" s="75" t="str">
        <f aca="false">IF($C309="","",N(元データ_PB合計!$F$307))</f>
        <v/>
      </c>
      <c r="G309" s="74" t="str">
        <f aca="false">IF($C309="","",IF(COUNTIF(店舗マスタ!$B$5:$B$304,$C309)&gt;0,"登録済","未登録→マスタに追加"))</f>
        <v/>
      </c>
      <c r="I309" s="74" t="n">
        <v>307</v>
      </c>
      <c r="J309" s="74" t="str">
        <f aca="false">IF(元データ_P!$A$307="","",元データ_P!$A$307)</f>
        <v/>
      </c>
      <c r="K309" s="74" t="str">
        <f aca="false">IF(LEFT(J309,1)="(",IFERROR(VALUE(MID(J309,2,FIND(")",J309)-2)),""),"")</f>
        <v/>
      </c>
      <c r="L309" s="75" t="str">
        <f aca="false">IF($K309="","",N(元データ_P!$B$307))</f>
        <v/>
      </c>
      <c r="M309" s="75" t="str">
        <f aca="false">IF($K309="","",N(元データ_P!$F$307))</f>
        <v/>
      </c>
      <c r="N309" s="74" t="str">
        <f aca="false">IF($K309="","",IF(COUNTIF(店舗マスタ!$B$5:$B$304,$K309)&gt;0,"登録済","未登録→マスタに追加"))</f>
        <v/>
      </c>
      <c r="P309" s="74" t="n">
        <v>307</v>
      </c>
      <c r="Q309" s="74" t="str">
        <f aca="false">IF(元データ_B!$A$307="","",元データ_B!$A$307)</f>
        <v/>
      </c>
      <c r="R309" s="74" t="str">
        <f aca="false">IF(LEFT(Q309,1)="(",IFERROR(VALUE(MID(Q309,2,FIND(")",Q309)-2)),""),"")</f>
        <v/>
      </c>
      <c r="S309" s="75" t="str">
        <f aca="false">IF($R309="","",N(元データ_B!$B$307))</f>
        <v/>
      </c>
      <c r="T309" s="75" t="str">
        <f aca="false">IF($R309="","",N(元データ_B!$F$307))</f>
        <v/>
      </c>
      <c r="U309" s="74" t="str">
        <f aca="false">IF($R309="","",IF(COUNTIF(店舗マスタ!$B$5:$B$304,$R309)&gt;0,"登録済","未登録→マスタに追加"))</f>
        <v/>
      </c>
    </row>
    <row r="310" customFormat="false" ht="15" hidden="false" customHeight="false" outlineLevel="0" collapsed="false">
      <c r="A310" s="74" t="n">
        <v>308</v>
      </c>
      <c r="B310" s="74" t="str">
        <f aca="false">IF(元データ_PB合計!$A$308="","",元データ_PB合計!$A$308)</f>
        <v/>
      </c>
      <c r="C310" s="74" t="str">
        <f aca="false">IF(LEFT(B310,1)="(",IFERROR(VALUE(MID(B310,2,FIND(")",B310)-2)),""),"")</f>
        <v/>
      </c>
      <c r="D310" s="75" t="str">
        <f aca="false">IF($C310="","",N(元データ_PB合計!$B$308))</f>
        <v/>
      </c>
      <c r="E310" s="75" t="str">
        <f aca="false">IF($C310="","",N(元データ_PB合計!$C$308))</f>
        <v/>
      </c>
      <c r="F310" s="75" t="str">
        <f aca="false">IF($C310="","",N(元データ_PB合計!$F$308))</f>
        <v/>
      </c>
      <c r="G310" s="74" t="str">
        <f aca="false">IF($C310="","",IF(COUNTIF(店舗マスタ!$B$5:$B$304,$C310)&gt;0,"登録済","未登録→マスタに追加"))</f>
        <v/>
      </c>
      <c r="I310" s="74" t="n">
        <v>308</v>
      </c>
      <c r="J310" s="74" t="str">
        <f aca="false">IF(元データ_P!$A$308="","",元データ_P!$A$308)</f>
        <v/>
      </c>
      <c r="K310" s="74" t="str">
        <f aca="false">IF(LEFT(J310,1)="(",IFERROR(VALUE(MID(J310,2,FIND(")",J310)-2)),""),"")</f>
        <v/>
      </c>
      <c r="L310" s="75" t="str">
        <f aca="false">IF($K310="","",N(元データ_P!$B$308))</f>
        <v/>
      </c>
      <c r="M310" s="75" t="str">
        <f aca="false">IF($K310="","",N(元データ_P!$F$308))</f>
        <v/>
      </c>
      <c r="N310" s="74" t="str">
        <f aca="false">IF($K310="","",IF(COUNTIF(店舗マスタ!$B$5:$B$304,$K310)&gt;0,"登録済","未登録→マスタに追加"))</f>
        <v/>
      </c>
      <c r="P310" s="74" t="n">
        <v>308</v>
      </c>
      <c r="Q310" s="74" t="str">
        <f aca="false">IF(元データ_B!$A$308="","",元データ_B!$A$308)</f>
        <v/>
      </c>
      <c r="R310" s="74" t="str">
        <f aca="false">IF(LEFT(Q310,1)="(",IFERROR(VALUE(MID(Q310,2,FIND(")",Q310)-2)),""),"")</f>
        <v/>
      </c>
      <c r="S310" s="75" t="str">
        <f aca="false">IF($R310="","",N(元データ_B!$B$308))</f>
        <v/>
      </c>
      <c r="T310" s="75" t="str">
        <f aca="false">IF($R310="","",N(元データ_B!$F$308))</f>
        <v/>
      </c>
      <c r="U310" s="74" t="str">
        <f aca="false">IF($R310="","",IF(COUNTIF(店舗マスタ!$B$5:$B$304,$R310)&gt;0,"登録済","未登録→マスタに追加"))</f>
        <v/>
      </c>
    </row>
    <row r="311" customFormat="false" ht="15" hidden="false" customHeight="false" outlineLevel="0" collapsed="false">
      <c r="A311" s="74" t="n">
        <v>309</v>
      </c>
      <c r="B311" s="74" t="str">
        <f aca="false">IF(元データ_PB合計!$A$309="","",元データ_PB合計!$A$309)</f>
        <v/>
      </c>
      <c r="C311" s="74" t="str">
        <f aca="false">IF(LEFT(B311,1)="(",IFERROR(VALUE(MID(B311,2,FIND(")",B311)-2)),""),"")</f>
        <v/>
      </c>
      <c r="D311" s="75" t="str">
        <f aca="false">IF($C311="","",N(元データ_PB合計!$B$309))</f>
        <v/>
      </c>
      <c r="E311" s="75" t="str">
        <f aca="false">IF($C311="","",N(元データ_PB合計!$C$309))</f>
        <v/>
      </c>
      <c r="F311" s="75" t="str">
        <f aca="false">IF($C311="","",N(元データ_PB合計!$F$309))</f>
        <v/>
      </c>
      <c r="G311" s="74" t="str">
        <f aca="false">IF($C311="","",IF(COUNTIF(店舗マスタ!$B$5:$B$304,$C311)&gt;0,"登録済","未登録→マスタに追加"))</f>
        <v/>
      </c>
      <c r="I311" s="74" t="n">
        <v>309</v>
      </c>
      <c r="J311" s="74" t="str">
        <f aca="false">IF(元データ_P!$A$309="","",元データ_P!$A$309)</f>
        <v/>
      </c>
      <c r="K311" s="74" t="str">
        <f aca="false">IF(LEFT(J311,1)="(",IFERROR(VALUE(MID(J311,2,FIND(")",J311)-2)),""),"")</f>
        <v/>
      </c>
      <c r="L311" s="75" t="str">
        <f aca="false">IF($K311="","",N(元データ_P!$B$309))</f>
        <v/>
      </c>
      <c r="M311" s="75" t="str">
        <f aca="false">IF($K311="","",N(元データ_P!$F$309))</f>
        <v/>
      </c>
      <c r="N311" s="74" t="str">
        <f aca="false">IF($K311="","",IF(COUNTIF(店舗マスタ!$B$5:$B$304,$K311)&gt;0,"登録済","未登録→マスタに追加"))</f>
        <v/>
      </c>
      <c r="P311" s="74" t="n">
        <v>309</v>
      </c>
      <c r="Q311" s="74" t="str">
        <f aca="false">IF(元データ_B!$A$309="","",元データ_B!$A$309)</f>
        <v/>
      </c>
      <c r="R311" s="74" t="str">
        <f aca="false">IF(LEFT(Q311,1)="(",IFERROR(VALUE(MID(Q311,2,FIND(")",Q311)-2)),""),"")</f>
        <v/>
      </c>
      <c r="S311" s="75" t="str">
        <f aca="false">IF($R311="","",N(元データ_B!$B$309))</f>
        <v/>
      </c>
      <c r="T311" s="75" t="str">
        <f aca="false">IF($R311="","",N(元データ_B!$F$309))</f>
        <v/>
      </c>
      <c r="U311" s="74" t="str">
        <f aca="false">IF($R311="","",IF(COUNTIF(店舗マスタ!$B$5:$B$304,$R311)&gt;0,"登録済","未登録→マスタに追加"))</f>
        <v/>
      </c>
    </row>
    <row r="312" customFormat="false" ht="15" hidden="false" customHeight="false" outlineLevel="0" collapsed="false">
      <c r="A312" s="74" t="n">
        <v>310</v>
      </c>
      <c r="B312" s="74" t="str">
        <f aca="false">IF(元データ_PB合計!$A$310="","",元データ_PB合計!$A$310)</f>
        <v/>
      </c>
      <c r="C312" s="74" t="str">
        <f aca="false">IF(LEFT(B312,1)="(",IFERROR(VALUE(MID(B312,2,FIND(")",B312)-2)),""),"")</f>
        <v/>
      </c>
      <c r="D312" s="75" t="str">
        <f aca="false">IF($C312="","",N(元データ_PB合計!$B$310))</f>
        <v/>
      </c>
      <c r="E312" s="75" t="str">
        <f aca="false">IF($C312="","",N(元データ_PB合計!$C$310))</f>
        <v/>
      </c>
      <c r="F312" s="75" t="str">
        <f aca="false">IF($C312="","",N(元データ_PB合計!$F$310))</f>
        <v/>
      </c>
      <c r="G312" s="74" t="str">
        <f aca="false">IF($C312="","",IF(COUNTIF(店舗マスタ!$B$5:$B$304,$C312)&gt;0,"登録済","未登録→マスタに追加"))</f>
        <v/>
      </c>
      <c r="I312" s="74" t="n">
        <v>310</v>
      </c>
      <c r="J312" s="74" t="str">
        <f aca="false">IF(元データ_P!$A$310="","",元データ_P!$A$310)</f>
        <v/>
      </c>
      <c r="K312" s="74" t="str">
        <f aca="false">IF(LEFT(J312,1)="(",IFERROR(VALUE(MID(J312,2,FIND(")",J312)-2)),""),"")</f>
        <v/>
      </c>
      <c r="L312" s="75" t="str">
        <f aca="false">IF($K312="","",N(元データ_P!$B$310))</f>
        <v/>
      </c>
      <c r="M312" s="75" t="str">
        <f aca="false">IF($K312="","",N(元データ_P!$F$310))</f>
        <v/>
      </c>
      <c r="N312" s="74" t="str">
        <f aca="false">IF($K312="","",IF(COUNTIF(店舗マスタ!$B$5:$B$304,$K312)&gt;0,"登録済","未登録→マスタに追加"))</f>
        <v/>
      </c>
      <c r="P312" s="74" t="n">
        <v>310</v>
      </c>
      <c r="Q312" s="74" t="str">
        <f aca="false">IF(元データ_B!$A$310="","",元データ_B!$A$310)</f>
        <v/>
      </c>
      <c r="R312" s="74" t="str">
        <f aca="false">IF(LEFT(Q312,1)="(",IFERROR(VALUE(MID(Q312,2,FIND(")",Q312)-2)),""),"")</f>
        <v/>
      </c>
      <c r="S312" s="75" t="str">
        <f aca="false">IF($R312="","",N(元データ_B!$B$310))</f>
        <v/>
      </c>
      <c r="T312" s="75" t="str">
        <f aca="false">IF($R312="","",N(元データ_B!$F$310))</f>
        <v/>
      </c>
      <c r="U312" s="74" t="str">
        <f aca="false">IF($R312="","",IF(COUNTIF(店舗マスタ!$B$5:$B$304,$R312)&gt;0,"登録済","未登録→マスタに追加"))</f>
        <v/>
      </c>
    </row>
    <row r="313" customFormat="false" ht="15" hidden="false" customHeight="false" outlineLevel="0" collapsed="false">
      <c r="A313" s="74" t="n">
        <v>311</v>
      </c>
      <c r="B313" s="74" t="str">
        <f aca="false">IF(元データ_PB合計!$A$311="","",元データ_PB合計!$A$311)</f>
        <v/>
      </c>
      <c r="C313" s="74" t="str">
        <f aca="false">IF(LEFT(B313,1)="(",IFERROR(VALUE(MID(B313,2,FIND(")",B313)-2)),""),"")</f>
        <v/>
      </c>
      <c r="D313" s="75" t="str">
        <f aca="false">IF($C313="","",N(元データ_PB合計!$B$311))</f>
        <v/>
      </c>
      <c r="E313" s="75" t="str">
        <f aca="false">IF($C313="","",N(元データ_PB合計!$C$311))</f>
        <v/>
      </c>
      <c r="F313" s="75" t="str">
        <f aca="false">IF($C313="","",N(元データ_PB合計!$F$311))</f>
        <v/>
      </c>
      <c r="G313" s="74" t="str">
        <f aca="false">IF($C313="","",IF(COUNTIF(店舗マスタ!$B$5:$B$304,$C313)&gt;0,"登録済","未登録→マスタに追加"))</f>
        <v/>
      </c>
      <c r="I313" s="74" t="n">
        <v>311</v>
      </c>
      <c r="J313" s="74" t="str">
        <f aca="false">IF(元データ_P!$A$311="","",元データ_P!$A$311)</f>
        <v/>
      </c>
      <c r="K313" s="74" t="str">
        <f aca="false">IF(LEFT(J313,1)="(",IFERROR(VALUE(MID(J313,2,FIND(")",J313)-2)),""),"")</f>
        <v/>
      </c>
      <c r="L313" s="75" t="str">
        <f aca="false">IF($K313="","",N(元データ_P!$B$311))</f>
        <v/>
      </c>
      <c r="M313" s="75" t="str">
        <f aca="false">IF($K313="","",N(元データ_P!$F$311))</f>
        <v/>
      </c>
      <c r="N313" s="74" t="str">
        <f aca="false">IF($K313="","",IF(COUNTIF(店舗マスタ!$B$5:$B$304,$K313)&gt;0,"登録済","未登録→マスタに追加"))</f>
        <v/>
      </c>
      <c r="P313" s="74" t="n">
        <v>311</v>
      </c>
      <c r="Q313" s="74" t="str">
        <f aca="false">IF(元データ_B!$A$311="","",元データ_B!$A$311)</f>
        <v/>
      </c>
      <c r="R313" s="74" t="str">
        <f aca="false">IF(LEFT(Q313,1)="(",IFERROR(VALUE(MID(Q313,2,FIND(")",Q313)-2)),""),"")</f>
        <v/>
      </c>
      <c r="S313" s="75" t="str">
        <f aca="false">IF($R313="","",N(元データ_B!$B$311))</f>
        <v/>
      </c>
      <c r="T313" s="75" t="str">
        <f aca="false">IF($R313="","",N(元データ_B!$F$311))</f>
        <v/>
      </c>
      <c r="U313" s="74" t="str">
        <f aca="false">IF($R313="","",IF(COUNTIF(店舗マスタ!$B$5:$B$304,$R313)&gt;0,"登録済","未登録→マスタに追加"))</f>
        <v/>
      </c>
    </row>
    <row r="314" customFormat="false" ht="15" hidden="false" customHeight="false" outlineLevel="0" collapsed="false">
      <c r="A314" s="74" t="n">
        <v>312</v>
      </c>
      <c r="B314" s="74" t="str">
        <f aca="false">IF(元データ_PB合計!$A$312="","",元データ_PB合計!$A$312)</f>
        <v/>
      </c>
      <c r="C314" s="74" t="str">
        <f aca="false">IF(LEFT(B314,1)="(",IFERROR(VALUE(MID(B314,2,FIND(")",B314)-2)),""),"")</f>
        <v/>
      </c>
      <c r="D314" s="75" t="str">
        <f aca="false">IF($C314="","",N(元データ_PB合計!$B$312))</f>
        <v/>
      </c>
      <c r="E314" s="75" t="str">
        <f aca="false">IF($C314="","",N(元データ_PB合計!$C$312))</f>
        <v/>
      </c>
      <c r="F314" s="75" t="str">
        <f aca="false">IF($C314="","",N(元データ_PB合計!$F$312))</f>
        <v/>
      </c>
      <c r="G314" s="74" t="str">
        <f aca="false">IF($C314="","",IF(COUNTIF(店舗マスタ!$B$5:$B$304,$C314)&gt;0,"登録済","未登録→マスタに追加"))</f>
        <v/>
      </c>
      <c r="I314" s="74" t="n">
        <v>312</v>
      </c>
      <c r="J314" s="74" t="str">
        <f aca="false">IF(元データ_P!$A$312="","",元データ_P!$A$312)</f>
        <v/>
      </c>
      <c r="K314" s="74" t="str">
        <f aca="false">IF(LEFT(J314,1)="(",IFERROR(VALUE(MID(J314,2,FIND(")",J314)-2)),""),"")</f>
        <v/>
      </c>
      <c r="L314" s="75" t="str">
        <f aca="false">IF($K314="","",N(元データ_P!$B$312))</f>
        <v/>
      </c>
      <c r="M314" s="75" t="str">
        <f aca="false">IF($K314="","",N(元データ_P!$F$312))</f>
        <v/>
      </c>
      <c r="N314" s="74" t="str">
        <f aca="false">IF($K314="","",IF(COUNTIF(店舗マスタ!$B$5:$B$304,$K314)&gt;0,"登録済","未登録→マスタに追加"))</f>
        <v/>
      </c>
      <c r="P314" s="74" t="n">
        <v>312</v>
      </c>
      <c r="Q314" s="74" t="str">
        <f aca="false">IF(元データ_B!$A$312="","",元データ_B!$A$312)</f>
        <v/>
      </c>
      <c r="R314" s="74" t="str">
        <f aca="false">IF(LEFT(Q314,1)="(",IFERROR(VALUE(MID(Q314,2,FIND(")",Q314)-2)),""),"")</f>
        <v/>
      </c>
      <c r="S314" s="75" t="str">
        <f aca="false">IF($R314="","",N(元データ_B!$B$312))</f>
        <v/>
      </c>
      <c r="T314" s="75" t="str">
        <f aca="false">IF($R314="","",N(元データ_B!$F$312))</f>
        <v/>
      </c>
      <c r="U314" s="74" t="str">
        <f aca="false">IF($R314="","",IF(COUNTIF(店舗マスタ!$B$5:$B$304,$R314)&gt;0,"登録済","未登録→マスタに追加"))</f>
        <v/>
      </c>
    </row>
    <row r="315" customFormat="false" ht="15" hidden="false" customHeight="false" outlineLevel="0" collapsed="false">
      <c r="A315" s="74" t="n">
        <v>313</v>
      </c>
      <c r="B315" s="74" t="str">
        <f aca="false">IF(元データ_PB合計!$A$313="","",元データ_PB合計!$A$313)</f>
        <v/>
      </c>
      <c r="C315" s="74" t="str">
        <f aca="false">IF(LEFT(B315,1)="(",IFERROR(VALUE(MID(B315,2,FIND(")",B315)-2)),""),"")</f>
        <v/>
      </c>
      <c r="D315" s="75" t="str">
        <f aca="false">IF($C315="","",N(元データ_PB合計!$B$313))</f>
        <v/>
      </c>
      <c r="E315" s="75" t="str">
        <f aca="false">IF($C315="","",N(元データ_PB合計!$C$313))</f>
        <v/>
      </c>
      <c r="F315" s="75" t="str">
        <f aca="false">IF($C315="","",N(元データ_PB合計!$F$313))</f>
        <v/>
      </c>
      <c r="G315" s="74" t="str">
        <f aca="false">IF($C315="","",IF(COUNTIF(店舗マスタ!$B$5:$B$304,$C315)&gt;0,"登録済","未登録→マスタに追加"))</f>
        <v/>
      </c>
      <c r="I315" s="74" t="n">
        <v>313</v>
      </c>
      <c r="J315" s="74" t="str">
        <f aca="false">IF(元データ_P!$A$313="","",元データ_P!$A$313)</f>
        <v/>
      </c>
      <c r="K315" s="74" t="str">
        <f aca="false">IF(LEFT(J315,1)="(",IFERROR(VALUE(MID(J315,2,FIND(")",J315)-2)),""),"")</f>
        <v/>
      </c>
      <c r="L315" s="75" t="str">
        <f aca="false">IF($K315="","",N(元データ_P!$B$313))</f>
        <v/>
      </c>
      <c r="M315" s="75" t="str">
        <f aca="false">IF($K315="","",N(元データ_P!$F$313))</f>
        <v/>
      </c>
      <c r="N315" s="74" t="str">
        <f aca="false">IF($K315="","",IF(COUNTIF(店舗マスタ!$B$5:$B$304,$K315)&gt;0,"登録済","未登録→マスタに追加"))</f>
        <v/>
      </c>
      <c r="P315" s="74" t="n">
        <v>313</v>
      </c>
      <c r="Q315" s="74" t="str">
        <f aca="false">IF(元データ_B!$A$313="","",元データ_B!$A$313)</f>
        <v/>
      </c>
      <c r="R315" s="74" t="str">
        <f aca="false">IF(LEFT(Q315,1)="(",IFERROR(VALUE(MID(Q315,2,FIND(")",Q315)-2)),""),"")</f>
        <v/>
      </c>
      <c r="S315" s="75" t="str">
        <f aca="false">IF($R315="","",N(元データ_B!$B$313))</f>
        <v/>
      </c>
      <c r="T315" s="75" t="str">
        <f aca="false">IF($R315="","",N(元データ_B!$F$313))</f>
        <v/>
      </c>
      <c r="U315" s="74" t="str">
        <f aca="false">IF($R315="","",IF(COUNTIF(店舗マスタ!$B$5:$B$304,$R315)&gt;0,"登録済","未登録→マスタに追加"))</f>
        <v/>
      </c>
    </row>
    <row r="316" customFormat="false" ht="15" hidden="false" customHeight="false" outlineLevel="0" collapsed="false">
      <c r="A316" s="74" t="n">
        <v>314</v>
      </c>
      <c r="B316" s="74" t="str">
        <f aca="false">IF(元データ_PB合計!$A$314="","",元データ_PB合計!$A$314)</f>
        <v/>
      </c>
      <c r="C316" s="74" t="str">
        <f aca="false">IF(LEFT(B316,1)="(",IFERROR(VALUE(MID(B316,2,FIND(")",B316)-2)),""),"")</f>
        <v/>
      </c>
      <c r="D316" s="75" t="str">
        <f aca="false">IF($C316="","",N(元データ_PB合計!$B$314))</f>
        <v/>
      </c>
      <c r="E316" s="75" t="str">
        <f aca="false">IF($C316="","",N(元データ_PB合計!$C$314))</f>
        <v/>
      </c>
      <c r="F316" s="75" t="str">
        <f aca="false">IF($C316="","",N(元データ_PB合計!$F$314))</f>
        <v/>
      </c>
      <c r="G316" s="74" t="str">
        <f aca="false">IF($C316="","",IF(COUNTIF(店舗マスタ!$B$5:$B$304,$C316)&gt;0,"登録済","未登録→マスタに追加"))</f>
        <v/>
      </c>
      <c r="I316" s="74" t="n">
        <v>314</v>
      </c>
      <c r="J316" s="74" t="str">
        <f aca="false">IF(元データ_P!$A$314="","",元データ_P!$A$314)</f>
        <v/>
      </c>
      <c r="K316" s="74" t="str">
        <f aca="false">IF(LEFT(J316,1)="(",IFERROR(VALUE(MID(J316,2,FIND(")",J316)-2)),""),"")</f>
        <v/>
      </c>
      <c r="L316" s="75" t="str">
        <f aca="false">IF($K316="","",N(元データ_P!$B$314))</f>
        <v/>
      </c>
      <c r="M316" s="75" t="str">
        <f aca="false">IF($K316="","",N(元データ_P!$F$314))</f>
        <v/>
      </c>
      <c r="N316" s="74" t="str">
        <f aca="false">IF($K316="","",IF(COUNTIF(店舗マスタ!$B$5:$B$304,$K316)&gt;0,"登録済","未登録→マスタに追加"))</f>
        <v/>
      </c>
      <c r="P316" s="74" t="n">
        <v>314</v>
      </c>
      <c r="Q316" s="74" t="str">
        <f aca="false">IF(元データ_B!$A$314="","",元データ_B!$A$314)</f>
        <v/>
      </c>
      <c r="R316" s="74" t="str">
        <f aca="false">IF(LEFT(Q316,1)="(",IFERROR(VALUE(MID(Q316,2,FIND(")",Q316)-2)),""),"")</f>
        <v/>
      </c>
      <c r="S316" s="75" t="str">
        <f aca="false">IF($R316="","",N(元データ_B!$B$314))</f>
        <v/>
      </c>
      <c r="T316" s="75" t="str">
        <f aca="false">IF($R316="","",N(元データ_B!$F$314))</f>
        <v/>
      </c>
      <c r="U316" s="74" t="str">
        <f aca="false">IF($R316="","",IF(COUNTIF(店舗マスタ!$B$5:$B$304,$R316)&gt;0,"登録済","未登録→マスタに追加"))</f>
        <v/>
      </c>
    </row>
    <row r="317" customFormat="false" ht="15" hidden="false" customHeight="false" outlineLevel="0" collapsed="false">
      <c r="A317" s="74" t="n">
        <v>315</v>
      </c>
      <c r="B317" s="74" t="str">
        <f aca="false">IF(元データ_PB合計!$A$315="","",元データ_PB合計!$A$315)</f>
        <v/>
      </c>
      <c r="C317" s="74" t="str">
        <f aca="false">IF(LEFT(B317,1)="(",IFERROR(VALUE(MID(B317,2,FIND(")",B317)-2)),""),"")</f>
        <v/>
      </c>
      <c r="D317" s="75" t="str">
        <f aca="false">IF($C317="","",N(元データ_PB合計!$B$315))</f>
        <v/>
      </c>
      <c r="E317" s="75" t="str">
        <f aca="false">IF($C317="","",N(元データ_PB合計!$C$315))</f>
        <v/>
      </c>
      <c r="F317" s="75" t="str">
        <f aca="false">IF($C317="","",N(元データ_PB合計!$F$315))</f>
        <v/>
      </c>
      <c r="G317" s="74" t="str">
        <f aca="false">IF($C317="","",IF(COUNTIF(店舗マスタ!$B$5:$B$304,$C317)&gt;0,"登録済","未登録→マスタに追加"))</f>
        <v/>
      </c>
      <c r="I317" s="74" t="n">
        <v>315</v>
      </c>
      <c r="J317" s="74" t="str">
        <f aca="false">IF(元データ_P!$A$315="","",元データ_P!$A$315)</f>
        <v/>
      </c>
      <c r="K317" s="74" t="str">
        <f aca="false">IF(LEFT(J317,1)="(",IFERROR(VALUE(MID(J317,2,FIND(")",J317)-2)),""),"")</f>
        <v/>
      </c>
      <c r="L317" s="75" t="str">
        <f aca="false">IF($K317="","",N(元データ_P!$B$315))</f>
        <v/>
      </c>
      <c r="M317" s="75" t="str">
        <f aca="false">IF($K317="","",N(元データ_P!$F$315))</f>
        <v/>
      </c>
      <c r="N317" s="74" t="str">
        <f aca="false">IF($K317="","",IF(COUNTIF(店舗マスタ!$B$5:$B$304,$K317)&gt;0,"登録済","未登録→マスタに追加"))</f>
        <v/>
      </c>
      <c r="P317" s="74" t="n">
        <v>315</v>
      </c>
      <c r="Q317" s="74" t="str">
        <f aca="false">IF(元データ_B!$A$315="","",元データ_B!$A$315)</f>
        <v/>
      </c>
      <c r="R317" s="74" t="str">
        <f aca="false">IF(LEFT(Q317,1)="(",IFERROR(VALUE(MID(Q317,2,FIND(")",Q317)-2)),""),"")</f>
        <v/>
      </c>
      <c r="S317" s="75" t="str">
        <f aca="false">IF($R317="","",N(元データ_B!$B$315))</f>
        <v/>
      </c>
      <c r="T317" s="75" t="str">
        <f aca="false">IF($R317="","",N(元データ_B!$F$315))</f>
        <v/>
      </c>
      <c r="U317" s="74" t="str">
        <f aca="false">IF($R317="","",IF(COUNTIF(店舗マスタ!$B$5:$B$304,$R317)&gt;0,"登録済","未登録→マスタに追加"))</f>
        <v/>
      </c>
    </row>
    <row r="318" customFormat="false" ht="15" hidden="false" customHeight="false" outlineLevel="0" collapsed="false">
      <c r="A318" s="74" t="n">
        <v>316</v>
      </c>
      <c r="B318" s="74" t="str">
        <f aca="false">IF(元データ_PB合計!$A$316="","",元データ_PB合計!$A$316)</f>
        <v/>
      </c>
      <c r="C318" s="74" t="str">
        <f aca="false">IF(LEFT(B318,1)="(",IFERROR(VALUE(MID(B318,2,FIND(")",B318)-2)),""),"")</f>
        <v/>
      </c>
      <c r="D318" s="75" t="str">
        <f aca="false">IF($C318="","",N(元データ_PB合計!$B$316))</f>
        <v/>
      </c>
      <c r="E318" s="75" t="str">
        <f aca="false">IF($C318="","",N(元データ_PB合計!$C$316))</f>
        <v/>
      </c>
      <c r="F318" s="75" t="str">
        <f aca="false">IF($C318="","",N(元データ_PB合計!$F$316))</f>
        <v/>
      </c>
      <c r="G318" s="74" t="str">
        <f aca="false">IF($C318="","",IF(COUNTIF(店舗マスタ!$B$5:$B$304,$C318)&gt;0,"登録済","未登録→マスタに追加"))</f>
        <v/>
      </c>
      <c r="I318" s="74" t="n">
        <v>316</v>
      </c>
      <c r="J318" s="74" t="str">
        <f aca="false">IF(元データ_P!$A$316="","",元データ_P!$A$316)</f>
        <v/>
      </c>
      <c r="K318" s="74" t="str">
        <f aca="false">IF(LEFT(J318,1)="(",IFERROR(VALUE(MID(J318,2,FIND(")",J318)-2)),""),"")</f>
        <v/>
      </c>
      <c r="L318" s="75" t="str">
        <f aca="false">IF($K318="","",N(元データ_P!$B$316))</f>
        <v/>
      </c>
      <c r="M318" s="75" t="str">
        <f aca="false">IF($K318="","",N(元データ_P!$F$316))</f>
        <v/>
      </c>
      <c r="N318" s="74" t="str">
        <f aca="false">IF($K318="","",IF(COUNTIF(店舗マスタ!$B$5:$B$304,$K318)&gt;0,"登録済","未登録→マスタに追加"))</f>
        <v/>
      </c>
      <c r="P318" s="74" t="n">
        <v>316</v>
      </c>
      <c r="Q318" s="74" t="str">
        <f aca="false">IF(元データ_B!$A$316="","",元データ_B!$A$316)</f>
        <v/>
      </c>
      <c r="R318" s="74" t="str">
        <f aca="false">IF(LEFT(Q318,1)="(",IFERROR(VALUE(MID(Q318,2,FIND(")",Q318)-2)),""),"")</f>
        <v/>
      </c>
      <c r="S318" s="75" t="str">
        <f aca="false">IF($R318="","",N(元データ_B!$B$316))</f>
        <v/>
      </c>
      <c r="T318" s="75" t="str">
        <f aca="false">IF($R318="","",N(元データ_B!$F$316))</f>
        <v/>
      </c>
      <c r="U318" s="74" t="str">
        <f aca="false">IF($R318="","",IF(COUNTIF(店舗マスタ!$B$5:$B$304,$R318)&gt;0,"登録済","未登録→マスタに追加"))</f>
        <v/>
      </c>
    </row>
    <row r="319" customFormat="false" ht="15" hidden="false" customHeight="false" outlineLevel="0" collapsed="false">
      <c r="A319" s="74" t="n">
        <v>317</v>
      </c>
      <c r="B319" s="74" t="str">
        <f aca="false">IF(元データ_PB合計!$A$317="","",元データ_PB合計!$A$317)</f>
        <v/>
      </c>
      <c r="C319" s="74" t="str">
        <f aca="false">IF(LEFT(B319,1)="(",IFERROR(VALUE(MID(B319,2,FIND(")",B319)-2)),""),"")</f>
        <v/>
      </c>
      <c r="D319" s="75" t="str">
        <f aca="false">IF($C319="","",N(元データ_PB合計!$B$317))</f>
        <v/>
      </c>
      <c r="E319" s="75" t="str">
        <f aca="false">IF($C319="","",N(元データ_PB合計!$C$317))</f>
        <v/>
      </c>
      <c r="F319" s="75" t="str">
        <f aca="false">IF($C319="","",N(元データ_PB合計!$F$317))</f>
        <v/>
      </c>
      <c r="G319" s="74" t="str">
        <f aca="false">IF($C319="","",IF(COUNTIF(店舗マスタ!$B$5:$B$304,$C319)&gt;0,"登録済","未登録→マスタに追加"))</f>
        <v/>
      </c>
      <c r="I319" s="74" t="n">
        <v>317</v>
      </c>
      <c r="J319" s="74" t="str">
        <f aca="false">IF(元データ_P!$A$317="","",元データ_P!$A$317)</f>
        <v/>
      </c>
      <c r="K319" s="74" t="str">
        <f aca="false">IF(LEFT(J319,1)="(",IFERROR(VALUE(MID(J319,2,FIND(")",J319)-2)),""),"")</f>
        <v/>
      </c>
      <c r="L319" s="75" t="str">
        <f aca="false">IF($K319="","",N(元データ_P!$B$317))</f>
        <v/>
      </c>
      <c r="M319" s="75" t="str">
        <f aca="false">IF($K319="","",N(元データ_P!$F$317))</f>
        <v/>
      </c>
      <c r="N319" s="74" t="str">
        <f aca="false">IF($K319="","",IF(COUNTIF(店舗マスタ!$B$5:$B$304,$K319)&gt;0,"登録済","未登録→マスタに追加"))</f>
        <v/>
      </c>
      <c r="P319" s="74" t="n">
        <v>317</v>
      </c>
      <c r="Q319" s="74" t="str">
        <f aca="false">IF(元データ_B!$A$317="","",元データ_B!$A$317)</f>
        <v/>
      </c>
      <c r="R319" s="74" t="str">
        <f aca="false">IF(LEFT(Q319,1)="(",IFERROR(VALUE(MID(Q319,2,FIND(")",Q319)-2)),""),"")</f>
        <v/>
      </c>
      <c r="S319" s="75" t="str">
        <f aca="false">IF($R319="","",N(元データ_B!$B$317))</f>
        <v/>
      </c>
      <c r="T319" s="75" t="str">
        <f aca="false">IF($R319="","",N(元データ_B!$F$317))</f>
        <v/>
      </c>
      <c r="U319" s="74" t="str">
        <f aca="false">IF($R319="","",IF(COUNTIF(店舗マスタ!$B$5:$B$304,$R319)&gt;0,"登録済","未登録→マスタに追加"))</f>
        <v/>
      </c>
    </row>
    <row r="320" customFormat="false" ht="15" hidden="false" customHeight="false" outlineLevel="0" collapsed="false">
      <c r="A320" s="74" t="n">
        <v>318</v>
      </c>
      <c r="B320" s="74" t="str">
        <f aca="false">IF(元データ_PB合計!$A$318="","",元データ_PB合計!$A$318)</f>
        <v/>
      </c>
      <c r="C320" s="74" t="str">
        <f aca="false">IF(LEFT(B320,1)="(",IFERROR(VALUE(MID(B320,2,FIND(")",B320)-2)),""),"")</f>
        <v/>
      </c>
      <c r="D320" s="75" t="str">
        <f aca="false">IF($C320="","",N(元データ_PB合計!$B$318))</f>
        <v/>
      </c>
      <c r="E320" s="75" t="str">
        <f aca="false">IF($C320="","",N(元データ_PB合計!$C$318))</f>
        <v/>
      </c>
      <c r="F320" s="75" t="str">
        <f aca="false">IF($C320="","",N(元データ_PB合計!$F$318))</f>
        <v/>
      </c>
      <c r="G320" s="74" t="str">
        <f aca="false">IF($C320="","",IF(COUNTIF(店舗マスタ!$B$5:$B$304,$C320)&gt;0,"登録済","未登録→マスタに追加"))</f>
        <v/>
      </c>
      <c r="I320" s="74" t="n">
        <v>318</v>
      </c>
      <c r="J320" s="74" t="str">
        <f aca="false">IF(元データ_P!$A$318="","",元データ_P!$A$318)</f>
        <v/>
      </c>
      <c r="K320" s="74" t="str">
        <f aca="false">IF(LEFT(J320,1)="(",IFERROR(VALUE(MID(J320,2,FIND(")",J320)-2)),""),"")</f>
        <v/>
      </c>
      <c r="L320" s="75" t="str">
        <f aca="false">IF($K320="","",N(元データ_P!$B$318))</f>
        <v/>
      </c>
      <c r="M320" s="75" t="str">
        <f aca="false">IF($K320="","",N(元データ_P!$F$318))</f>
        <v/>
      </c>
      <c r="N320" s="74" t="str">
        <f aca="false">IF($K320="","",IF(COUNTIF(店舗マスタ!$B$5:$B$304,$K320)&gt;0,"登録済","未登録→マスタに追加"))</f>
        <v/>
      </c>
      <c r="P320" s="74" t="n">
        <v>318</v>
      </c>
      <c r="Q320" s="74" t="str">
        <f aca="false">IF(元データ_B!$A$318="","",元データ_B!$A$318)</f>
        <v/>
      </c>
      <c r="R320" s="74" t="str">
        <f aca="false">IF(LEFT(Q320,1)="(",IFERROR(VALUE(MID(Q320,2,FIND(")",Q320)-2)),""),"")</f>
        <v/>
      </c>
      <c r="S320" s="75" t="str">
        <f aca="false">IF($R320="","",N(元データ_B!$B$318))</f>
        <v/>
      </c>
      <c r="T320" s="75" t="str">
        <f aca="false">IF($R320="","",N(元データ_B!$F$318))</f>
        <v/>
      </c>
      <c r="U320" s="74" t="str">
        <f aca="false">IF($R320="","",IF(COUNTIF(店舗マスタ!$B$5:$B$304,$R320)&gt;0,"登録済","未登録→マスタに追加"))</f>
        <v/>
      </c>
    </row>
    <row r="321" customFormat="false" ht="15" hidden="false" customHeight="false" outlineLevel="0" collapsed="false">
      <c r="A321" s="74" t="n">
        <v>319</v>
      </c>
      <c r="B321" s="74" t="str">
        <f aca="false">IF(元データ_PB合計!$A$319="","",元データ_PB合計!$A$319)</f>
        <v/>
      </c>
      <c r="C321" s="74" t="str">
        <f aca="false">IF(LEFT(B321,1)="(",IFERROR(VALUE(MID(B321,2,FIND(")",B321)-2)),""),"")</f>
        <v/>
      </c>
      <c r="D321" s="75" t="str">
        <f aca="false">IF($C321="","",N(元データ_PB合計!$B$319))</f>
        <v/>
      </c>
      <c r="E321" s="75" t="str">
        <f aca="false">IF($C321="","",N(元データ_PB合計!$C$319))</f>
        <v/>
      </c>
      <c r="F321" s="75" t="str">
        <f aca="false">IF($C321="","",N(元データ_PB合計!$F$319))</f>
        <v/>
      </c>
      <c r="G321" s="74" t="str">
        <f aca="false">IF($C321="","",IF(COUNTIF(店舗マスタ!$B$5:$B$304,$C321)&gt;0,"登録済","未登録→マスタに追加"))</f>
        <v/>
      </c>
      <c r="I321" s="74" t="n">
        <v>319</v>
      </c>
      <c r="J321" s="74" t="str">
        <f aca="false">IF(元データ_P!$A$319="","",元データ_P!$A$319)</f>
        <v/>
      </c>
      <c r="K321" s="74" t="str">
        <f aca="false">IF(LEFT(J321,1)="(",IFERROR(VALUE(MID(J321,2,FIND(")",J321)-2)),""),"")</f>
        <v/>
      </c>
      <c r="L321" s="75" t="str">
        <f aca="false">IF($K321="","",N(元データ_P!$B$319))</f>
        <v/>
      </c>
      <c r="M321" s="75" t="str">
        <f aca="false">IF($K321="","",N(元データ_P!$F$319))</f>
        <v/>
      </c>
      <c r="N321" s="74" t="str">
        <f aca="false">IF($K321="","",IF(COUNTIF(店舗マスタ!$B$5:$B$304,$K321)&gt;0,"登録済","未登録→マスタに追加"))</f>
        <v/>
      </c>
      <c r="P321" s="74" t="n">
        <v>319</v>
      </c>
      <c r="Q321" s="74" t="str">
        <f aca="false">IF(元データ_B!$A$319="","",元データ_B!$A$319)</f>
        <v/>
      </c>
      <c r="R321" s="74" t="str">
        <f aca="false">IF(LEFT(Q321,1)="(",IFERROR(VALUE(MID(Q321,2,FIND(")",Q321)-2)),""),"")</f>
        <v/>
      </c>
      <c r="S321" s="75" t="str">
        <f aca="false">IF($R321="","",N(元データ_B!$B$319))</f>
        <v/>
      </c>
      <c r="T321" s="75" t="str">
        <f aca="false">IF($R321="","",N(元データ_B!$F$319))</f>
        <v/>
      </c>
      <c r="U321" s="74" t="str">
        <f aca="false">IF($R321="","",IF(COUNTIF(店舗マスタ!$B$5:$B$304,$R321)&gt;0,"登録済","未登録→マスタに追加"))</f>
        <v/>
      </c>
    </row>
    <row r="322" customFormat="false" ht="15" hidden="false" customHeight="false" outlineLevel="0" collapsed="false">
      <c r="A322" s="74" t="n">
        <v>320</v>
      </c>
      <c r="B322" s="74" t="str">
        <f aca="false">IF(元データ_PB合計!$A$320="","",元データ_PB合計!$A$320)</f>
        <v/>
      </c>
      <c r="C322" s="74" t="str">
        <f aca="false">IF(LEFT(B322,1)="(",IFERROR(VALUE(MID(B322,2,FIND(")",B322)-2)),""),"")</f>
        <v/>
      </c>
      <c r="D322" s="75" t="str">
        <f aca="false">IF($C322="","",N(元データ_PB合計!$B$320))</f>
        <v/>
      </c>
      <c r="E322" s="75" t="str">
        <f aca="false">IF($C322="","",N(元データ_PB合計!$C$320))</f>
        <v/>
      </c>
      <c r="F322" s="75" t="str">
        <f aca="false">IF($C322="","",N(元データ_PB合計!$F$320))</f>
        <v/>
      </c>
      <c r="G322" s="74" t="str">
        <f aca="false">IF($C322="","",IF(COUNTIF(店舗マスタ!$B$5:$B$304,$C322)&gt;0,"登録済","未登録→マスタに追加"))</f>
        <v/>
      </c>
      <c r="I322" s="74" t="n">
        <v>320</v>
      </c>
      <c r="J322" s="74" t="str">
        <f aca="false">IF(元データ_P!$A$320="","",元データ_P!$A$320)</f>
        <v/>
      </c>
      <c r="K322" s="74" t="str">
        <f aca="false">IF(LEFT(J322,1)="(",IFERROR(VALUE(MID(J322,2,FIND(")",J322)-2)),""),"")</f>
        <v/>
      </c>
      <c r="L322" s="75" t="str">
        <f aca="false">IF($K322="","",N(元データ_P!$B$320))</f>
        <v/>
      </c>
      <c r="M322" s="75" t="str">
        <f aca="false">IF($K322="","",N(元データ_P!$F$320))</f>
        <v/>
      </c>
      <c r="N322" s="74" t="str">
        <f aca="false">IF($K322="","",IF(COUNTIF(店舗マスタ!$B$5:$B$304,$K322)&gt;0,"登録済","未登録→マスタに追加"))</f>
        <v/>
      </c>
      <c r="P322" s="74" t="n">
        <v>320</v>
      </c>
      <c r="Q322" s="74" t="str">
        <f aca="false">IF(元データ_B!$A$320="","",元データ_B!$A$320)</f>
        <v/>
      </c>
      <c r="R322" s="74" t="str">
        <f aca="false">IF(LEFT(Q322,1)="(",IFERROR(VALUE(MID(Q322,2,FIND(")",Q322)-2)),""),"")</f>
        <v/>
      </c>
      <c r="S322" s="75" t="str">
        <f aca="false">IF($R322="","",N(元データ_B!$B$320))</f>
        <v/>
      </c>
      <c r="T322" s="75" t="str">
        <f aca="false">IF($R322="","",N(元データ_B!$F$320))</f>
        <v/>
      </c>
      <c r="U322" s="74" t="str">
        <f aca="false">IF($R322="","",IF(COUNTIF(店舗マスタ!$B$5:$B$304,$R322)&gt;0,"登録済","未登録→マスタに追加"))</f>
        <v/>
      </c>
    </row>
    <row r="323" customFormat="false" ht="15" hidden="false" customHeight="false" outlineLevel="0" collapsed="false">
      <c r="A323" s="74" t="n">
        <v>321</v>
      </c>
      <c r="B323" s="74" t="str">
        <f aca="false">IF(元データ_PB合計!$A$321="","",元データ_PB合計!$A$321)</f>
        <v/>
      </c>
      <c r="C323" s="74" t="str">
        <f aca="false">IF(LEFT(B323,1)="(",IFERROR(VALUE(MID(B323,2,FIND(")",B323)-2)),""),"")</f>
        <v/>
      </c>
      <c r="D323" s="75" t="str">
        <f aca="false">IF($C323="","",N(元データ_PB合計!$B$321))</f>
        <v/>
      </c>
      <c r="E323" s="75" t="str">
        <f aca="false">IF($C323="","",N(元データ_PB合計!$C$321))</f>
        <v/>
      </c>
      <c r="F323" s="75" t="str">
        <f aca="false">IF($C323="","",N(元データ_PB合計!$F$321))</f>
        <v/>
      </c>
      <c r="G323" s="74" t="str">
        <f aca="false">IF($C323="","",IF(COUNTIF(店舗マスタ!$B$5:$B$304,$C323)&gt;0,"登録済","未登録→マスタに追加"))</f>
        <v/>
      </c>
      <c r="I323" s="74" t="n">
        <v>321</v>
      </c>
      <c r="J323" s="74" t="str">
        <f aca="false">IF(元データ_P!$A$321="","",元データ_P!$A$321)</f>
        <v/>
      </c>
      <c r="K323" s="74" t="str">
        <f aca="false">IF(LEFT(J323,1)="(",IFERROR(VALUE(MID(J323,2,FIND(")",J323)-2)),""),"")</f>
        <v/>
      </c>
      <c r="L323" s="75" t="str">
        <f aca="false">IF($K323="","",N(元データ_P!$B$321))</f>
        <v/>
      </c>
      <c r="M323" s="75" t="str">
        <f aca="false">IF($K323="","",N(元データ_P!$F$321))</f>
        <v/>
      </c>
      <c r="N323" s="74" t="str">
        <f aca="false">IF($K323="","",IF(COUNTIF(店舗マスタ!$B$5:$B$304,$K323)&gt;0,"登録済","未登録→マスタに追加"))</f>
        <v/>
      </c>
      <c r="P323" s="74" t="n">
        <v>321</v>
      </c>
      <c r="Q323" s="74" t="str">
        <f aca="false">IF(元データ_B!$A$321="","",元データ_B!$A$321)</f>
        <v/>
      </c>
      <c r="R323" s="74" t="str">
        <f aca="false">IF(LEFT(Q323,1)="(",IFERROR(VALUE(MID(Q323,2,FIND(")",Q323)-2)),""),"")</f>
        <v/>
      </c>
      <c r="S323" s="75" t="str">
        <f aca="false">IF($R323="","",N(元データ_B!$B$321))</f>
        <v/>
      </c>
      <c r="T323" s="75" t="str">
        <f aca="false">IF($R323="","",N(元データ_B!$F$321))</f>
        <v/>
      </c>
      <c r="U323" s="74" t="str">
        <f aca="false">IF($R323="","",IF(COUNTIF(店舗マスタ!$B$5:$B$304,$R323)&gt;0,"登録済","未登録→マスタに追加"))</f>
        <v/>
      </c>
    </row>
    <row r="324" customFormat="false" ht="15" hidden="false" customHeight="false" outlineLevel="0" collapsed="false">
      <c r="A324" s="74" t="n">
        <v>322</v>
      </c>
      <c r="B324" s="74" t="str">
        <f aca="false">IF(元データ_PB合計!$A$322="","",元データ_PB合計!$A$322)</f>
        <v/>
      </c>
      <c r="C324" s="74" t="str">
        <f aca="false">IF(LEFT(B324,1)="(",IFERROR(VALUE(MID(B324,2,FIND(")",B324)-2)),""),"")</f>
        <v/>
      </c>
      <c r="D324" s="75" t="str">
        <f aca="false">IF($C324="","",N(元データ_PB合計!$B$322))</f>
        <v/>
      </c>
      <c r="E324" s="75" t="str">
        <f aca="false">IF($C324="","",N(元データ_PB合計!$C$322))</f>
        <v/>
      </c>
      <c r="F324" s="75" t="str">
        <f aca="false">IF($C324="","",N(元データ_PB合計!$F$322))</f>
        <v/>
      </c>
      <c r="G324" s="74" t="str">
        <f aca="false">IF($C324="","",IF(COUNTIF(店舗マスタ!$B$5:$B$304,$C324)&gt;0,"登録済","未登録→マスタに追加"))</f>
        <v/>
      </c>
      <c r="I324" s="74" t="n">
        <v>322</v>
      </c>
      <c r="J324" s="74" t="str">
        <f aca="false">IF(元データ_P!$A$322="","",元データ_P!$A$322)</f>
        <v/>
      </c>
      <c r="K324" s="74" t="str">
        <f aca="false">IF(LEFT(J324,1)="(",IFERROR(VALUE(MID(J324,2,FIND(")",J324)-2)),""),"")</f>
        <v/>
      </c>
      <c r="L324" s="75" t="str">
        <f aca="false">IF($K324="","",N(元データ_P!$B$322))</f>
        <v/>
      </c>
      <c r="M324" s="75" t="str">
        <f aca="false">IF($K324="","",N(元データ_P!$F$322))</f>
        <v/>
      </c>
      <c r="N324" s="74" t="str">
        <f aca="false">IF($K324="","",IF(COUNTIF(店舗マスタ!$B$5:$B$304,$K324)&gt;0,"登録済","未登録→マスタに追加"))</f>
        <v/>
      </c>
      <c r="P324" s="74" t="n">
        <v>322</v>
      </c>
      <c r="Q324" s="74" t="str">
        <f aca="false">IF(元データ_B!$A$322="","",元データ_B!$A$322)</f>
        <v/>
      </c>
      <c r="R324" s="74" t="str">
        <f aca="false">IF(LEFT(Q324,1)="(",IFERROR(VALUE(MID(Q324,2,FIND(")",Q324)-2)),""),"")</f>
        <v/>
      </c>
      <c r="S324" s="75" t="str">
        <f aca="false">IF($R324="","",N(元データ_B!$B$322))</f>
        <v/>
      </c>
      <c r="T324" s="75" t="str">
        <f aca="false">IF($R324="","",N(元データ_B!$F$322))</f>
        <v/>
      </c>
      <c r="U324" s="74" t="str">
        <f aca="false">IF($R324="","",IF(COUNTIF(店舗マスタ!$B$5:$B$304,$R324)&gt;0,"登録済","未登録→マスタに追加"))</f>
        <v/>
      </c>
    </row>
    <row r="325" customFormat="false" ht="15" hidden="false" customHeight="false" outlineLevel="0" collapsed="false">
      <c r="A325" s="74" t="n">
        <v>323</v>
      </c>
      <c r="B325" s="74" t="str">
        <f aca="false">IF(元データ_PB合計!$A$323="","",元データ_PB合計!$A$323)</f>
        <v/>
      </c>
      <c r="C325" s="74" t="str">
        <f aca="false">IF(LEFT(B325,1)="(",IFERROR(VALUE(MID(B325,2,FIND(")",B325)-2)),""),"")</f>
        <v/>
      </c>
      <c r="D325" s="75" t="str">
        <f aca="false">IF($C325="","",N(元データ_PB合計!$B$323))</f>
        <v/>
      </c>
      <c r="E325" s="75" t="str">
        <f aca="false">IF($C325="","",N(元データ_PB合計!$C$323))</f>
        <v/>
      </c>
      <c r="F325" s="75" t="str">
        <f aca="false">IF($C325="","",N(元データ_PB合計!$F$323))</f>
        <v/>
      </c>
      <c r="G325" s="74" t="str">
        <f aca="false">IF($C325="","",IF(COUNTIF(店舗マスタ!$B$5:$B$304,$C325)&gt;0,"登録済","未登録→マスタに追加"))</f>
        <v/>
      </c>
      <c r="I325" s="74" t="n">
        <v>323</v>
      </c>
      <c r="J325" s="74" t="str">
        <f aca="false">IF(元データ_P!$A$323="","",元データ_P!$A$323)</f>
        <v/>
      </c>
      <c r="K325" s="74" t="str">
        <f aca="false">IF(LEFT(J325,1)="(",IFERROR(VALUE(MID(J325,2,FIND(")",J325)-2)),""),"")</f>
        <v/>
      </c>
      <c r="L325" s="75" t="str">
        <f aca="false">IF($K325="","",N(元データ_P!$B$323))</f>
        <v/>
      </c>
      <c r="M325" s="75" t="str">
        <f aca="false">IF($K325="","",N(元データ_P!$F$323))</f>
        <v/>
      </c>
      <c r="N325" s="74" t="str">
        <f aca="false">IF($K325="","",IF(COUNTIF(店舗マスタ!$B$5:$B$304,$K325)&gt;0,"登録済","未登録→マスタに追加"))</f>
        <v/>
      </c>
      <c r="P325" s="74" t="n">
        <v>323</v>
      </c>
      <c r="Q325" s="74" t="str">
        <f aca="false">IF(元データ_B!$A$323="","",元データ_B!$A$323)</f>
        <v/>
      </c>
      <c r="R325" s="74" t="str">
        <f aca="false">IF(LEFT(Q325,1)="(",IFERROR(VALUE(MID(Q325,2,FIND(")",Q325)-2)),""),"")</f>
        <v/>
      </c>
      <c r="S325" s="75" t="str">
        <f aca="false">IF($R325="","",N(元データ_B!$B$323))</f>
        <v/>
      </c>
      <c r="T325" s="75" t="str">
        <f aca="false">IF($R325="","",N(元データ_B!$F$323))</f>
        <v/>
      </c>
      <c r="U325" s="74" t="str">
        <f aca="false">IF($R325="","",IF(COUNTIF(店舗マスタ!$B$5:$B$304,$R325)&gt;0,"登録済","未登録→マスタに追加"))</f>
        <v/>
      </c>
    </row>
    <row r="326" customFormat="false" ht="15" hidden="false" customHeight="false" outlineLevel="0" collapsed="false">
      <c r="A326" s="74" t="n">
        <v>324</v>
      </c>
      <c r="B326" s="74" t="str">
        <f aca="false">IF(元データ_PB合計!$A$324="","",元データ_PB合計!$A$324)</f>
        <v/>
      </c>
      <c r="C326" s="74" t="str">
        <f aca="false">IF(LEFT(B326,1)="(",IFERROR(VALUE(MID(B326,2,FIND(")",B326)-2)),""),"")</f>
        <v/>
      </c>
      <c r="D326" s="75" t="str">
        <f aca="false">IF($C326="","",N(元データ_PB合計!$B$324))</f>
        <v/>
      </c>
      <c r="E326" s="75" t="str">
        <f aca="false">IF($C326="","",N(元データ_PB合計!$C$324))</f>
        <v/>
      </c>
      <c r="F326" s="75" t="str">
        <f aca="false">IF($C326="","",N(元データ_PB合計!$F$324))</f>
        <v/>
      </c>
      <c r="G326" s="74" t="str">
        <f aca="false">IF($C326="","",IF(COUNTIF(店舗マスタ!$B$5:$B$304,$C326)&gt;0,"登録済","未登録→マスタに追加"))</f>
        <v/>
      </c>
      <c r="I326" s="74" t="n">
        <v>324</v>
      </c>
      <c r="J326" s="74" t="str">
        <f aca="false">IF(元データ_P!$A$324="","",元データ_P!$A$324)</f>
        <v/>
      </c>
      <c r="K326" s="74" t="str">
        <f aca="false">IF(LEFT(J326,1)="(",IFERROR(VALUE(MID(J326,2,FIND(")",J326)-2)),""),"")</f>
        <v/>
      </c>
      <c r="L326" s="75" t="str">
        <f aca="false">IF($K326="","",N(元データ_P!$B$324))</f>
        <v/>
      </c>
      <c r="M326" s="75" t="str">
        <f aca="false">IF($K326="","",N(元データ_P!$F$324))</f>
        <v/>
      </c>
      <c r="N326" s="74" t="str">
        <f aca="false">IF($K326="","",IF(COUNTIF(店舗マスタ!$B$5:$B$304,$K326)&gt;0,"登録済","未登録→マスタに追加"))</f>
        <v/>
      </c>
      <c r="P326" s="74" t="n">
        <v>324</v>
      </c>
      <c r="Q326" s="74" t="str">
        <f aca="false">IF(元データ_B!$A$324="","",元データ_B!$A$324)</f>
        <v/>
      </c>
      <c r="R326" s="74" t="str">
        <f aca="false">IF(LEFT(Q326,1)="(",IFERROR(VALUE(MID(Q326,2,FIND(")",Q326)-2)),""),"")</f>
        <v/>
      </c>
      <c r="S326" s="75" t="str">
        <f aca="false">IF($R326="","",N(元データ_B!$B$324))</f>
        <v/>
      </c>
      <c r="T326" s="75" t="str">
        <f aca="false">IF($R326="","",N(元データ_B!$F$324))</f>
        <v/>
      </c>
      <c r="U326" s="74" t="str">
        <f aca="false">IF($R326="","",IF(COUNTIF(店舗マスタ!$B$5:$B$304,$R326)&gt;0,"登録済","未登録→マスタに追加"))</f>
        <v/>
      </c>
    </row>
    <row r="327" customFormat="false" ht="15" hidden="false" customHeight="false" outlineLevel="0" collapsed="false">
      <c r="A327" s="74" t="n">
        <v>325</v>
      </c>
      <c r="B327" s="74" t="str">
        <f aca="false">IF(元データ_PB合計!$A$325="","",元データ_PB合計!$A$325)</f>
        <v/>
      </c>
      <c r="C327" s="74" t="str">
        <f aca="false">IF(LEFT(B327,1)="(",IFERROR(VALUE(MID(B327,2,FIND(")",B327)-2)),""),"")</f>
        <v/>
      </c>
      <c r="D327" s="75" t="str">
        <f aca="false">IF($C327="","",N(元データ_PB合計!$B$325))</f>
        <v/>
      </c>
      <c r="E327" s="75" t="str">
        <f aca="false">IF($C327="","",N(元データ_PB合計!$C$325))</f>
        <v/>
      </c>
      <c r="F327" s="75" t="str">
        <f aca="false">IF($C327="","",N(元データ_PB合計!$F$325))</f>
        <v/>
      </c>
      <c r="G327" s="74" t="str">
        <f aca="false">IF($C327="","",IF(COUNTIF(店舗マスタ!$B$5:$B$304,$C327)&gt;0,"登録済","未登録→マスタに追加"))</f>
        <v/>
      </c>
      <c r="I327" s="74" t="n">
        <v>325</v>
      </c>
      <c r="J327" s="74" t="str">
        <f aca="false">IF(元データ_P!$A$325="","",元データ_P!$A$325)</f>
        <v/>
      </c>
      <c r="K327" s="74" t="str">
        <f aca="false">IF(LEFT(J327,1)="(",IFERROR(VALUE(MID(J327,2,FIND(")",J327)-2)),""),"")</f>
        <v/>
      </c>
      <c r="L327" s="75" t="str">
        <f aca="false">IF($K327="","",N(元データ_P!$B$325))</f>
        <v/>
      </c>
      <c r="M327" s="75" t="str">
        <f aca="false">IF($K327="","",N(元データ_P!$F$325))</f>
        <v/>
      </c>
      <c r="N327" s="74" t="str">
        <f aca="false">IF($K327="","",IF(COUNTIF(店舗マスタ!$B$5:$B$304,$K327)&gt;0,"登録済","未登録→マスタに追加"))</f>
        <v/>
      </c>
      <c r="P327" s="74" t="n">
        <v>325</v>
      </c>
      <c r="Q327" s="74" t="str">
        <f aca="false">IF(元データ_B!$A$325="","",元データ_B!$A$325)</f>
        <v/>
      </c>
      <c r="R327" s="74" t="str">
        <f aca="false">IF(LEFT(Q327,1)="(",IFERROR(VALUE(MID(Q327,2,FIND(")",Q327)-2)),""),"")</f>
        <v/>
      </c>
      <c r="S327" s="75" t="str">
        <f aca="false">IF($R327="","",N(元データ_B!$B$325))</f>
        <v/>
      </c>
      <c r="T327" s="75" t="str">
        <f aca="false">IF($R327="","",N(元データ_B!$F$325))</f>
        <v/>
      </c>
      <c r="U327" s="74" t="str">
        <f aca="false">IF($R327="","",IF(COUNTIF(店舗マスタ!$B$5:$B$304,$R327)&gt;0,"登録済","未登録→マスタに追加"))</f>
        <v/>
      </c>
    </row>
    <row r="328" customFormat="false" ht="15" hidden="false" customHeight="false" outlineLevel="0" collapsed="false">
      <c r="A328" s="74" t="n">
        <v>326</v>
      </c>
      <c r="B328" s="74" t="str">
        <f aca="false">IF(元データ_PB合計!$A$326="","",元データ_PB合計!$A$326)</f>
        <v/>
      </c>
      <c r="C328" s="74" t="str">
        <f aca="false">IF(LEFT(B328,1)="(",IFERROR(VALUE(MID(B328,2,FIND(")",B328)-2)),""),"")</f>
        <v/>
      </c>
      <c r="D328" s="75" t="str">
        <f aca="false">IF($C328="","",N(元データ_PB合計!$B$326))</f>
        <v/>
      </c>
      <c r="E328" s="75" t="str">
        <f aca="false">IF($C328="","",N(元データ_PB合計!$C$326))</f>
        <v/>
      </c>
      <c r="F328" s="75" t="str">
        <f aca="false">IF($C328="","",N(元データ_PB合計!$F$326))</f>
        <v/>
      </c>
      <c r="G328" s="74" t="str">
        <f aca="false">IF($C328="","",IF(COUNTIF(店舗マスタ!$B$5:$B$304,$C328)&gt;0,"登録済","未登録→マスタに追加"))</f>
        <v/>
      </c>
      <c r="I328" s="74" t="n">
        <v>326</v>
      </c>
      <c r="J328" s="74" t="str">
        <f aca="false">IF(元データ_P!$A$326="","",元データ_P!$A$326)</f>
        <v/>
      </c>
      <c r="K328" s="74" t="str">
        <f aca="false">IF(LEFT(J328,1)="(",IFERROR(VALUE(MID(J328,2,FIND(")",J328)-2)),""),"")</f>
        <v/>
      </c>
      <c r="L328" s="75" t="str">
        <f aca="false">IF($K328="","",N(元データ_P!$B$326))</f>
        <v/>
      </c>
      <c r="M328" s="75" t="str">
        <f aca="false">IF($K328="","",N(元データ_P!$F$326))</f>
        <v/>
      </c>
      <c r="N328" s="74" t="str">
        <f aca="false">IF($K328="","",IF(COUNTIF(店舗マスタ!$B$5:$B$304,$K328)&gt;0,"登録済","未登録→マスタに追加"))</f>
        <v/>
      </c>
      <c r="P328" s="74" t="n">
        <v>326</v>
      </c>
      <c r="Q328" s="74" t="str">
        <f aca="false">IF(元データ_B!$A$326="","",元データ_B!$A$326)</f>
        <v/>
      </c>
      <c r="R328" s="74" t="str">
        <f aca="false">IF(LEFT(Q328,1)="(",IFERROR(VALUE(MID(Q328,2,FIND(")",Q328)-2)),""),"")</f>
        <v/>
      </c>
      <c r="S328" s="75" t="str">
        <f aca="false">IF($R328="","",N(元データ_B!$B$326))</f>
        <v/>
      </c>
      <c r="T328" s="75" t="str">
        <f aca="false">IF($R328="","",N(元データ_B!$F$326))</f>
        <v/>
      </c>
      <c r="U328" s="74" t="str">
        <f aca="false">IF($R328="","",IF(COUNTIF(店舗マスタ!$B$5:$B$304,$R328)&gt;0,"登録済","未登録→マスタに追加"))</f>
        <v/>
      </c>
    </row>
    <row r="329" customFormat="false" ht="15" hidden="false" customHeight="false" outlineLevel="0" collapsed="false">
      <c r="A329" s="74" t="n">
        <v>327</v>
      </c>
      <c r="B329" s="74" t="str">
        <f aca="false">IF(元データ_PB合計!$A$327="","",元データ_PB合計!$A$327)</f>
        <v/>
      </c>
      <c r="C329" s="74" t="str">
        <f aca="false">IF(LEFT(B329,1)="(",IFERROR(VALUE(MID(B329,2,FIND(")",B329)-2)),""),"")</f>
        <v/>
      </c>
      <c r="D329" s="75" t="str">
        <f aca="false">IF($C329="","",N(元データ_PB合計!$B$327))</f>
        <v/>
      </c>
      <c r="E329" s="75" t="str">
        <f aca="false">IF($C329="","",N(元データ_PB合計!$C$327))</f>
        <v/>
      </c>
      <c r="F329" s="75" t="str">
        <f aca="false">IF($C329="","",N(元データ_PB合計!$F$327))</f>
        <v/>
      </c>
      <c r="G329" s="74" t="str">
        <f aca="false">IF($C329="","",IF(COUNTIF(店舗マスタ!$B$5:$B$304,$C329)&gt;0,"登録済","未登録→マスタに追加"))</f>
        <v/>
      </c>
      <c r="I329" s="74" t="n">
        <v>327</v>
      </c>
      <c r="J329" s="74" t="str">
        <f aca="false">IF(元データ_P!$A$327="","",元データ_P!$A$327)</f>
        <v/>
      </c>
      <c r="K329" s="74" t="str">
        <f aca="false">IF(LEFT(J329,1)="(",IFERROR(VALUE(MID(J329,2,FIND(")",J329)-2)),""),"")</f>
        <v/>
      </c>
      <c r="L329" s="75" t="str">
        <f aca="false">IF($K329="","",N(元データ_P!$B$327))</f>
        <v/>
      </c>
      <c r="M329" s="75" t="str">
        <f aca="false">IF($K329="","",N(元データ_P!$F$327))</f>
        <v/>
      </c>
      <c r="N329" s="74" t="str">
        <f aca="false">IF($K329="","",IF(COUNTIF(店舗マスタ!$B$5:$B$304,$K329)&gt;0,"登録済","未登録→マスタに追加"))</f>
        <v/>
      </c>
      <c r="P329" s="74" t="n">
        <v>327</v>
      </c>
      <c r="Q329" s="74" t="str">
        <f aca="false">IF(元データ_B!$A$327="","",元データ_B!$A$327)</f>
        <v/>
      </c>
      <c r="R329" s="74" t="str">
        <f aca="false">IF(LEFT(Q329,1)="(",IFERROR(VALUE(MID(Q329,2,FIND(")",Q329)-2)),""),"")</f>
        <v/>
      </c>
      <c r="S329" s="75" t="str">
        <f aca="false">IF($R329="","",N(元データ_B!$B$327))</f>
        <v/>
      </c>
      <c r="T329" s="75" t="str">
        <f aca="false">IF($R329="","",N(元データ_B!$F$327))</f>
        <v/>
      </c>
      <c r="U329" s="74" t="str">
        <f aca="false">IF($R329="","",IF(COUNTIF(店舗マスタ!$B$5:$B$304,$R329)&gt;0,"登録済","未登録→マスタに追加"))</f>
        <v/>
      </c>
    </row>
    <row r="330" customFormat="false" ht="15" hidden="false" customHeight="false" outlineLevel="0" collapsed="false">
      <c r="A330" s="74" t="n">
        <v>328</v>
      </c>
      <c r="B330" s="74" t="str">
        <f aca="false">IF(元データ_PB合計!$A$328="","",元データ_PB合計!$A$328)</f>
        <v/>
      </c>
      <c r="C330" s="74" t="str">
        <f aca="false">IF(LEFT(B330,1)="(",IFERROR(VALUE(MID(B330,2,FIND(")",B330)-2)),""),"")</f>
        <v/>
      </c>
      <c r="D330" s="75" t="str">
        <f aca="false">IF($C330="","",N(元データ_PB合計!$B$328))</f>
        <v/>
      </c>
      <c r="E330" s="75" t="str">
        <f aca="false">IF($C330="","",N(元データ_PB合計!$C$328))</f>
        <v/>
      </c>
      <c r="F330" s="75" t="str">
        <f aca="false">IF($C330="","",N(元データ_PB合計!$F$328))</f>
        <v/>
      </c>
      <c r="G330" s="74" t="str">
        <f aca="false">IF($C330="","",IF(COUNTIF(店舗マスタ!$B$5:$B$304,$C330)&gt;0,"登録済","未登録→マスタに追加"))</f>
        <v/>
      </c>
      <c r="I330" s="74" t="n">
        <v>328</v>
      </c>
      <c r="J330" s="74" t="str">
        <f aca="false">IF(元データ_P!$A$328="","",元データ_P!$A$328)</f>
        <v/>
      </c>
      <c r="K330" s="74" t="str">
        <f aca="false">IF(LEFT(J330,1)="(",IFERROR(VALUE(MID(J330,2,FIND(")",J330)-2)),""),"")</f>
        <v/>
      </c>
      <c r="L330" s="75" t="str">
        <f aca="false">IF($K330="","",N(元データ_P!$B$328))</f>
        <v/>
      </c>
      <c r="M330" s="75" t="str">
        <f aca="false">IF($K330="","",N(元データ_P!$F$328))</f>
        <v/>
      </c>
      <c r="N330" s="74" t="str">
        <f aca="false">IF($K330="","",IF(COUNTIF(店舗マスタ!$B$5:$B$304,$K330)&gt;0,"登録済","未登録→マスタに追加"))</f>
        <v/>
      </c>
      <c r="P330" s="74" t="n">
        <v>328</v>
      </c>
      <c r="Q330" s="74" t="str">
        <f aca="false">IF(元データ_B!$A$328="","",元データ_B!$A$328)</f>
        <v/>
      </c>
      <c r="R330" s="74" t="str">
        <f aca="false">IF(LEFT(Q330,1)="(",IFERROR(VALUE(MID(Q330,2,FIND(")",Q330)-2)),""),"")</f>
        <v/>
      </c>
      <c r="S330" s="75" t="str">
        <f aca="false">IF($R330="","",N(元データ_B!$B$328))</f>
        <v/>
      </c>
      <c r="T330" s="75" t="str">
        <f aca="false">IF($R330="","",N(元データ_B!$F$328))</f>
        <v/>
      </c>
      <c r="U330" s="74" t="str">
        <f aca="false">IF($R330="","",IF(COUNTIF(店舗マスタ!$B$5:$B$304,$R330)&gt;0,"登録済","未登録→マスタに追加"))</f>
        <v/>
      </c>
    </row>
    <row r="331" customFormat="false" ht="15" hidden="false" customHeight="false" outlineLevel="0" collapsed="false">
      <c r="A331" s="74" t="n">
        <v>329</v>
      </c>
      <c r="B331" s="74" t="str">
        <f aca="false">IF(元データ_PB合計!$A$329="","",元データ_PB合計!$A$329)</f>
        <v/>
      </c>
      <c r="C331" s="74" t="str">
        <f aca="false">IF(LEFT(B331,1)="(",IFERROR(VALUE(MID(B331,2,FIND(")",B331)-2)),""),"")</f>
        <v/>
      </c>
      <c r="D331" s="75" t="str">
        <f aca="false">IF($C331="","",N(元データ_PB合計!$B$329))</f>
        <v/>
      </c>
      <c r="E331" s="75" t="str">
        <f aca="false">IF($C331="","",N(元データ_PB合計!$C$329))</f>
        <v/>
      </c>
      <c r="F331" s="75" t="str">
        <f aca="false">IF($C331="","",N(元データ_PB合計!$F$329))</f>
        <v/>
      </c>
      <c r="G331" s="74" t="str">
        <f aca="false">IF($C331="","",IF(COUNTIF(店舗マスタ!$B$5:$B$304,$C331)&gt;0,"登録済","未登録→マスタに追加"))</f>
        <v/>
      </c>
      <c r="I331" s="74" t="n">
        <v>329</v>
      </c>
      <c r="J331" s="74" t="str">
        <f aca="false">IF(元データ_P!$A$329="","",元データ_P!$A$329)</f>
        <v/>
      </c>
      <c r="K331" s="74" t="str">
        <f aca="false">IF(LEFT(J331,1)="(",IFERROR(VALUE(MID(J331,2,FIND(")",J331)-2)),""),"")</f>
        <v/>
      </c>
      <c r="L331" s="75" t="str">
        <f aca="false">IF($K331="","",N(元データ_P!$B$329))</f>
        <v/>
      </c>
      <c r="M331" s="75" t="str">
        <f aca="false">IF($K331="","",N(元データ_P!$F$329))</f>
        <v/>
      </c>
      <c r="N331" s="74" t="str">
        <f aca="false">IF($K331="","",IF(COUNTIF(店舗マスタ!$B$5:$B$304,$K331)&gt;0,"登録済","未登録→マスタに追加"))</f>
        <v/>
      </c>
      <c r="P331" s="74" t="n">
        <v>329</v>
      </c>
      <c r="Q331" s="74" t="str">
        <f aca="false">IF(元データ_B!$A$329="","",元データ_B!$A$329)</f>
        <v/>
      </c>
      <c r="R331" s="74" t="str">
        <f aca="false">IF(LEFT(Q331,1)="(",IFERROR(VALUE(MID(Q331,2,FIND(")",Q331)-2)),""),"")</f>
        <v/>
      </c>
      <c r="S331" s="75" t="str">
        <f aca="false">IF($R331="","",N(元データ_B!$B$329))</f>
        <v/>
      </c>
      <c r="T331" s="75" t="str">
        <f aca="false">IF($R331="","",N(元データ_B!$F$329))</f>
        <v/>
      </c>
      <c r="U331" s="74" t="str">
        <f aca="false">IF($R331="","",IF(COUNTIF(店舗マスタ!$B$5:$B$304,$R331)&gt;0,"登録済","未登録→マスタに追加"))</f>
        <v/>
      </c>
    </row>
    <row r="332" customFormat="false" ht="15" hidden="false" customHeight="false" outlineLevel="0" collapsed="false">
      <c r="A332" s="74" t="n">
        <v>330</v>
      </c>
      <c r="B332" s="74" t="str">
        <f aca="false">IF(元データ_PB合計!$A$330="","",元データ_PB合計!$A$330)</f>
        <v/>
      </c>
      <c r="C332" s="74" t="str">
        <f aca="false">IF(LEFT(B332,1)="(",IFERROR(VALUE(MID(B332,2,FIND(")",B332)-2)),""),"")</f>
        <v/>
      </c>
      <c r="D332" s="75" t="str">
        <f aca="false">IF($C332="","",N(元データ_PB合計!$B$330))</f>
        <v/>
      </c>
      <c r="E332" s="75" t="str">
        <f aca="false">IF($C332="","",N(元データ_PB合計!$C$330))</f>
        <v/>
      </c>
      <c r="F332" s="75" t="str">
        <f aca="false">IF($C332="","",N(元データ_PB合計!$F$330))</f>
        <v/>
      </c>
      <c r="G332" s="74" t="str">
        <f aca="false">IF($C332="","",IF(COUNTIF(店舗マスタ!$B$5:$B$304,$C332)&gt;0,"登録済","未登録→マスタに追加"))</f>
        <v/>
      </c>
      <c r="I332" s="74" t="n">
        <v>330</v>
      </c>
      <c r="J332" s="74" t="str">
        <f aca="false">IF(元データ_P!$A$330="","",元データ_P!$A$330)</f>
        <v/>
      </c>
      <c r="K332" s="74" t="str">
        <f aca="false">IF(LEFT(J332,1)="(",IFERROR(VALUE(MID(J332,2,FIND(")",J332)-2)),""),"")</f>
        <v/>
      </c>
      <c r="L332" s="75" t="str">
        <f aca="false">IF($K332="","",N(元データ_P!$B$330))</f>
        <v/>
      </c>
      <c r="M332" s="75" t="str">
        <f aca="false">IF($K332="","",N(元データ_P!$F$330))</f>
        <v/>
      </c>
      <c r="N332" s="74" t="str">
        <f aca="false">IF($K332="","",IF(COUNTIF(店舗マスタ!$B$5:$B$304,$K332)&gt;0,"登録済","未登録→マスタに追加"))</f>
        <v/>
      </c>
      <c r="P332" s="74" t="n">
        <v>330</v>
      </c>
      <c r="Q332" s="74" t="str">
        <f aca="false">IF(元データ_B!$A$330="","",元データ_B!$A$330)</f>
        <v/>
      </c>
      <c r="R332" s="74" t="str">
        <f aca="false">IF(LEFT(Q332,1)="(",IFERROR(VALUE(MID(Q332,2,FIND(")",Q332)-2)),""),"")</f>
        <v/>
      </c>
      <c r="S332" s="75" t="str">
        <f aca="false">IF($R332="","",N(元データ_B!$B$330))</f>
        <v/>
      </c>
      <c r="T332" s="75" t="str">
        <f aca="false">IF($R332="","",N(元データ_B!$F$330))</f>
        <v/>
      </c>
      <c r="U332" s="74" t="str">
        <f aca="false">IF($R332="","",IF(COUNTIF(店舗マスタ!$B$5:$B$304,$R332)&gt;0,"登録済","未登録→マスタに追加"))</f>
        <v/>
      </c>
    </row>
    <row r="333" customFormat="false" ht="15" hidden="false" customHeight="false" outlineLevel="0" collapsed="false">
      <c r="A333" s="74" t="n">
        <v>331</v>
      </c>
      <c r="B333" s="74" t="str">
        <f aca="false">IF(元データ_PB合計!$A$331="","",元データ_PB合計!$A$331)</f>
        <v/>
      </c>
      <c r="C333" s="74" t="str">
        <f aca="false">IF(LEFT(B333,1)="(",IFERROR(VALUE(MID(B333,2,FIND(")",B333)-2)),""),"")</f>
        <v/>
      </c>
      <c r="D333" s="75" t="str">
        <f aca="false">IF($C333="","",N(元データ_PB合計!$B$331))</f>
        <v/>
      </c>
      <c r="E333" s="75" t="str">
        <f aca="false">IF($C333="","",N(元データ_PB合計!$C$331))</f>
        <v/>
      </c>
      <c r="F333" s="75" t="str">
        <f aca="false">IF($C333="","",N(元データ_PB合計!$F$331))</f>
        <v/>
      </c>
      <c r="G333" s="74" t="str">
        <f aca="false">IF($C333="","",IF(COUNTIF(店舗マスタ!$B$5:$B$304,$C333)&gt;0,"登録済","未登録→マスタに追加"))</f>
        <v/>
      </c>
      <c r="I333" s="74" t="n">
        <v>331</v>
      </c>
      <c r="J333" s="74" t="str">
        <f aca="false">IF(元データ_P!$A$331="","",元データ_P!$A$331)</f>
        <v/>
      </c>
      <c r="K333" s="74" t="str">
        <f aca="false">IF(LEFT(J333,1)="(",IFERROR(VALUE(MID(J333,2,FIND(")",J333)-2)),""),"")</f>
        <v/>
      </c>
      <c r="L333" s="75" t="str">
        <f aca="false">IF($K333="","",N(元データ_P!$B$331))</f>
        <v/>
      </c>
      <c r="M333" s="75" t="str">
        <f aca="false">IF($K333="","",N(元データ_P!$F$331))</f>
        <v/>
      </c>
      <c r="N333" s="74" t="str">
        <f aca="false">IF($K333="","",IF(COUNTIF(店舗マスタ!$B$5:$B$304,$K333)&gt;0,"登録済","未登録→マスタに追加"))</f>
        <v/>
      </c>
      <c r="P333" s="74" t="n">
        <v>331</v>
      </c>
      <c r="Q333" s="74" t="str">
        <f aca="false">IF(元データ_B!$A$331="","",元データ_B!$A$331)</f>
        <v/>
      </c>
      <c r="R333" s="74" t="str">
        <f aca="false">IF(LEFT(Q333,1)="(",IFERROR(VALUE(MID(Q333,2,FIND(")",Q333)-2)),""),"")</f>
        <v/>
      </c>
      <c r="S333" s="75" t="str">
        <f aca="false">IF($R333="","",N(元データ_B!$B$331))</f>
        <v/>
      </c>
      <c r="T333" s="75" t="str">
        <f aca="false">IF($R333="","",N(元データ_B!$F$331))</f>
        <v/>
      </c>
      <c r="U333" s="74" t="str">
        <f aca="false">IF($R333="","",IF(COUNTIF(店舗マスタ!$B$5:$B$304,$R333)&gt;0,"登録済","未登録→マスタに追加"))</f>
        <v/>
      </c>
    </row>
    <row r="334" customFormat="false" ht="15" hidden="false" customHeight="false" outlineLevel="0" collapsed="false">
      <c r="A334" s="74" t="n">
        <v>332</v>
      </c>
      <c r="B334" s="74" t="str">
        <f aca="false">IF(元データ_PB合計!$A$332="","",元データ_PB合計!$A$332)</f>
        <v/>
      </c>
      <c r="C334" s="74" t="str">
        <f aca="false">IF(LEFT(B334,1)="(",IFERROR(VALUE(MID(B334,2,FIND(")",B334)-2)),""),"")</f>
        <v/>
      </c>
      <c r="D334" s="75" t="str">
        <f aca="false">IF($C334="","",N(元データ_PB合計!$B$332))</f>
        <v/>
      </c>
      <c r="E334" s="75" t="str">
        <f aca="false">IF($C334="","",N(元データ_PB合計!$C$332))</f>
        <v/>
      </c>
      <c r="F334" s="75" t="str">
        <f aca="false">IF($C334="","",N(元データ_PB合計!$F$332))</f>
        <v/>
      </c>
      <c r="G334" s="74" t="str">
        <f aca="false">IF($C334="","",IF(COUNTIF(店舗マスタ!$B$5:$B$304,$C334)&gt;0,"登録済","未登録→マスタに追加"))</f>
        <v/>
      </c>
      <c r="I334" s="74" t="n">
        <v>332</v>
      </c>
      <c r="J334" s="74" t="str">
        <f aca="false">IF(元データ_P!$A$332="","",元データ_P!$A$332)</f>
        <v/>
      </c>
      <c r="K334" s="74" t="str">
        <f aca="false">IF(LEFT(J334,1)="(",IFERROR(VALUE(MID(J334,2,FIND(")",J334)-2)),""),"")</f>
        <v/>
      </c>
      <c r="L334" s="75" t="str">
        <f aca="false">IF($K334="","",N(元データ_P!$B$332))</f>
        <v/>
      </c>
      <c r="M334" s="75" t="str">
        <f aca="false">IF($K334="","",N(元データ_P!$F$332))</f>
        <v/>
      </c>
      <c r="N334" s="74" t="str">
        <f aca="false">IF($K334="","",IF(COUNTIF(店舗マスタ!$B$5:$B$304,$K334)&gt;0,"登録済","未登録→マスタに追加"))</f>
        <v/>
      </c>
      <c r="P334" s="74" t="n">
        <v>332</v>
      </c>
      <c r="Q334" s="74" t="str">
        <f aca="false">IF(元データ_B!$A$332="","",元データ_B!$A$332)</f>
        <v/>
      </c>
      <c r="R334" s="74" t="str">
        <f aca="false">IF(LEFT(Q334,1)="(",IFERROR(VALUE(MID(Q334,2,FIND(")",Q334)-2)),""),"")</f>
        <v/>
      </c>
      <c r="S334" s="75" t="str">
        <f aca="false">IF($R334="","",N(元データ_B!$B$332))</f>
        <v/>
      </c>
      <c r="T334" s="75" t="str">
        <f aca="false">IF($R334="","",N(元データ_B!$F$332))</f>
        <v/>
      </c>
      <c r="U334" s="74" t="str">
        <f aca="false">IF($R334="","",IF(COUNTIF(店舗マスタ!$B$5:$B$304,$R334)&gt;0,"登録済","未登録→マスタに追加"))</f>
        <v/>
      </c>
    </row>
    <row r="335" customFormat="false" ht="15" hidden="false" customHeight="false" outlineLevel="0" collapsed="false">
      <c r="A335" s="74" t="n">
        <v>333</v>
      </c>
      <c r="B335" s="74" t="str">
        <f aca="false">IF(元データ_PB合計!$A$333="","",元データ_PB合計!$A$333)</f>
        <v/>
      </c>
      <c r="C335" s="74" t="str">
        <f aca="false">IF(LEFT(B335,1)="(",IFERROR(VALUE(MID(B335,2,FIND(")",B335)-2)),""),"")</f>
        <v/>
      </c>
      <c r="D335" s="75" t="str">
        <f aca="false">IF($C335="","",N(元データ_PB合計!$B$333))</f>
        <v/>
      </c>
      <c r="E335" s="75" t="str">
        <f aca="false">IF($C335="","",N(元データ_PB合計!$C$333))</f>
        <v/>
      </c>
      <c r="F335" s="75" t="str">
        <f aca="false">IF($C335="","",N(元データ_PB合計!$F$333))</f>
        <v/>
      </c>
      <c r="G335" s="74" t="str">
        <f aca="false">IF($C335="","",IF(COUNTIF(店舗マスタ!$B$5:$B$304,$C335)&gt;0,"登録済","未登録→マスタに追加"))</f>
        <v/>
      </c>
      <c r="I335" s="74" t="n">
        <v>333</v>
      </c>
      <c r="J335" s="74" t="str">
        <f aca="false">IF(元データ_P!$A$333="","",元データ_P!$A$333)</f>
        <v/>
      </c>
      <c r="K335" s="74" t="str">
        <f aca="false">IF(LEFT(J335,1)="(",IFERROR(VALUE(MID(J335,2,FIND(")",J335)-2)),""),"")</f>
        <v/>
      </c>
      <c r="L335" s="75" t="str">
        <f aca="false">IF($K335="","",N(元データ_P!$B$333))</f>
        <v/>
      </c>
      <c r="M335" s="75" t="str">
        <f aca="false">IF($K335="","",N(元データ_P!$F$333))</f>
        <v/>
      </c>
      <c r="N335" s="74" t="str">
        <f aca="false">IF($K335="","",IF(COUNTIF(店舗マスタ!$B$5:$B$304,$K335)&gt;0,"登録済","未登録→マスタに追加"))</f>
        <v/>
      </c>
      <c r="P335" s="74" t="n">
        <v>333</v>
      </c>
      <c r="Q335" s="74" t="str">
        <f aca="false">IF(元データ_B!$A$333="","",元データ_B!$A$333)</f>
        <v/>
      </c>
      <c r="R335" s="74" t="str">
        <f aca="false">IF(LEFT(Q335,1)="(",IFERROR(VALUE(MID(Q335,2,FIND(")",Q335)-2)),""),"")</f>
        <v/>
      </c>
      <c r="S335" s="75" t="str">
        <f aca="false">IF($R335="","",N(元データ_B!$B$333))</f>
        <v/>
      </c>
      <c r="T335" s="75" t="str">
        <f aca="false">IF($R335="","",N(元データ_B!$F$333))</f>
        <v/>
      </c>
      <c r="U335" s="74" t="str">
        <f aca="false">IF($R335="","",IF(COUNTIF(店舗マスタ!$B$5:$B$304,$R335)&gt;0,"登録済","未登録→マスタに追加"))</f>
        <v/>
      </c>
    </row>
    <row r="336" customFormat="false" ht="15" hidden="false" customHeight="false" outlineLevel="0" collapsed="false">
      <c r="A336" s="74" t="n">
        <v>334</v>
      </c>
      <c r="B336" s="74" t="str">
        <f aca="false">IF(元データ_PB合計!$A$334="","",元データ_PB合計!$A$334)</f>
        <v/>
      </c>
      <c r="C336" s="74" t="str">
        <f aca="false">IF(LEFT(B336,1)="(",IFERROR(VALUE(MID(B336,2,FIND(")",B336)-2)),""),"")</f>
        <v/>
      </c>
      <c r="D336" s="75" t="str">
        <f aca="false">IF($C336="","",N(元データ_PB合計!$B$334))</f>
        <v/>
      </c>
      <c r="E336" s="75" t="str">
        <f aca="false">IF($C336="","",N(元データ_PB合計!$C$334))</f>
        <v/>
      </c>
      <c r="F336" s="75" t="str">
        <f aca="false">IF($C336="","",N(元データ_PB合計!$F$334))</f>
        <v/>
      </c>
      <c r="G336" s="74" t="str">
        <f aca="false">IF($C336="","",IF(COUNTIF(店舗マスタ!$B$5:$B$304,$C336)&gt;0,"登録済","未登録→マスタに追加"))</f>
        <v/>
      </c>
      <c r="I336" s="74" t="n">
        <v>334</v>
      </c>
      <c r="J336" s="74" t="str">
        <f aca="false">IF(元データ_P!$A$334="","",元データ_P!$A$334)</f>
        <v/>
      </c>
      <c r="K336" s="74" t="str">
        <f aca="false">IF(LEFT(J336,1)="(",IFERROR(VALUE(MID(J336,2,FIND(")",J336)-2)),""),"")</f>
        <v/>
      </c>
      <c r="L336" s="75" t="str">
        <f aca="false">IF($K336="","",N(元データ_P!$B$334))</f>
        <v/>
      </c>
      <c r="M336" s="75" t="str">
        <f aca="false">IF($K336="","",N(元データ_P!$F$334))</f>
        <v/>
      </c>
      <c r="N336" s="74" t="str">
        <f aca="false">IF($K336="","",IF(COUNTIF(店舗マスタ!$B$5:$B$304,$K336)&gt;0,"登録済","未登録→マスタに追加"))</f>
        <v/>
      </c>
      <c r="P336" s="74" t="n">
        <v>334</v>
      </c>
      <c r="Q336" s="74" t="str">
        <f aca="false">IF(元データ_B!$A$334="","",元データ_B!$A$334)</f>
        <v/>
      </c>
      <c r="R336" s="74" t="str">
        <f aca="false">IF(LEFT(Q336,1)="(",IFERROR(VALUE(MID(Q336,2,FIND(")",Q336)-2)),""),"")</f>
        <v/>
      </c>
      <c r="S336" s="75" t="str">
        <f aca="false">IF($R336="","",N(元データ_B!$B$334))</f>
        <v/>
      </c>
      <c r="T336" s="75" t="str">
        <f aca="false">IF($R336="","",N(元データ_B!$F$334))</f>
        <v/>
      </c>
      <c r="U336" s="74" t="str">
        <f aca="false">IF($R336="","",IF(COUNTIF(店舗マスタ!$B$5:$B$304,$R336)&gt;0,"登録済","未登録→マスタに追加"))</f>
        <v/>
      </c>
    </row>
    <row r="337" customFormat="false" ht="15" hidden="false" customHeight="false" outlineLevel="0" collapsed="false">
      <c r="A337" s="74" t="n">
        <v>335</v>
      </c>
      <c r="B337" s="74" t="str">
        <f aca="false">IF(元データ_PB合計!$A$335="","",元データ_PB合計!$A$335)</f>
        <v/>
      </c>
      <c r="C337" s="74" t="str">
        <f aca="false">IF(LEFT(B337,1)="(",IFERROR(VALUE(MID(B337,2,FIND(")",B337)-2)),""),"")</f>
        <v/>
      </c>
      <c r="D337" s="75" t="str">
        <f aca="false">IF($C337="","",N(元データ_PB合計!$B$335))</f>
        <v/>
      </c>
      <c r="E337" s="75" t="str">
        <f aca="false">IF($C337="","",N(元データ_PB合計!$C$335))</f>
        <v/>
      </c>
      <c r="F337" s="75" t="str">
        <f aca="false">IF($C337="","",N(元データ_PB合計!$F$335))</f>
        <v/>
      </c>
      <c r="G337" s="74" t="str">
        <f aca="false">IF($C337="","",IF(COUNTIF(店舗マスタ!$B$5:$B$304,$C337)&gt;0,"登録済","未登録→マスタに追加"))</f>
        <v/>
      </c>
      <c r="I337" s="74" t="n">
        <v>335</v>
      </c>
      <c r="J337" s="74" t="str">
        <f aca="false">IF(元データ_P!$A$335="","",元データ_P!$A$335)</f>
        <v/>
      </c>
      <c r="K337" s="74" t="str">
        <f aca="false">IF(LEFT(J337,1)="(",IFERROR(VALUE(MID(J337,2,FIND(")",J337)-2)),""),"")</f>
        <v/>
      </c>
      <c r="L337" s="75" t="str">
        <f aca="false">IF($K337="","",N(元データ_P!$B$335))</f>
        <v/>
      </c>
      <c r="M337" s="75" t="str">
        <f aca="false">IF($K337="","",N(元データ_P!$F$335))</f>
        <v/>
      </c>
      <c r="N337" s="74" t="str">
        <f aca="false">IF($K337="","",IF(COUNTIF(店舗マスタ!$B$5:$B$304,$K337)&gt;0,"登録済","未登録→マスタに追加"))</f>
        <v/>
      </c>
      <c r="P337" s="74" t="n">
        <v>335</v>
      </c>
      <c r="Q337" s="74" t="str">
        <f aca="false">IF(元データ_B!$A$335="","",元データ_B!$A$335)</f>
        <v/>
      </c>
      <c r="R337" s="74" t="str">
        <f aca="false">IF(LEFT(Q337,1)="(",IFERROR(VALUE(MID(Q337,2,FIND(")",Q337)-2)),""),"")</f>
        <v/>
      </c>
      <c r="S337" s="75" t="str">
        <f aca="false">IF($R337="","",N(元データ_B!$B$335))</f>
        <v/>
      </c>
      <c r="T337" s="75" t="str">
        <f aca="false">IF($R337="","",N(元データ_B!$F$335))</f>
        <v/>
      </c>
      <c r="U337" s="74" t="str">
        <f aca="false">IF($R337="","",IF(COUNTIF(店舗マスタ!$B$5:$B$304,$R337)&gt;0,"登録済","未登録→マスタに追加"))</f>
        <v/>
      </c>
    </row>
    <row r="338" customFormat="false" ht="15" hidden="false" customHeight="false" outlineLevel="0" collapsed="false">
      <c r="A338" s="74" t="n">
        <v>336</v>
      </c>
      <c r="B338" s="74" t="str">
        <f aca="false">IF(元データ_PB合計!$A$336="","",元データ_PB合計!$A$336)</f>
        <v/>
      </c>
      <c r="C338" s="74" t="str">
        <f aca="false">IF(LEFT(B338,1)="(",IFERROR(VALUE(MID(B338,2,FIND(")",B338)-2)),""),"")</f>
        <v/>
      </c>
      <c r="D338" s="75" t="str">
        <f aca="false">IF($C338="","",N(元データ_PB合計!$B$336))</f>
        <v/>
      </c>
      <c r="E338" s="75" t="str">
        <f aca="false">IF($C338="","",N(元データ_PB合計!$C$336))</f>
        <v/>
      </c>
      <c r="F338" s="75" t="str">
        <f aca="false">IF($C338="","",N(元データ_PB合計!$F$336))</f>
        <v/>
      </c>
      <c r="G338" s="74" t="str">
        <f aca="false">IF($C338="","",IF(COUNTIF(店舗マスタ!$B$5:$B$304,$C338)&gt;0,"登録済","未登録→マスタに追加"))</f>
        <v/>
      </c>
      <c r="I338" s="74" t="n">
        <v>336</v>
      </c>
      <c r="J338" s="74" t="str">
        <f aca="false">IF(元データ_P!$A$336="","",元データ_P!$A$336)</f>
        <v/>
      </c>
      <c r="K338" s="74" t="str">
        <f aca="false">IF(LEFT(J338,1)="(",IFERROR(VALUE(MID(J338,2,FIND(")",J338)-2)),""),"")</f>
        <v/>
      </c>
      <c r="L338" s="75" t="str">
        <f aca="false">IF($K338="","",N(元データ_P!$B$336))</f>
        <v/>
      </c>
      <c r="M338" s="75" t="str">
        <f aca="false">IF($K338="","",N(元データ_P!$F$336))</f>
        <v/>
      </c>
      <c r="N338" s="74" t="str">
        <f aca="false">IF($K338="","",IF(COUNTIF(店舗マスタ!$B$5:$B$304,$K338)&gt;0,"登録済","未登録→マスタに追加"))</f>
        <v/>
      </c>
      <c r="P338" s="74" t="n">
        <v>336</v>
      </c>
      <c r="Q338" s="74" t="str">
        <f aca="false">IF(元データ_B!$A$336="","",元データ_B!$A$336)</f>
        <v/>
      </c>
      <c r="R338" s="74" t="str">
        <f aca="false">IF(LEFT(Q338,1)="(",IFERROR(VALUE(MID(Q338,2,FIND(")",Q338)-2)),""),"")</f>
        <v/>
      </c>
      <c r="S338" s="75" t="str">
        <f aca="false">IF($R338="","",N(元データ_B!$B$336))</f>
        <v/>
      </c>
      <c r="T338" s="75" t="str">
        <f aca="false">IF($R338="","",N(元データ_B!$F$336))</f>
        <v/>
      </c>
      <c r="U338" s="74" t="str">
        <f aca="false">IF($R338="","",IF(COUNTIF(店舗マスタ!$B$5:$B$304,$R338)&gt;0,"登録済","未登録→マスタに追加"))</f>
        <v/>
      </c>
    </row>
    <row r="339" customFormat="false" ht="15" hidden="false" customHeight="false" outlineLevel="0" collapsed="false">
      <c r="A339" s="74" t="n">
        <v>337</v>
      </c>
      <c r="B339" s="74" t="str">
        <f aca="false">IF(元データ_PB合計!$A$337="","",元データ_PB合計!$A$337)</f>
        <v/>
      </c>
      <c r="C339" s="74" t="str">
        <f aca="false">IF(LEFT(B339,1)="(",IFERROR(VALUE(MID(B339,2,FIND(")",B339)-2)),""),"")</f>
        <v/>
      </c>
      <c r="D339" s="75" t="str">
        <f aca="false">IF($C339="","",N(元データ_PB合計!$B$337))</f>
        <v/>
      </c>
      <c r="E339" s="75" t="str">
        <f aca="false">IF($C339="","",N(元データ_PB合計!$C$337))</f>
        <v/>
      </c>
      <c r="F339" s="75" t="str">
        <f aca="false">IF($C339="","",N(元データ_PB合計!$F$337))</f>
        <v/>
      </c>
      <c r="G339" s="74" t="str">
        <f aca="false">IF($C339="","",IF(COUNTIF(店舗マスタ!$B$5:$B$304,$C339)&gt;0,"登録済","未登録→マスタに追加"))</f>
        <v/>
      </c>
      <c r="I339" s="74" t="n">
        <v>337</v>
      </c>
      <c r="J339" s="74" t="str">
        <f aca="false">IF(元データ_P!$A$337="","",元データ_P!$A$337)</f>
        <v/>
      </c>
      <c r="K339" s="74" t="str">
        <f aca="false">IF(LEFT(J339,1)="(",IFERROR(VALUE(MID(J339,2,FIND(")",J339)-2)),""),"")</f>
        <v/>
      </c>
      <c r="L339" s="75" t="str">
        <f aca="false">IF($K339="","",N(元データ_P!$B$337))</f>
        <v/>
      </c>
      <c r="M339" s="75" t="str">
        <f aca="false">IF($K339="","",N(元データ_P!$F$337))</f>
        <v/>
      </c>
      <c r="N339" s="74" t="str">
        <f aca="false">IF($K339="","",IF(COUNTIF(店舗マスタ!$B$5:$B$304,$K339)&gt;0,"登録済","未登録→マスタに追加"))</f>
        <v/>
      </c>
      <c r="P339" s="74" t="n">
        <v>337</v>
      </c>
      <c r="Q339" s="74" t="str">
        <f aca="false">IF(元データ_B!$A$337="","",元データ_B!$A$337)</f>
        <v/>
      </c>
      <c r="R339" s="74" t="str">
        <f aca="false">IF(LEFT(Q339,1)="(",IFERROR(VALUE(MID(Q339,2,FIND(")",Q339)-2)),""),"")</f>
        <v/>
      </c>
      <c r="S339" s="75" t="str">
        <f aca="false">IF($R339="","",N(元データ_B!$B$337))</f>
        <v/>
      </c>
      <c r="T339" s="75" t="str">
        <f aca="false">IF($R339="","",N(元データ_B!$F$337))</f>
        <v/>
      </c>
      <c r="U339" s="74" t="str">
        <f aca="false">IF($R339="","",IF(COUNTIF(店舗マスタ!$B$5:$B$304,$R339)&gt;0,"登録済","未登録→マスタに追加"))</f>
        <v/>
      </c>
    </row>
    <row r="340" customFormat="false" ht="15" hidden="false" customHeight="false" outlineLevel="0" collapsed="false">
      <c r="A340" s="74" t="n">
        <v>338</v>
      </c>
      <c r="B340" s="74" t="str">
        <f aca="false">IF(元データ_PB合計!$A$338="","",元データ_PB合計!$A$338)</f>
        <v/>
      </c>
      <c r="C340" s="74" t="str">
        <f aca="false">IF(LEFT(B340,1)="(",IFERROR(VALUE(MID(B340,2,FIND(")",B340)-2)),""),"")</f>
        <v/>
      </c>
      <c r="D340" s="75" t="str">
        <f aca="false">IF($C340="","",N(元データ_PB合計!$B$338))</f>
        <v/>
      </c>
      <c r="E340" s="75" t="str">
        <f aca="false">IF($C340="","",N(元データ_PB合計!$C$338))</f>
        <v/>
      </c>
      <c r="F340" s="75" t="str">
        <f aca="false">IF($C340="","",N(元データ_PB合計!$F$338))</f>
        <v/>
      </c>
      <c r="G340" s="74" t="str">
        <f aca="false">IF($C340="","",IF(COUNTIF(店舗マスタ!$B$5:$B$304,$C340)&gt;0,"登録済","未登録→マスタに追加"))</f>
        <v/>
      </c>
      <c r="I340" s="74" t="n">
        <v>338</v>
      </c>
      <c r="J340" s="74" t="str">
        <f aca="false">IF(元データ_P!$A$338="","",元データ_P!$A$338)</f>
        <v/>
      </c>
      <c r="K340" s="74" t="str">
        <f aca="false">IF(LEFT(J340,1)="(",IFERROR(VALUE(MID(J340,2,FIND(")",J340)-2)),""),"")</f>
        <v/>
      </c>
      <c r="L340" s="75" t="str">
        <f aca="false">IF($K340="","",N(元データ_P!$B$338))</f>
        <v/>
      </c>
      <c r="M340" s="75" t="str">
        <f aca="false">IF($K340="","",N(元データ_P!$F$338))</f>
        <v/>
      </c>
      <c r="N340" s="74" t="str">
        <f aca="false">IF($K340="","",IF(COUNTIF(店舗マスタ!$B$5:$B$304,$K340)&gt;0,"登録済","未登録→マスタに追加"))</f>
        <v/>
      </c>
      <c r="P340" s="74" t="n">
        <v>338</v>
      </c>
      <c r="Q340" s="74" t="str">
        <f aca="false">IF(元データ_B!$A$338="","",元データ_B!$A$338)</f>
        <v/>
      </c>
      <c r="R340" s="74" t="str">
        <f aca="false">IF(LEFT(Q340,1)="(",IFERROR(VALUE(MID(Q340,2,FIND(")",Q340)-2)),""),"")</f>
        <v/>
      </c>
      <c r="S340" s="75" t="str">
        <f aca="false">IF($R340="","",N(元データ_B!$B$338))</f>
        <v/>
      </c>
      <c r="T340" s="75" t="str">
        <f aca="false">IF($R340="","",N(元データ_B!$F$338))</f>
        <v/>
      </c>
      <c r="U340" s="74" t="str">
        <f aca="false">IF($R340="","",IF(COUNTIF(店舗マスタ!$B$5:$B$304,$R340)&gt;0,"登録済","未登録→マスタに追加"))</f>
        <v/>
      </c>
    </row>
    <row r="341" customFormat="false" ht="15" hidden="false" customHeight="false" outlineLevel="0" collapsed="false">
      <c r="A341" s="74" t="n">
        <v>339</v>
      </c>
      <c r="B341" s="74" t="str">
        <f aca="false">IF(元データ_PB合計!$A$339="","",元データ_PB合計!$A$339)</f>
        <v/>
      </c>
      <c r="C341" s="74" t="str">
        <f aca="false">IF(LEFT(B341,1)="(",IFERROR(VALUE(MID(B341,2,FIND(")",B341)-2)),""),"")</f>
        <v/>
      </c>
      <c r="D341" s="75" t="str">
        <f aca="false">IF($C341="","",N(元データ_PB合計!$B$339))</f>
        <v/>
      </c>
      <c r="E341" s="75" t="str">
        <f aca="false">IF($C341="","",N(元データ_PB合計!$C$339))</f>
        <v/>
      </c>
      <c r="F341" s="75" t="str">
        <f aca="false">IF($C341="","",N(元データ_PB合計!$F$339))</f>
        <v/>
      </c>
      <c r="G341" s="74" t="str">
        <f aca="false">IF($C341="","",IF(COUNTIF(店舗マスタ!$B$5:$B$304,$C341)&gt;0,"登録済","未登録→マスタに追加"))</f>
        <v/>
      </c>
      <c r="I341" s="74" t="n">
        <v>339</v>
      </c>
      <c r="J341" s="74" t="str">
        <f aca="false">IF(元データ_P!$A$339="","",元データ_P!$A$339)</f>
        <v/>
      </c>
      <c r="K341" s="74" t="str">
        <f aca="false">IF(LEFT(J341,1)="(",IFERROR(VALUE(MID(J341,2,FIND(")",J341)-2)),""),"")</f>
        <v/>
      </c>
      <c r="L341" s="75" t="str">
        <f aca="false">IF($K341="","",N(元データ_P!$B$339))</f>
        <v/>
      </c>
      <c r="M341" s="75" t="str">
        <f aca="false">IF($K341="","",N(元データ_P!$F$339))</f>
        <v/>
      </c>
      <c r="N341" s="74" t="str">
        <f aca="false">IF($K341="","",IF(COUNTIF(店舗マスタ!$B$5:$B$304,$K341)&gt;0,"登録済","未登録→マスタに追加"))</f>
        <v/>
      </c>
      <c r="P341" s="74" t="n">
        <v>339</v>
      </c>
      <c r="Q341" s="74" t="str">
        <f aca="false">IF(元データ_B!$A$339="","",元データ_B!$A$339)</f>
        <v/>
      </c>
      <c r="R341" s="74" t="str">
        <f aca="false">IF(LEFT(Q341,1)="(",IFERROR(VALUE(MID(Q341,2,FIND(")",Q341)-2)),""),"")</f>
        <v/>
      </c>
      <c r="S341" s="75" t="str">
        <f aca="false">IF($R341="","",N(元データ_B!$B$339))</f>
        <v/>
      </c>
      <c r="T341" s="75" t="str">
        <f aca="false">IF($R341="","",N(元データ_B!$F$339))</f>
        <v/>
      </c>
      <c r="U341" s="74" t="str">
        <f aca="false">IF($R341="","",IF(COUNTIF(店舗マスタ!$B$5:$B$304,$R341)&gt;0,"登録済","未登録→マスタに追加"))</f>
        <v/>
      </c>
    </row>
    <row r="342" customFormat="false" ht="15" hidden="false" customHeight="false" outlineLevel="0" collapsed="false">
      <c r="A342" s="74" t="n">
        <v>340</v>
      </c>
      <c r="B342" s="74" t="str">
        <f aca="false">IF(元データ_PB合計!$A$340="","",元データ_PB合計!$A$340)</f>
        <v/>
      </c>
      <c r="C342" s="74" t="str">
        <f aca="false">IF(LEFT(B342,1)="(",IFERROR(VALUE(MID(B342,2,FIND(")",B342)-2)),""),"")</f>
        <v/>
      </c>
      <c r="D342" s="75" t="str">
        <f aca="false">IF($C342="","",N(元データ_PB合計!$B$340))</f>
        <v/>
      </c>
      <c r="E342" s="75" t="str">
        <f aca="false">IF($C342="","",N(元データ_PB合計!$C$340))</f>
        <v/>
      </c>
      <c r="F342" s="75" t="str">
        <f aca="false">IF($C342="","",N(元データ_PB合計!$F$340))</f>
        <v/>
      </c>
      <c r="G342" s="74" t="str">
        <f aca="false">IF($C342="","",IF(COUNTIF(店舗マスタ!$B$5:$B$304,$C342)&gt;0,"登録済","未登録→マスタに追加"))</f>
        <v/>
      </c>
      <c r="I342" s="74" t="n">
        <v>340</v>
      </c>
      <c r="J342" s="74" t="str">
        <f aca="false">IF(元データ_P!$A$340="","",元データ_P!$A$340)</f>
        <v/>
      </c>
      <c r="K342" s="74" t="str">
        <f aca="false">IF(LEFT(J342,1)="(",IFERROR(VALUE(MID(J342,2,FIND(")",J342)-2)),""),"")</f>
        <v/>
      </c>
      <c r="L342" s="75" t="str">
        <f aca="false">IF($K342="","",N(元データ_P!$B$340))</f>
        <v/>
      </c>
      <c r="M342" s="75" t="str">
        <f aca="false">IF($K342="","",N(元データ_P!$F$340))</f>
        <v/>
      </c>
      <c r="N342" s="74" t="str">
        <f aca="false">IF($K342="","",IF(COUNTIF(店舗マスタ!$B$5:$B$304,$K342)&gt;0,"登録済","未登録→マスタに追加"))</f>
        <v/>
      </c>
      <c r="P342" s="74" t="n">
        <v>340</v>
      </c>
      <c r="Q342" s="74" t="str">
        <f aca="false">IF(元データ_B!$A$340="","",元データ_B!$A$340)</f>
        <v/>
      </c>
      <c r="R342" s="74" t="str">
        <f aca="false">IF(LEFT(Q342,1)="(",IFERROR(VALUE(MID(Q342,2,FIND(")",Q342)-2)),""),"")</f>
        <v/>
      </c>
      <c r="S342" s="75" t="str">
        <f aca="false">IF($R342="","",N(元データ_B!$B$340))</f>
        <v/>
      </c>
      <c r="T342" s="75" t="str">
        <f aca="false">IF($R342="","",N(元データ_B!$F$340))</f>
        <v/>
      </c>
      <c r="U342" s="74" t="str">
        <f aca="false">IF($R342="","",IF(COUNTIF(店舗マスタ!$B$5:$B$304,$R342)&gt;0,"登録済","未登録→マスタに追加"))</f>
        <v/>
      </c>
    </row>
    <row r="343" customFormat="false" ht="15" hidden="false" customHeight="false" outlineLevel="0" collapsed="false">
      <c r="A343" s="74" t="n">
        <v>341</v>
      </c>
      <c r="B343" s="74" t="str">
        <f aca="false">IF(元データ_PB合計!$A$341="","",元データ_PB合計!$A$341)</f>
        <v/>
      </c>
      <c r="C343" s="74" t="str">
        <f aca="false">IF(LEFT(B343,1)="(",IFERROR(VALUE(MID(B343,2,FIND(")",B343)-2)),""),"")</f>
        <v/>
      </c>
      <c r="D343" s="75" t="str">
        <f aca="false">IF($C343="","",N(元データ_PB合計!$B$341))</f>
        <v/>
      </c>
      <c r="E343" s="75" t="str">
        <f aca="false">IF($C343="","",N(元データ_PB合計!$C$341))</f>
        <v/>
      </c>
      <c r="F343" s="75" t="str">
        <f aca="false">IF($C343="","",N(元データ_PB合計!$F$341))</f>
        <v/>
      </c>
      <c r="G343" s="74" t="str">
        <f aca="false">IF($C343="","",IF(COUNTIF(店舗マスタ!$B$5:$B$304,$C343)&gt;0,"登録済","未登録→マスタに追加"))</f>
        <v/>
      </c>
      <c r="I343" s="74" t="n">
        <v>341</v>
      </c>
      <c r="J343" s="74" t="str">
        <f aca="false">IF(元データ_P!$A$341="","",元データ_P!$A$341)</f>
        <v/>
      </c>
      <c r="K343" s="74" t="str">
        <f aca="false">IF(LEFT(J343,1)="(",IFERROR(VALUE(MID(J343,2,FIND(")",J343)-2)),""),"")</f>
        <v/>
      </c>
      <c r="L343" s="75" t="str">
        <f aca="false">IF($K343="","",N(元データ_P!$B$341))</f>
        <v/>
      </c>
      <c r="M343" s="75" t="str">
        <f aca="false">IF($K343="","",N(元データ_P!$F$341))</f>
        <v/>
      </c>
      <c r="N343" s="74" t="str">
        <f aca="false">IF($K343="","",IF(COUNTIF(店舗マスタ!$B$5:$B$304,$K343)&gt;0,"登録済","未登録→マスタに追加"))</f>
        <v/>
      </c>
      <c r="P343" s="74" t="n">
        <v>341</v>
      </c>
      <c r="Q343" s="74" t="str">
        <f aca="false">IF(元データ_B!$A$341="","",元データ_B!$A$341)</f>
        <v/>
      </c>
      <c r="R343" s="74" t="str">
        <f aca="false">IF(LEFT(Q343,1)="(",IFERROR(VALUE(MID(Q343,2,FIND(")",Q343)-2)),""),"")</f>
        <v/>
      </c>
      <c r="S343" s="75" t="str">
        <f aca="false">IF($R343="","",N(元データ_B!$B$341))</f>
        <v/>
      </c>
      <c r="T343" s="75" t="str">
        <f aca="false">IF($R343="","",N(元データ_B!$F$341))</f>
        <v/>
      </c>
      <c r="U343" s="74" t="str">
        <f aca="false">IF($R343="","",IF(COUNTIF(店舗マスタ!$B$5:$B$304,$R343)&gt;0,"登録済","未登録→マスタに追加"))</f>
        <v/>
      </c>
    </row>
    <row r="344" customFormat="false" ht="15" hidden="false" customHeight="false" outlineLevel="0" collapsed="false">
      <c r="A344" s="74" t="n">
        <v>342</v>
      </c>
      <c r="B344" s="74" t="str">
        <f aca="false">IF(元データ_PB合計!$A$342="","",元データ_PB合計!$A$342)</f>
        <v/>
      </c>
      <c r="C344" s="74" t="str">
        <f aca="false">IF(LEFT(B344,1)="(",IFERROR(VALUE(MID(B344,2,FIND(")",B344)-2)),""),"")</f>
        <v/>
      </c>
      <c r="D344" s="75" t="str">
        <f aca="false">IF($C344="","",N(元データ_PB合計!$B$342))</f>
        <v/>
      </c>
      <c r="E344" s="75" t="str">
        <f aca="false">IF($C344="","",N(元データ_PB合計!$C$342))</f>
        <v/>
      </c>
      <c r="F344" s="75" t="str">
        <f aca="false">IF($C344="","",N(元データ_PB合計!$F$342))</f>
        <v/>
      </c>
      <c r="G344" s="74" t="str">
        <f aca="false">IF($C344="","",IF(COUNTIF(店舗マスタ!$B$5:$B$304,$C344)&gt;0,"登録済","未登録→マスタに追加"))</f>
        <v/>
      </c>
      <c r="I344" s="74" t="n">
        <v>342</v>
      </c>
      <c r="J344" s="74" t="str">
        <f aca="false">IF(元データ_P!$A$342="","",元データ_P!$A$342)</f>
        <v/>
      </c>
      <c r="K344" s="74" t="str">
        <f aca="false">IF(LEFT(J344,1)="(",IFERROR(VALUE(MID(J344,2,FIND(")",J344)-2)),""),"")</f>
        <v/>
      </c>
      <c r="L344" s="75" t="str">
        <f aca="false">IF($K344="","",N(元データ_P!$B$342))</f>
        <v/>
      </c>
      <c r="M344" s="75" t="str">
        <f aca="false">IF($K344="","",N(元データ_P!$F$342))</f>
        <v/>
      </c>
      <c r="N344" s="74" t="str">
        <f aca="false">IF($K344="","",IF(COUNTIF(店舗マスタ!$B$5:$B$304,$K344)&gt;0,"登録済","未登録→マスタに追加"))</f>
        <v/>
      </c>
      <c r="P344" s="74" t="n">
        <v>342</v>
      </c>
      <c r="Q344" s="74" t="str">
        <f aca="false">IF(元データ_B!$A$342="","",元データ_B!$A$342)</f>
        <v/>
      </c>
      <c r="R344" s="74" t="str">
        <f aca="false">IF(LEFT(Q344,1)="(",IFERROR(VALUE(MID(Q344,2,FIND(")",Q344)-2)),""),"")</f>
        <v/>
      </c>
      <c r="S344" s="75" t="str">
        <f aca="false">IF($R344="","",N(元データ_B!$B$342))</f>
        <v/>
      </c>
      <c r="T344" s="75" t="str">
        <f aca="false">IF($R344="","",N(元データ_B!$F$342))</f>
        <v/>
      </c>
      <c r="U344" s="74" t="str">
        <f aca="false">IF($R344="","",IF(COUNTIF(店舗マスタ!$B$5:$B$304,$R344)&gt;0,"登録済","未登録→マスタに追加"))</f>
        <v/>
      </c>
    </row>
    <row r="345" customFormat="false" ht="15" hidden="false" customHeight="false" outlineLevel="0" collapsed="false">
      <c r="A345" s="74" t="n">
        <v>343</v>
      </c>
      <c r="B345" s="74" t="str">
        <f aca="false">IF(元データ_PB合計!$A$343="","",元データ_PB合計!$A$343)</f>
        <v/>
      </c>
      <c r="C345" s="74" t="str">
        <f aca="false">IF(LEFT(B345,1)="(",IFERROR(VALUE(MID(B345,2,FIND(")",B345)-2)),""),"")</f>
        <v/>
      </c>
      <c r="D345" s="75" t="str">
        <f aca="false">IF($C345="","",N(元データ_PB合計!$B$343))</f>
        <v/>
      </c>
      <c r="E345" s="75" t="str">
        <f aca="false">IF($C345="","",N(元データ_PB合計!$C$343))</f>
        <v/>
      </c>
      <c r="F345" s="75" t="str">
        <f aca="false">IF($C345="","",N(元データ_PB合計!$F$343))</f>
        <v/>
      </c>
      <c r="G345" s="74" t="str">
        <f aca="false">IF($C345="","",IF(COUNTIF(店舗マスタ!$B$5:$B$304,$C345)&gt;0,"登録済","未登録→マスタに追加"))</f>
        <v/>
      </c>
      <c r="I345" s="74" t="n">
        <v>343</v>
      </c>
      <c r="J345" s="74" t="str">
        <f aca="false">IF(元データ_P!$A$343="","",元データ_P!$A$343)</f>
        <v/>
      </c>
      <c r="K345" s="74" t="str">
        <f aca="false">IF(LEFT(J345,1)="(",IFERROR(VALUE(MID(J345,2,FIND(")",J345)-2)),""),"")</f>
        <v/>
      </c>
      <c r="L345" s="75" t="str">
        <f aca="false">IF($K345="","",N(元データ_P!$B$343))</f>
        <v/>
      </c>
      <c r="M345" s="75" t="str">
        <f aca="false">IF($K345="","",N(元データ_P!$F$343))</f>
        <v/>
      </c>
      <c r="N345" s="74" t="str">
        <f aca="false">IF($K345="","",IF(COUNTIF(店舗マスタ!$B$5:$B$304,$K345)&gt;0,"登録済","未登録→マスタに追加"))</f>
        <v/>
      </c>
      <c r="P345" s="74" t="n">
        <v>343</v>
      </c>
      <c r="Q345" s="74" t="str">
        <f aca="false">IF(元データ_B!$A$343="","",元データ_B!$A$343)</f>
        <v/>
      </c>
      <c r="R345" s="74" t="str">
        <f aca="false">IF(LEFT(Q345,1)="(",IFERROR(VALUE(MID(Q345,2,FIND(")",Q345)-2)),""),"")</f>
        <v/>
      </c>
      <c r="S345" s="75" t="str">
        <f aca="false">IF($R345="","",N(元データ_B!$B$343))</f>
        <v/>
      </c>
      <c r="T345" s="75" t="str">
        <f aca="false">IF($R345="","",N(元データ_B!$F$343))</f>
        <v/>
      </c>
      <c r="U345" s="74" t="str">
        <f aca="false">IF($R345="","",IF(COUNTIF(店舗マスタ!$B$5:$B$304,$R345)&gt;0,"登録済","未登録→マスタに追加"))</f>
        <v/>
      </c>
    </row>
    <row r="346" customFormat="false" ht="15" hidden="false" customHeight="false" outlineLevel="0" collapsed="false">
      <c r="A346" s="74" t="n">
        <v>344</v>
      </c>
      <c r="B346" s="74" t="str">
        <f aca="false">IF(元データ_PB合計!$A$344="","",元データ_PB合計!$A$344)</f>
        <v/>
      </c>
      <c r="C346" s="74" t="str">
        <f aca="false">IF(LEFT(B346,1)="(",IFERROR(VALUE(MID(B346,2,FIND(")",B346)-2)),""),"")</f>
        <v/>
      </c>
      <c r="D346" s="75" t="str">
        <f aca="false">IF($C346="","",N(元データ_PB合計!$B$344))</f>
        <v/>
      </c>
      <c r="E346" s="75" t="str">
        <f aca="false">IF($C346="","",N(元データ_PB合計!$C$344))</f>
        <v/>
      </c>
      <c r="F346" s="75" t="str">
        <f aca="false">IF($C346="","",N(元データ_PB合計!$F$344))</f>
        <v/>
      </c>
      <c r="G346" s="74" t="str">
        <f aca="false">IF($C346="","",IF(COUNTIF(店舗マスタ!$B$5:$B$304,$C346)&gt;0,"登録済","未登録→マスタに追加"))</f>
        <v/>
      </c>
      <c r="I346" s="74" t="n">
        <v>344</v>
      </c>
      <c r="J346" s="74" t="str">
        <f aca="false">IF(元データ_P!$A$344="","",元データ_P!$A$344)</f>
        <v/>
      </c>
      <c r="K346" s="74" t="str">
        <f aca="false">IF(LEFT(J346,1)="(",IFERROR(VALUE(MID(J346,2,FIND(")",J346)-2)),""),"")</f>
        <v/>
      </c>
      <c r="L346" s="75" t="str">
        <f aca="false">IF($K346="","",N(元データ_P!$B$344))</f>
        <v/>
      </c>
      <c r="M346" s="75" t="str">
        <f aca="false">IF($K346="","",N(元データ_P!$F$344))</f>
        <v/>
      </c>
      <c r="N346" s="74" t="str">
        <f aca="false">IF($K346="","",IF(COUNTIF(店舗マスタ!$B$5:$B$304,$K346)&gt;0,"登録済","未登録→マスタに追加"))</f>
        <v/>
      </c>
      <c r="P346" s="74" t="n">
        <v>344</v>
      </c>
      <c r="Q346" s="74" t="str">
        <f aca="false">IF(元データ_B!$A$344="","",元データ_B!$A$344)</f>
        <v/>
      </c>
      <c r="R346" s="74" t="str">
        <f aca="false">IF(LEFT(Q346,1)="(",IFERROR(VALUE(MID(Q346,2,FIND(")",Q346)-2)),""),"")</f>
        <v/>
      </c>
      <c r="S346" s="75" t="str">
        <f aca="false">IF($R346="","",N(元データ_B!$B$344))</f>
        <v/>
      </c>
      <c r="T346" s="75" t="str">
        <f aca="false">IF($R346="","",N(元データ_B!$F$344))</f>
        <v/>
      </c>
      <c r="U346" s="74" t="str">
        <f aca="false">IF($R346="","",IF(COUNTIF(店舗マスタ!$B$5:$B$304,$R346)&gt;0,"登録済","未登録→マスタに追加"))</f>
        <v/>
      </c>
    </row>
    <row r="347" customFormat="false" ht="15" hidden="false" customHeight="false" outlineLevel="0" collapsed="false">
      <c r="A347" s="74" t="n">
        <v>345</v>
      </c>
      <c r="B347" s="74" t="str">
        <f aca="false">IF(元データ_PB合計!$A$345="","",元データ_PB合計!$A$345)</f>
        <v/>
      </c>
      <c r="C347" s="74" t="str">
        <f aca="false">IF(LEFT(B347,1)="(",IFERROR(VALUE(MID(B347,2,FIND(")",B347)-2)),""),"")</f>
        <v/>
      </c>
      <c r="D347" s="75" t="str">
        <f aca="false">IF($C347="","",N(元データ_PB合計!$B$345))</f>
        <v/>
      </c>
      <c r="E347" s="75" t="str">
        <f aca="false">IF($C347="","",N(元データ_PB合計!$C$345))</f>
        <v/>
      </c>
      <c r="F347" s="75" t="str">
        <f aca="false">IF($C347="","",N(元データ_PB合計!$F$345))</f>
        <v/>
      </c>
      <c r="G347" s="74" t="str">
        <f aca="false">IF($C347="","",IF(COUNTIF(店舗マスタ!$B$5:$B$304,$C347)&gt;0,"登録済","未登録→マスタに追加"))</f>
        <v/>
      </c>
      <c r="I347" s="74" t="n">
        <v>345</v>
      </c>
      <c r="J347" s="74" t="str">
        <f aca="false">IF(元データ_P!$A$345="","",元データ_P!$A$345)</f>
        <v/>
      </c>
      <c r="K347" s="74" t="str">
        <f aca="false">IF(LEFT(J347,1)="(",IFERROR(VALUE(MID(J347,2,FIND(")",J347)-2)),""),"")</f>
        <v/>
      </c>
      <c r="L347" s="75" t="str">
        <f aca="false">IF($K347="","",N(元データ_P!$B$345))</f>
        <v/>
      </c>
      <c r="M347" s="75" t="str">
        <f aca="false">IF($K347="","",N(元データ_P!$F$345))</f>
        <v/>
      </c>
      <c r="N347" s="74" t="str">
        <f aca="false">IF($K347="","",IF(COUNTIF(店舗マスタ!$B$5:$B$304,$K347)&gt;0,"登録済","未登録→マスタに追加"))</f>
        <v/>
      </c>
      <c r="P347" s="74" t="n">
        <v>345</v>
      </c>
      <c r="Q347" s="74" t="str">
        <f aca="false">IF(元データ_B!$A$345="","",元データ_B!$A$345)</f>
        <v/>
      </c>
      <c r="R347" s="74" t="str">
        <f aca="false">IF(LEFT(Q347,1)="(",IFERROR(VALUE(MID(Q347,2,FIND(")",Q347)-2)),""),"")</f>
        <v/>
      </c>
      <c r="S347" s="75" t="str">
        <f aca="false">IF($R347="","",N(元データ_B!$B$345))</f>
        <v/>
      </c>
      <c r="T347" s="75" t="str">
        <f aca="false">IF($R347="","",N(元データ_B!$F$345))</f>
        <v/>
      </c>
      <c r="U347" s="74" t="str">
        <f aca="false">IF($R347="","",IF(COUNTIF(店舗マスタ!$B$5:$B$304,$R347)&gt;0,"登録済","未登録→マスタに追加"))</f>
        <v/>
      </c>
    </row>
    <row r="348" customFormat="false" ht="15" hidden="false" customHeight="false" outlineLevel="0" collapsed="false">
      <c r="A348" s="74" t="n">
        <v>346</v>
      </c>
      <c r="B348" s="74" t="str">
        <f aca="false">IF(元データ_PB合計!$A$346="","",元データ_PB合計!$A$346)</f>
        <v/>
      </c>
      <c r="C348" s="74" t="str">
        <f aca="false">IF(LEFT(B348,1)="(",IFERROR(VALUE(MID(B348,2,FIND(")",B348)-2)),""),"")</f>
        <v/>
      </c>
      <c r="D348" s="75" t="str">
        <f aca="false">IF($C348="","",N(元データ_PB合計!$B$346))</f>
        <v/>
      </c>
      <c r="E348" s="75" t="str">
        <f aca="false">IF($C348="","",N(元データ_PB合計!$C$346))</f>
        <v/>
      </c>
      <c r="F348" s="75" t="str">
        <f aca="false">IF($C348="","",N(元データ_PB合計!$F$346))</f>
        <v/>
      </c>
      <c r="G348" s="74" t="str">
        <f aca="false">IF($C348="","",IF(COUNTIF(店舗マスタ!$B$5:$B$304,$C348)&gt;0,"登録済","未登録→マスタに追加"))</f>
        <v/>
      </c>
      <c r="I348" s="74" t="n">
        <v>346</v>
      </c>
      <c r="J348" s="74" t="str">
        <f aca="false">IF(元データ_P!$A$346="","",元データ_P!$A$346)</f>
        <v/>
      </c>
      <c r="K348" s="74" t="str">
        <f aca="false">IF(LEFT(J348,1)="(",IFERROR(VALUE(MID(J348,2,FIND(")",J348)-2)),""),"")</f>
        <v/>
      </c>
      <c r="L348" s="75" t="str">
        <f aca="false">IF($K348="","",N(元データ_P!$B$346))</f>
        <v/>
      </c>
      <c r="M348" s="75" t="str">
        <f aca="false">IF($K348="","",N(元データ_P!$F$346))</f>
        <v/>
      </c>
      <c r="N348" s="74" t="str">
        <f aca="false">IF($K348="","",IF(COUNTIF(店舗マスタ!$B$5:$B$304,$K348)&gt;0,"登録済","未登録→マスタに追加"))</f>
        <v/>
      </c>
      <c r="P348" s="74" t="n">
        <v>346</v>
      </c>
      <c r="Q348" s="74" t="str">
        <f aca="false">IF(元データ_B!$A$346="","",元データ_B!$A$346)</f>
        <v/>
      </c>
      <c r="R348" s="74" t="str">
        <f aca="false">IF(LEFT(Q348,1)="(",IFERROR(VALUE(MID(Q348,2,FIND(")",Q348)-2)),""),"")</f>
        <v/>
      </c>
      <c r="S348" s="75" t="str">
        <f aca="false">IF($R348="","",N(元データ_B!$B$346))</f>
        <v/>
      </c>
      <c r="T348" s="75" t="str">
        <f aca="false">IF($R348="","",N(元データ_B!$F$346))</f>
        <v/>
      </c>
      <c r="U348" s="74" t="str">
        <f aca="false">IF($R348="","",IF(COUNTIF(店舗マスタ!$B$5:$B$304,$R348)&gt;0,"登録済","未登録→マスタに追加"))</f>
        <v/>
      </c>
    </row>
    <row r="349" customFormat="false" ht="15" hidden="false" customHeight="false" outlineLevel="0" collapsed="false">
      <c r="A349" s="74" t="n">
        <v>347</v>
      </c>
      <c r="B349" s="74" t="str">
        <f aca="false">IF(元データ_PB合計!$A$347="","",元データ_PB合計!$A$347)</f>
        <v/>
      </c>
      <c r="C349" s="74" t="str">
        <f aca="false">IF(LEFT(B349,1)="(",IFERROR(VALUE(MID(B349,2,FIND(")",B349)-2)),""),"")</f>
        <v/>
      </c>
      <c r="D349" s="75" t="str">
        <f aca="false">IF($C349="","",N(元データ_PB合計!$B$347))</f>
        <v/>
      </c>
      <c r="E349" s="75" t="str">
        <f aca="false">IF($C349="","",N(元データ_PB合計!$C$347))</f>
        <v/>
      </c>
      <c r="F349" s="75" t="str">
        <f aca="false">IF($C349="","",N(元データ_PB合計!$F$347))</f>
        <v/>
      </c>
      <c r="G349" s="74" t="str">
        <f aca="false">IF($C349="","",IF(COUNTIF(店舗マスタ!$B$5:$B$304,$C349)&gt;0,"登録済","未登録→マスタに追加"))</f>
        <v/>
      </c>
      <c r="I349" s="74" t="n">
        <v>347</v>
      </c>
      <c r="J349" s="74" t="str">
        <f aca="false">IF(元データ_P!$A$347="","",元データ_P!$A$347)</f>
        <v/>
      </c>
      <c r="K349" s="74" t="str">
        <f aca="false">IF(LEFT(J349,1)="(",IFERROR(VALUE(MID(J349,2,FIND(")",J349)-2)),""),"")</f>
        <v/>
      </c>
      <c r="L349" s="75" t="str">
        <f aca="false">IF($K349="","",N(元データ_P!$B$347))</f>
        <v/>
      </c>
      <c r="M349" s="75" t="str">
        <f aca="false">IF($K349="","",N(元データ_P!$F$347))</f>
        <v/>
      </c>
      <c r="N349" s="74" t="str">
        <f aca="false">IF($K349="","",IF(COUNTIF(店舗マスタ!$B$5:$B$304,$K349)&gt;0,"登録済","未登録→マスタに追加"))</f>
        <v/>
      </c>
      <c r="P349" s="74" t="n">
        <v>347</v>
      </c>
      <c r="Q349" s="74" t="str">
        <f aca="false">IF(元データ_B!$A$347="","",元データ_B!$A$347)</f>
        <v/>
      </c>
      <c r="R349" s="74" t="str">
        <f aca="false">IF(LEFT(Q349,1)="(",IFERROR(VALUE(MID(Q349,2,FIND(")",Q349)-2)),""),"")</f>
        <v/>
      </c>
      <c r="S349" s="75" t="str">
        <f aca="false">IF($R349="","",N(元データ_B!$B$347))</f>
        <v/>
      </c>
      <c r="T349" s="75" t="str">
        <f aca="false">IF($R349="","",N(元データ_B!$F$347))</f>
        <v/>
      </c>
      <c r="U349" s="74" t="str">
        <f aca="false">IF($R349="","",IF(COUNTIF(店舗マスタ!$B$5:$B$304,$R349)&gt;0,"登録済","未登録→マスタに追加"))</f>
        <v/>
      </c>
    </row>
    <row r="350" customFormat="false" ht="15" hidden="false" customHeight="false" outlineLevel="0" collapsed="false">
      <c r="A350" s="74" t="n">
        <v>348</v>
      </c>
      <c r="B350" s="74" t="str">
        <f aca="false">IF(元データ_PB合計!$A$348="","",元データ_PB合計!$A$348)</f>
        <v/>
      </c>
      <c r="C350" s="74" t="str">
        <f aca="false">IF(LEFT(B350,1)="(",IFERROR(VALUE(MID(B350,2,FIND(")",B350)-2)),""),"")</f>
        <v/>
      </c>
      <c r="D350" s="75" t="str">
        <f aca="false">IF($C350="","",N(元データ_PB合計!$B$348))</f>
        <v/>
      </c>
      <c r="E350" s="75" t="str">
        <f aca="false">IF($C350="","",N(元データ_PB合計!$C$348))</f>
        <v/>
      </c>
      <c r="F350" s="75" t="str">
        <f aca="false">IF($C350="","",N(元データ_PB合計!$F$348))</f>
        <v/>
      </c>
      <c r="G350" s="74" t="str">
        <f aca="false">IF($C350="","",IF(COUNTIF(店舗マスタ!$B$5:$B$304,$C350)&gt;0,"登録済","未登録→マスタに追加"))</f>
        <v/>
      </c>
      <c r="I350" s="74" t="n">
        <v>348</v>
      </c>
      <c r="J350" s="74" t="str">
        <f aca="false">IF(元データ_P!$A$348="","",元データ_P!$A$348)</f>
        <v/>
      </c>
      <c r="K350" s="74" t="str">
        <f aca="false">IF(LEFT(J350,1)="(",IFERROR(VALUE(MID(J350,2,FIND(")",J350)-2)),""),"")</f>
        <v/>
      </c>
      <c r="L350" s="75" t="str">
        <f aca="false">IF($K350="","",N(元データ_P!$B$348))</f>
        <v/>
      </c>
      <c r="M350" s="75" t="str">
        <f aca="false">IF($K350="","",N(元データ_P!$F$348))</f>
        <v/>
      </c>
      <c r="N350" s="74" t="str">
        <f aca="false">IF($K350="","",IF(COUNTIF(店舗マスタ!$B$5:$B$304,$K350)&gt;0,"登録済","未登録→マスタに追加"))</f>
        <v/>
      </c>
      <c r="P350" s="74" t="n">
        <v>348</v>
      </c>
      <c r="Q350" s="74" t="str">
        <f aca="false">IF(元データ_B!$A$348="","",元データ_B!$A$348)</f>
        <v/>
      </c>
      <c r="R350" s="74" t="str">
        <f aca="false">IF(LEFT(Q350,1)="(",IFERROR(VALUE(MID(Q350,2,FIND(")",Q350)-2)),""),"")</f>
        <v/>
      </c>
      <c r="S350" s="75" t="str">
        <f aca="false">IF($R350="","",N(元データ_B!$B$348))</f>
        <v/>
      </c>
      <c r="T350" s="75" t="str">
        <f aca="false">IF($R350="","",N(元データ_B!$F$348))</f>
        <v/>
      </c>
      <c r="U350" s="74" t="str">
        <f aca="false">IF($R350="","",IF(COUNTIF(店舗マスタ!$B$5:$B$304,$R350)&gt;0,"登録済","未登録→マスタに追加"))</f>
        <v/>
      </c>
    </row>
    <row r="351" customFormat="false" ht="15" hidden="false" customHeight="false" outlineLevel="0" collapsed="false">
      <c r="A351" s="74" t="n">
        <v>349</v>
      </c>
      <c r="B351" s="74" t="str">
        <f aca="false">IF(元データ_PB合計!$A$349="","",元データ_PB合計!$A$349)</f>
        <v/>
      </c>
      <c r="C351" s="74" t="str">
        <f aca="false">IF(LEFT(B351,1)="(",IFERROR(VALUE(MID(B351,2,FIND(")",B351)-2)),""),"")</f>
        <v/>
      </c>
      <c r="D351" s="75" t="str">
        <f aca="false">IF($C351="","",N(元データ_PB合計!$B$349))</f>
        <v/>
      </c>
      <c r="E351" s="75" t="str">
        <f aca="false">IF($C351="","",N(元データ_PB合計!$C$349))</f>
        <v/>
      </c>
      <c r="F351" s="75" t="str">
        <f aca="false">IF($C351="","",N(元データ_PB合計!$F$349))</f>
        <v/>
      </c>
      <c r="G351" s="74" t="str">
        <f aca="false">IF($C351="","",IF(COUNTIF(店舗マスタ!$B$5:$B$304,$C351)&gt;0,"登録済","未登録→マスタに追加"))</f>
        <v/>
      </c>
      <c r="I351" s="74" t="n">
        <v>349</v>
      </c>
      <c r="J351" s="74" t="str">
        <f aca="false">IF(元データ_P!$A$349="","",元データ_P!$A$349)</f>
        <v/>
      </c>
      <c r="K351" s="74" t="str">
        <f aca="false">IF(LEFT(J351,1)="(",IFERROR(VALUE(MID(J351,2,FIND(")",J351)-2)),""),"")</f>
        <v/>
      </c>
      <c r="L351" s="75" t="str">
        <f aca="false">IF($K351="","",N(元データ_P!$B$349))</f>
        <v/>
      </c>
      <c r="M351" s="75" t="str">
        <f aca="false">IF($K351="","",N(元データ_P!$F$349))</f>
        <v/>
      </c>
      <c r="N351" s="74" t="str">
        <f aca="false">IF($K351="","",IF(COUNTIF(店舗マスタ!$B$5:$B$304,$K351)&gt;0,"登録済","未登録→マスタに追加"))</f>
        <v/>
      </c>
      <c r="P351" s="74" t="n">
        <v>349</v>
      </c>
      <c r="Q351" s="74" t="str">
        <f aca="false">IF(元データ_B!$A$349="","",元データ_B!$A$349)</f>
        <v/>
      </c>
      <c r="R351" s="74" t="str">
        <f aca="false">IF(LEFT(Q351,1)="(",IFERROR(VALUE(MID(Q351,2,FIND(")",Q351)-2)),""),"")</f>
        <v/>
      </c>
      <c r="S351" s="75" t="str">
        <f aca="false">IF($R351="","",N(元データ_B!$B$349))</f>
        <v/>
      </c>
      <c r="T351" s="75" t="str">
        <f aca="false">IF($R351="","",N(元データ_B!$F$349))</f>
        <v/>
      </c>
      <c r="U351" s="74" t="str">
        <f aca="false">IF($R351="","",IF(COUNTIF(店舗マスタ!$B$5:$B$304,$R351)&gt;0,"登録済","未登録→マスタに追加"))</f>
        <v/>
      </c>
    </row>
    <row r="352" customFormat="false" ht="15" hidden="false" customHeight="false" outlineLevel="0" collapsed="false">
      <c r="A352" s="74" t="n">
        <v>350</v>
      </c>
      <c r="B352" s="74" t="str">
        <f aca="false">IF(元データ_PB合計!$A$350="","",元データ_PB合計!$A$350)</f>
        <v/>
      </c>
      <c r="C352" s="74" t="str">
        <f aca="false">IF(LEFT(B352,1)="(",IFERROR(VALUE(MID(B352,2,FIND(")",B352)-2)),""),"")</f>
        <v/>
      </c>
      <c r="D352" s="75" t="str">
        <f aca="false">IF($C352="","",N(元データ_PB合計!$B$350))</f>
        <v/>
      </c>
      <c r="E352" s="75" t="str">
        <f aca="false">IF($C352="","",N(元データ_PB合計!$C$350))</f>
        <v/>
      </c>
      <c r="F352" s="75" t="str">
        <f aca="false">IF($C352="","",N(元データ_PB合計!$F$350))</f>
        <v/>
      </c>
      <c r="G352" s="74" t="str">
        <f aca="false">IF($C352="","",IF(COUNTIF(店舗マスタ!$B$5:$B$304,$C352)&gt;0,"登録済","未登録→マスタに追加"))</f>
        <v/>
      </c>
      <c r="I352" s="74" t="n">
        <v>350</v>
      </c>
      <c r="J352" s="74" t="str">
        <f aca="false">IF(元データ_P!$A$350="","",元データ_P!$A$350)</f>
        <v/>
      </c>
      <c r="K352" s="74" t="str">
        <f aca="false">IF(LEFT(J352,1)="(",IFERROR(VALUE(MID(J352,2,FIND(")",J352)-2)),""),"")</f>
        <v/>
      </c>
      <c r="L352" s="75" t="str">
        <f aca="false">IF($K352="","",N(元データ_P!$B$350))</f>
        <v/>
      </c>
      <c r="M352" s="75" t="str">
        <f aca="false">IF($K352="","",N(元データ_P!$F$350))</f>
        <v/>
      </c>
      <c r="N352" s="74" t="str">
        <f aca="false">IF($K352="","",IF(COUNTIF(店舗マスタ!$B$5:$B$304,$K352)&gt;0,"登録済","未登録→マスタに追加"))</f>
        <v/>
      </c>
      <c r="P352" s="74" t="n">
        <v>350</v>
      </c>
      <c r="Q352" s="74" t="str">
        <f aca="false">IF(元データ_B!$A$350="","",元データ_B!$A$350)</f>
        <v/>
      </c>
      <c r="R352" s="74" t="str">
        <f aca="false">IF(LEFT(Q352,1)="(",IFERROR(VALUE(MID(Q352,2,FIND(")",Q352)-2)),""),"")</f>
        <v/>
      </c>
      <c r="S352" s="75" t="str">
        <f aca="false">IF($R352="","",N(元データ_B!$B$350))</f>
        <v/>
      </c>
      <c r="T352" s="75" t="str">
        <f aca="false">IF($R352="","",N(元データ_B!$F$350))</f>
        <v/>
      </c>
      <c r="U352" s="74" t="str">
        <f aca="false">IF($R352="","",IF(COUNTIF(店舗マスタ!$B$5:$B$304,$R352)&gt;0,"登録済","未登録→マスタに追加"))</f>
        <v/>
      </c>
    </row>
    <row r="353" customFormat="false" ht="15" hidden="false" customHeight="false" outlineLevel="0" collapsed="false">
      <c r="A353" s="74" t="n">
        <v>351</v>
      </c>
      <c r="B353" s="74" t="str">
        <f aca="false">IF(元データ_PB合計!$A$351="","",元データ_PB合計!$A$351)</f>
        <v/>
      </c>
      <c r="C353" s="74" t="str">
        <f aca="false">IF(LEFT(B353,1)="(",IFERROR(VALUE(MID(B353,2,FIND(")",B353)-2)),""),"")</f>
        <v/>
      </c>
      <c r="D353" s="75" t="str">
        <f aca="false">IF($C353="","",N(元データ_PB合計!$B$351))</f>
        <v/>
      </c>
      <c r="E353" s="75" t="str">
        <f aca="false">IF($C353="","",N(元データ_PB合計!$C$351))</f>
        <v/>
      </c>
      <c r="F353" s="75" t="str">
        <f aca="false">IF($C353="","",N(元データ_PB合計!$F$351))</f>
        <v/>
      </c>
      <c r="G353" s="74" t="str">
        <f aca="false">IF($C353="","",IF(COUNTIF(店舗マスタ!$B$5:$B$304,$C353)&gt;0,"登録済","未登録→マスタに追加"))</f>
        <v/>
      </c>
      <c r="I353" s="74" t="n">
        <v>351</v>
      </c>
      <c r="J353" s="74" t="str">
        <f aca="false">IF(元データ_P!$A$351="","",元データ_P!$A$351)</f>
        <v/>
      </c>
      <c r="K353" s="74" t="str">
        <f aca="false">IF(LEFT(J353,1)="(",IFERROR(VALUE(MID(J353,2,FIND(")",J353)-2)),""),"")</f>
        <v/>
      </c>
      <c r="L353" s="75" t="str">
        <f aca="false">IF($K353="","",N(元データ_P!$B$351))</f>
        <v/>
      </c>
      <c r="M353" s="75" t="str">
        <f aca="false">IF($K353="","",N(元データ_P!$F$351))</f>
        <v/>
      </c>
      <c r="N353" s="74" t="str">
        <f aca="false">IF($K353="","",IF(COUNTIF(店舗マスタ!$B$5:$B$304,$K353)&gt;0,"登録済","未登録→マスタに追加"))</f>
        <v/>
      </c>
      <c r="P353" s="74" t="n">
        <v>351</v>
      </c>
      <c r="Q353" s="74" t="str">
        <f aca="false">IF(元データ_B!$A$351="","",元データ_B!$A$351)</f>
        <v/>
      </c>
      <c r="R353" s="74" t="str">
        <f aca="false">IF(LEFT(Q353,1)="(",IFERROR(VALUE(MID(Q353,2,FIND(")",Q353)-2)),""),"")</f>
        <v/>
      </c>
      <c r="S353" s="75" t="str">
        <f aca="false">IF($R353="","",N(元データ_B!$B$351))</f>
        <v/>
      </c>
      <c r="T353" s="75" t="str">
        <f aca="false">IF($R353="","",N(元データ_B!$F$351))</f>
        <v/>
      </c>
      <c r="U353" s="74" t="str">
        <f aca="false">IF($R353="","",IF(COUNTIF(店舗マスタ!$B$5:$B$304,$R353)&gt;0,"登録済","未登録→マスタに追加"))</f>
        <v/>
      </c>
    </row>
    <row r="354" customFormat="false" ht="15" hidden="false" customHeight="false" outlineLevel="0" collapsed="false">
      <c r="A354" s="74" t="n">
        <v>352</v>
      </c>
      <c r="B354" s="74" t="str">
        <f aca="false">IF(元データ_PB合計!$A$352="","",元データ_PB合計!$A$352)</f>
        <v/>
      </c>
      <c r="C354" s="74" t="str">
        <f aca="false">IF(LEFT(B354,1)="(",IFERROR(VALUE(MID(B354,2,FIND(")",B354)-2)),""),"")</f>
        <v/>
      </c>
      <c r="D354" s="75" t="str">
        <f aca="false">IF($C354="","",N(元データ_PB合計!$B$352))</f>
        <v/>
      </c>
      <c r="E354" s="75" t="str">
        <f aca="false">IF($C354="","",N(元データ_PB合計!$C$352))</f>
        <v/>
      </c>
      <c r="F354" s="75" t="str">
        <f aca="false">IF($C354="","",N(元データ_PB合計!$F$352))</f>
        <v/>
      </c>
      <c r="G354" s="74" t="str">
        <f aca="false">IF($C354="","",IF(COUNTIF(店舗マスタ!$B$5:$B$304,$C354)&gt;0,"登録済","未登録→マスタに追加"))</f>
        <v/>
      </c>
      <c r="I354" s="74" t="n">
        <v>352</v>
      </c>
      <c r="J354" s="74" t="str">
        <f aca="false">IF(元データ_P!$A$352="","",元データ_P!$A$352)</f>
        <v/>
      </c>
      <c r="K354" s="74" t="str">
        <f aca="false">IF(LEFT(J354,1)="(",IFERROR(VALUE(MID(J354,2,FIND(")",J354)-2)),""),"")</f>
        <v/>
      </c>
      <c r="L354" s="75" t="str">
        <f aca="false">IF($K354="","",N(元データ_P!$B$352))</f>
        <v/>
      </c>
      <c r="M354" s="75" t="str">
        <f aca="false">IF($K354="","",N(元データ_P!$F$352))</f>
        <v/>
      </c>
      <c r="N354" s="74" t="str">
        <f aca="false">IF($K354="","",IF(COUNTIF(店舗マスタ!$B$5:$B$304,$K354)&gt;0,"登録済","未登録→マスタに追加"))</f>
        <v/>
      </c>
      <c r="P354" s="74" t="n">
        <v>352</v>
      </c>
      <c r="Q354" s="74" t="str">
        <f aca="false">IF(元データ_B!$A$352="","",元データ_B!$A$352)</f>
        <v/>
      </c>
      <c r="R354" s="74" t="str">
        <f aca="false">IF(LEFT(Q354,1)="(",IFERROR(VALUE(MID(Q354,2,FIND(")",Q354)-2)),""),"")</f>
        <v/>
      </c>
      <c r="S354" s="75" t="str">
        <f aca="false">IF($R354="","",N(元データ_B!$B$352))</f>
        <v/>
      </c>
      <c r="T354" s="75" t="str">
        <f aca="false">IF($R354="","",N(元データ_B!$F$352))</f>
        <v/>
      </c>
      <c r="U354" s="74" t="str">
        <f aca="false">IF($R354="","",IF(COUNTIF(店舗マスタ!$B$5:$B$304,$R354)&gt;0,"登録済","未登録→マスタに追加"))</f>
        <v/>
      </c>
    </row>
    <row r="355" customFormat="false" ht="15" hidden="false" customHeight="false" outlineLevel="0" collapsed="false">
      <c r="A355" s="74" t="n">
        <v>353</v>
      </c>
      <c r="B355" s="74" t="str">
        <f aca="false">IF(元データ_PB合計!$A$353="","",元データ_PB合計!$A$353)</f>
        <v/>
      </c>
      <c r="C355" s="74" t="str">
        <f aca="false">IF(LEFT(B355,1)="(",IFERROR(VALUE(MID(B355,2,FIND(")",B355)-2)),""),"")</f>
        <v/>
      </c>
      <c r="D355" s="75" t="str">
        <f aca="false">IF($C355="","",N(元データ_PB合計!$B$353))</f>
        <v/>
      </c>
      <c r="E355" s="75" t="str">
        <f aca="false">IF($C355="","",N(元データ_PB合計!$C$353))</f>
        <v/>
      </c>
      <c r="F355" s="75" t="str">
        <f aca="false">IF($C355="","",N(元データ_PB合計!$F$353))</f>
        <v/>
      </c>
      <c r="G355" s="74" t="str">
        <f aca="false">IF($C355="","",IF(COUNTIF(店舗マスタ!$B$5:$B$304,$C355)&gt;0,"登録済","未登録→マスタに追加"))</f>
        <v/>
      </c>
      <c r="I355" s="74" t="n">
        <v>353</v>
      </c>
      <c r="J355" s="74" t="str">
        <f aca="false">IF(元データ_P!$A$353="","",元データ_P!$A$353)</f>
        <v/>
      </c>
      <c r="K355" s="74" t="str">
        <f aca="false">IF(LEFT(J355,1)="(",IFERROR(VALUE(MID(J355,2,FIND(")",J355)-2)),""),"")</f>
        <v/>
      </c>
      <c r="L355" s="75" t="str">
        <f aca="false">IF($K355="","",N(元データ_P!$B$353))</f>
        <v/>
      </c>
      <c r="M355" s="75" t="str">
        <f aca="false">IF($K355="","",N(元データ_P!$F$353))</f>
        <v/>
      </c>
      <c r="N355" s="74" t="str">
        <f aca="false">IF($K355="","",IF(COUNTIF(店舗マスタ!$B$5:$B$304,$K355)&gt;0,"登録済","未登録→マスタに追加"))</f>
        <v/>
      </c>
      <c r="P355" s="74" t="n">
        <v>353</v>
      </c>
      <c r="Q355" s="74" t="str">
        <f aca="false">IF(元データ_B!$A$353="","",元データ_B!$A$353)</f>
        <v/>
      </c>
      <c r="R355" s="74" t="str">
        <f aca="false">IF(LEFT(Q355,1)="(",IFERROR(VALUE(MID(Q355,2,FIND(")",Q355)-2)),""),"")</f>
        <v/>
      </c>
      <c r="S355" s="75" t="str">
        <f aca="false">IF($R355="","",N(元データ_B!$B$353))</f>
        <v/>
      </c>
      <c r="T355" s="75" t="str">
        <f aca="false">IF($R355="","",N(元データ_B!$F$353))</f>
        <v/>
      </c>
      <c r="U355" s="74" t="str">
        <f aca="false">IF($R355="","",IF(COUNTIF(店舗マスタ!$B$5:$B$304,$R355)&gt;0,"登録済","未登録→マスタに追加"))</f>
        <v/>
      </c>
    </row>
    <row r="356" customFormat="false" ht="15" hidden="false" customHeight="false" outlineLevel="0" collapsed="false">
      <c r="A356" s="74" t="n">
        <v>354</v>
      </c>
      <c r="B356" s="74" t="str">
        <f aca="false">IF(元データ_PB合計!$A$354="","",元データ_PB合計!$A$354)</f>
        <v/>
      </c>
      <c r="C356" s="74" t="str">
        <f aca="false">IF(LEFT(B356,1)="(",IFERROR(VALUE(MID(B356,2,FIND(")",B356)-2)),""),"")</f>
        <v/>
      </c>
      <c r="D356" s="75" t="str">
        <f aca="false">IF($C356="","",N(元データ_PB合計!$B$354))</f>
        <v/>
      </c>
      <c r="E356" s="75" t="str">
        <f aca="false">IF($C356="","",N(元データ_PB合計!$C$354))</f>
        <v/>
      </c>
      <c r="F356" s="75" t="str">
        <f aca="false">IF($C356="","",N(元データ_PB合計!$F$354))</f>
        <v/>
      </c>
      <c r="G356" s="74" t="str">
        <f aca="false">IF($C356="","",IF(COUNTIF(店舗マスタ!$B$5:$B$304,$C356)&gt;0,"登録済","未登録→マスタに追加"))</f>
        <v/>
      </c>
      <c r="I356" s="74" t="n">
        <v>354</v>
      </c>
      <c r="J356" s="74" t="str">
        <f aca="false">IF(元データ_P!$A$354="","",元データ_P!$A$354)</f>
        <v/>
      </c>
      <c r="K356" s="74" t="str">
        <f aca="false">IF(LEFT(J356,1)="(",IFERROR(VALUE(MID(J356,2,FIND(")",J356)-2)),""),"")</f>
        <v/>
      </c>
      <c r="L356" s="75" t="str">
        <f aca="false">IF($K356="","",N(元データ_P!$B$354))</f>
        <v/>
      </c>
      <c r="M356" s="75" t="str">
        <f aca="false">IF($K356="","",N(元データ_P!$F$354))</f>
        <v/>
      </c>
      <c r="N356" s="74" t="str">
        <f aca="false">IF($K356="","",IF(COUNTIF(店舗マスタ!$B$5:$B$304,$K356)&gt;0,"登録済","未登録→マスタに追加"))</f>
        <v/>
      </c>
      <c r="P356" s="74" t="n">
        <v>354</v>
      </c>
      <c r="Q356" s="74" t="str">
        <f aca="false">IF(元データ_B!$A$354="","",元データ_B!$A$354)</f>
        <v/>
      </c>
      <c r="R356" s="74" t="str">
        <f aca="false">IF(LEFT(Q356,1)="(",IFERROR(VALUE(MID(Q356,2,FIND(")",Q356)-2)),""),"")</f>
        <v/>
      </c>
      <c r="S356" s="75" t="str">
        <f aca="false">IF($R356="","",N(元データ_B!$B$354))</f>
        <v/>
      </c>
      <c r="T356" s="75" t="str">
        <f aca="false">IF($R356="","",N(元データ_B!$F$354))</f>
        <v/>
      </c>
      <c r="U356" s="74" t="str">
        <f aca="false">IF($R356="","",IF(COUNTIF(店舗マスタ!$B$5:$B$304,$R356)&gt;0,"登録済","未登録→マスタに追加"))</f>
        <v/>
      </c>
    </row>
    <row r="357" customFormat="false" ht="15" hidden="false" customHeight="false" outlineLevel="0" collapsed="false">
      <c r="A357" s="74" t="n">
        <v>355</v>
      </c>
      <c r="B357" s="74" t="str">
        <f aca="false">IF(元データ_PB合計!$A$355="","",元データ_PB合計!$A$355)</f>
        <v/>
      </c>
      <c r="C357" s="74" t="str">
        <f aca="false">IF(LEFT(B357,1)="(",IFERROR(VALUE(MID(B357,2,FIND(")",B357)-2)),""),"")</f>
        <v/>
      </c>
      <c r="D357" s="75" t="str">
        <f aca="false">IF($C357="","",N(元データ_PB合計!$B$355))</f>
        <v/>
      </c>
      <c r="E357" s="75" t="str">
        <f aca="false">IF($C357="","",N(元データ_PB合計!$C$355))</f>
        <v/>
      </c>
      <c r="F357" s="75" t="str">
        <f aca="false">IF($C357="","",N(元データ_PB合計!$F$355))</f>
        <v/>
      </c>
      <c r="G357" s="74" t="str">
        <f aca="false">IF($C357="","",IF(COUNTIF(店舗マスタ!$B$5:$B$304,$C357)&gt;0,"登録済","未登録→マスタに追加"))</f>
        <v/>
      </c>
      <c r="I357" s="74" t="n">
        <v>355</v>
      </c>
      <c r="J357" s="74" t="str">
        <f aca="false">IF(元データ_P!$A$355="","",元データ_P!$A$355)</f>
        <v/>
      </c>
      <c r="K357" s="74" t="str">
        <f aca="false">IF(LEFT(J357,1)="(",IFERROR(VALUE(MID(J357,2,FIND(")",J357)-2)),""),"")</f>
        <v/>
      </c>
      <c r="L357" s="75" t="str">
        <f aca="false">IF($K357="","",N(元データ_P!$B$355))</f>
        <v/>
      </c>
      <c r="M357" s="75" t="str">
        <f aca="false">IF($K357="","",N(元データ_P!$F$355))</f>
        <v/>
      </c>
      <c r="N357" s="74" t="str">
        <f aca="false">IF($K357="","",IF(COUNTIF(店舗マスタ!$B$5:$B$304,$K357)&gt;0,"登録済","未登録→マスタに追加"))</f>
        <v/>
      </c>
      <c r="P357" s="74" t="n">
        <v>355</v>
      </c>
      <c r="Q357" s="74" t="str">
        <f aca="false">IF(元データ_B!$A$355="","",元データ_B!$A$355)</f>
        <v/>
      </c>
      <c r="R357" s="74" t="str">
        <f aca="false">IF(LEFT(Q357,1)="(",IFERROR(VALUE(MID(Q357,2,FIND(")",Q357)-2)),""),"")</f>
        <v/>
      </c>
      <c r="S357" s="75" t="str">
        <f aca="false">IF($R357="","",N(元データ_B!$B$355))</f>
        <v/>
      </c>
      <c r="T357" s="75" t="str">
        <f aca="false">IF($R357="","",N(元データ_B!$F$355))</f>
        <v/>
      </c>
      <c r="U357" s="74" t="str">
        <f aca="false">IF($R357="","",IF(COUNTIF(店舗マスタ!$B$5:$B$304,$R357)&gt;0,"登録済","未登録→マスタに追加"))</f>
        <v/>
      </c>
    </row>
    <row r="358" customFormat="false" ht="15" hidden="false" customHeight="false" outlineLevel="0" collapsed="false">
      <c r="A358" s="74" t="n">
        <v>356</v>
      </c>
      <c r="B358" s="74" t="str">
        <f aca="false">IF(元データ_PB合計!$A$356="","",元データ_PB合計!$A$356)</f>
        <v/>
      </c>
      <c r="C358" s="74" t="str">
        <f aca="false">IF(LEFT(B358,1)="(",IFERROR(VALUE(MID(B358,2,FIND(")",B358)-2)),""),"")</f>
        <v/>
      </c>
      <c r="D358" s="75" t="str">
        <f aca="false">IF($C358="","",N(元データ_PB合計!$B$356))</f>
        <v/>
      </c>
      <c r="E358" s="75" t="str">
        <f aca="false">IF($C358="","",N(元データ_PB合計!$C$356))</f>
        <v/>
      </c>
      <c r="F358" s="75" t="str">
        <f aca="false">IF($C358="","",N(元データ_PB合計!$F$356))</f>
        <v/>
      </c>
      <c r="G358" s="74" t="str">
        <f aca="false">IF($C358="","",IF(COUNTIF(店舗マスタ!$B$5:$B$304,$C358)&gt;0,"登録済","未登録→マスタに追加"))</f>
        <v/>
      </c>
      <c r="I358" s="74" t="n">
        <v>356</v>
      </c>
      <c r="J358" s="74" t="str">
        <f aca="false">IF(元データ_P!$A$356="","",元データ_P!$A$356)</f>
        <v/>
      </c>
      <c r="K358" s="74" t="str">
        <f aca="false">IF(LEFT(J358,1)="(",IFERROR(VALUE(MID(J358,2,FIND(")",J358)-2)),""),"")</f>
        <v/>
      </c>
      <c r="L358" s="75" t="str">
        <f aca="false">IF($K358="","",N(元データ_P!$B$356))</f>
        <v/>
      </c>
      <c r="M358" s="75" t="str">
        <f aca="false">IF($K358="","",N(元データ_P!$F$356))</f>
        <v/>
      </c>
      <c r="N358" s="74" t="str">
        <f aca="false">IF($K358="","",IF(COUNTIF(店舗マスタ!$B$5:$B$304,$K358)&gt;0,"登録済","未登録→マスタに追加"))</f>
        <v/>
      </c>
      <c r="P358" s="74" t="n">
        <v>356</v>
      </c>
      <c r="Q358" s="74" t="str">
        <f aca="false">IF(元データ_B!$A$356="","",元データ_B!$A$356)</f>
        <v/>
      </c>
      <c r="R358" s="74" t="str">
        <f aca="false">IF(LEFT(Q358,1)="(",IFERROR(VALUE(MID(Q358,2,FIND(")",Q358)-2)),""),"")</f>
        <v/>
      </c>
      <c r="S358" s="75" t="str">
        <f aca="false">IF($R358="","",N(元データ_B!$B$356))</f>
        <v/>
      </c>
      <c r="T358" s="75" t="str">
        <f aca="false">IF($R358="","",N(元データ_B!$F$356))</f>
        <v/>
      </c>
      <c r="U358" s="74" t="str">
        <f aca="false">IF($R358="","",IF(COUNTIF(店舗マスタ!$B$5:$B$304,$R358)&gt;0,"登録済","未登録→マスタに追加"))</f>
        <v/>
      </c>
    </row>
    <row r="359" customFormat="false" ht="15" hidden="false" customHeight="false" outlineLevel="0" collapsed="false">
      <c r="A359" s="74" t="n">
        <v>357</v>
      </c>
      <c r="B359" s="74" t="str">
        <f aca="false">IF(元データ_PB合計!$A$357="","",元データ_PB合計!$A$357)</f>
        <v/>
      </c>
      <c r="C359" s="74" t="str">
        <f aca="false">IF(LEFT(B359,1)="(",IFERROR(VALUE(MID(B359,2,FIND(")",B359)-2)),""),"")</f>
        <v/>
      </c>
      <c r="D359" s="75" t="str">
        <f aca="false">IF($C359="","",N(元データ_PB合計!$B$357))</f>
        <v/>
      </c>
      <c r="E359" s="75" t="str">
        <f aca="false">IF($C359="","",N(元データ_PB合計!$C$357))</f>
        <v/>
      </c>
      <c r="F359" s="75" t="str">
        <f aca="false">IF($C359="","",N(元データ_PB合計!$F$357))</f>
        <v/>
      </c>
      <c r="G359" s="74" t="str">
        <f aca="false">IF($C359="","",IF(COUNTIF(店舗マスタ!$B$5:$B$304,$C359)&gt;0,"登録済","未登録→マスタに追加"))</f>
        <v/>
      </c>
      <c r="I359" s="74" t="n">
        <v>357</v>
      </c>
      <c r="J359" s="74" t="str">
        <f aca="false">IF(元データ_P!$A$357="","",元データ_P!$A$357)</f>
        <v/>
      </c>
      <c r="K359" s="74" t="str">
        <f aca="false">IF(LEFT(J359,1)="(",IFERROR(VALUE(MID(J359,2,FIND(")",J359)-2)),""),"")</f>
        <v/>
      </c>
      <c r="L359" s="75" t="str">
        <f aca="false">IF($K359="","",N(元データ_P!$B$357))</f>
        <v/>
      </c>
      <c r="M359" s="75" t="str">
        <f aca="false">IF($K359="","",N(元データ_P!$F$357))</f>
        <v/>
      </c>
      <c r="N359" s="74" t="str">
        <f aca="false">IF($K359="","",IF(COUNTIF(店舗マスタ!$B$5:$B$304,$K359)&gt;0,"登録済","未登録→マスタに追加"))</f>
        <v/>
      </c>
      <c r="P359" s="74" t="n">
        <v>357</v>
      </c>
      <c r="Q359" s="74" t="str">
        <f aca="false">IF(元データ_B!$A$357="","",元データ_B!$A$357)</f>
        <v/>
      </c>
      <c r="R359" s="74" t="str">
        <f aca="false">IF(LEFT(Q359,1)="(",IFERROR(VALUE(MID(Q359,2,FIND(")",Q359)-2)),""),"")</f>
        <v/>
      </c>
      <c r="S359" s="75" t="str">
        <f aca="false">IF($R359="","",N(元データ_B!$B$357))</f>
        <v/>
      </c>
      <c r="T359" s="75" t="str">
        <f aca="false">IF($R359="","",N(元データ_B!$F$357))</f>
        <v/>
      </c>
      <c r="U359" s="74" t="str">
        <f aca="false">IF($R359="","",IF(COUNTIF(店舗マスタ!$B$5:$B$304,$R359)&gt;0,"登録済","未登録→マスタに追加"))</f>
        <v/>
      </c>
    </row>
    <row r="360" customFormat="false" ht="15" hidden="false" customHeight="false" outlineLevel="0" collapsed="false">
      <c r="A360" s="74" t="n">
        <v>358</v>
      </c>
      <c r="B360" s="74" t="str">
        <f aca="false">IF(元データ_PB合計!$A$358="","",元データ_PB合計!$A$358)</f>
        <v/>
      </c>
      <c r="C360" s="74" t="str">
        <f aca="false">IF(LEFT(B360,1)="(",IFERROR(VALUE(MID(B360,2,FIND(")",B360)-2)),""),"")</f>
        <v/>
      </c>
      <c r="D360" s="75" t="str">
        <f aca="false">IF($C360="","",N(元データ_PB合計!$B$358))</f>
        <v/>
      </c>
      <c r="E360" s="75" t="str">
        <f aca="false">IF($C360="","",N(元データ_PB合計!$C$358))</f>
        <v/>
      </c>
      <c r="F360" s="75" t="str">
        <f aca="false">IF($C360="","",N(元データ_PB合計!$F$358))</f>
        <v/>
      </c>
      <c r="G360" s="74" t="str">
        <f aca="false">IF($C360="","",IF(COUNTIF(店舗マスタ!$B$5:$B$304,$C360)&gt;0,"登録済","未登録→マスタに追加"))</f>
        <v/>
      </c>
      <c r="I360" s="74" t="n">
        <v>358</v>
      </c>
      <c r="J360" s="74" t="str">
        <f aca="false">IF(元データ_P!$A$358="","",元データ_P!$A$358)</f>
        <v/>
      </c>
      <c r="K360" s="74" t="str">
        <f aca="false">IF(LEFT(J360,1)="(",IFERROR(VALUE(MID(J360,2,FIND(")",J360)-2)),""),"")</f>
        <v/>
      </c>
      <c r="L360" s="75" t="str">
        <f aca="false">IF($K360="","",N(元データ_P!$B$358))</f>
        <v/>
      </c>
      <c r="M360" s="75" t="str">
        <f aca="false">IF($K360="","",N(元データ_P!$F$358))</f>
        <v/>
      </c>
      <c r="N360" s="74" t="str">
        <f aca="false">IF($K360="","",IF(COUNTIF(店舗マスタ!$B$5:$B$304,$K360)&gt;0,"登録済","未登録→マスタに追加"))</f>
        <v/>
      </c>
      <c r="P360" s="74" t="n">
        <v>358</v>
      </c>
      <c r="Q360" s="74" t="str">
        <f aca="false">IF(元データ_B!$A$358="","",元データ_B!$A$358)</f>
        <v/>
      </c>
      <c r="R360" s="74" t="str">
        <f aca="false">IF(LEFT(Q360,1)="(",IFERROR(VALUE(MID(Q360,2,FIND(")",Q360)-2)),""),"")</f>
        <v/>
      </c>
      <c r="S360" s="75" t="str">
        <f aca="false">IF($R360="","",N(元データ_B!$B$358))</f>
        <v/>
      </c>
      <c r="T360" s="75" t="str">
        <f aca="false">IF($R360="","",N(元データ_B!$F$358))</f>
        <v/>
      </c>
      <c r="U360" s="74" t="str">
        <f aca="false">IF($R360="","",IF(COUNTIF(店舗マスタ!$B$5:$B$304,$R360)&gt;0,"登録済","未登録→マスタに追加"))</f>
        <v/>
      </c>
    </row>
    <row r="361" customFormat="false" ht="15" hidden="false" customHeight="false" outlineLevel="0" collapsed="false">
      <c r="A361" s="74" t="n">
        <v>359</v>
      </c>
      <c r="B361" s="74" t="str">
        <f aca="false">IF(元データ_PB合計!$A$359="","",元データ_PB合計!$A$359)</f>
        <v/>
      </c>
      <c r="C361" s="74" t="str">
        <f aca="false">IF(LEFT(B361,1)="(",IFERROR(VALUE(MID(B361,2,FIND(")",B361)-2)),""),"")</f>
        <v/>
      </c>
      <c r="D361" s="75" t="str">
        <f aca="false">IF($C361="","",N(元データ_PB合計!$B$359))</f>
        <v/>
      </c>
      <c r="E361" s="75" t="str">
        <f aca="false">IF($C361="","",N(元データ_PB合計!$C$359))</f>
        <v/>
      </c>
      <c r="F361" s="75" t="str">
        <f aca="false">IF($C361="","",N(元データ_PB合計!$F$359))</f>
        <v/>
      </c>
      <c r="G361" s="74" t="str">
        <f aca="false">IF($C361="","",IF(COUNTIF(店舗マスタ!$B$5:$B$304,$C361)&gt;0,"登録済","未登録→マスタに追加"))</f>
        <v/>
      </c>
      <c r="I361" s="74" t="n">
        <v>359</v>
      </c>
      <c r="J361" s="74" t="str">
        <f aca="false">IF(元データ_P!$A$359="","",元データ_P!$A$359)</f>
        <v/>
      </c>
      <c r="K361" s="74" t="str">
        <f aca="false">IF(LEFT(J361,1)="(",IFERROR(VALUE(MID(J361,2,FIND(")",J361)-2)),""),"")</f>
        <v/>
      </c>
      <c r="L361" s="75" t="str">
        <f aca="false">IF($K361="","",N(元データ_P!$B$359))</f>
        <v/>
      </c>
      <c r="M361" s="75" t="str">
        <f aca="false">IF($K361="","",N(元データ_P!$F$359))</f>
        <v/>
      </c>
      <c r="N361" s="74" t="str">
        <f aca="false">IF($K361="","",IF(COUNTIF(店舗マスタ!$B$5:$B$304,$K361)&gt;0,"登録済","未登録→マスタに追加"))</f>
        <v/>
      </c>
      <c r="P361" s="74" t="n">
        <v>359</v>
      </c>
      <c r="Q361" s="74" t="str">
        <f aca="false">IF(元データ_B!$A$359="","",元データ_B!$A$359)</f>
        <v/>
      </c>
      <c r="R361" s="74" t="str">
        <f aca="false">IF(LEFT(Q361,1)="(",IFERROR(VALUE(MID(Q361,2,FIND(")",Q361)-2)),""),"")</f>
        <v/>
      </c>
      <c r="S361" s="75" t="str">
        <f aca="false">IF($R361="","",N(元データ_B!$B$359))</f>
        <v/>
      </c>
      <c r="T361" s="75" t="str">
        <f aca="false">IF($R361="","",N(元データ_B!$F$359))</f>
        <v/>
      </c>
      <c r="U361" s="74" t="str">
        <f aca="false">IF($R361="","",IF(COUNTIF(店舗マスタ!$B$5:$B$304,$R361)&gt;0,"登録済","未登録→マスタに追加"))</f>
        <v/>
      </c>
    </row>
    <row r="362" customFormat="false" ht="15" hidden="false" customHeight="false" outlineLevel="0" collapsed="false">
      <c r="A362" s="74" t="n">
        <v>360</v>
      </c>
      <c r="B362" s="74" t="str">
        <f aca="false">IF(元データ_PB合計!$A$360="","",元データ_PB合計!$A$360)</f>
        <v/>
      </c>
      <c r="C362" s="74" t="str">
        <f aca="false">IF(LEFT(B362,1)="(",IFERROR(VALUE(MID(B362,2,FIND(")",B362)-2)),""),"")</f>
        <v/>
      </c>
      <c r="D362" s="75" t="str">
        <f aca="false">IF($C362="","",N(元データ_PB合計!$B$360))</f>
        <v/>
      </c>
      <c r="E362" s="75" t="str">
        <f aca="false">IF($C362="","",N(元データ_PB合計!$C$360))</f>
        <v/>
      </c>
      <c r="F362" s="75" t="str">
        <f aca="false">IF($C362="","",N(元データ_PB合計!$F$360))</f>
        <v/>
      </c>
      <c r="G362" s="74" t="str">
        <f aca="false">IF($C362="","",IF(COUNTIF(店舗マスタ!$B$5:$B$304,$C362)&gt;0,"登録済","未登録→マスタに追加"))</f>
        <v/>
      </c>
      <c r="I362" s="74" t="n">
        <v>360</v>
      </c>
      <c r="J362" s="74" t="str">
        <f aca="false">IF(元データ_P!$A$360="","",元データ_P!$A$360)</f>
        <v/>
      </c>
      <c r="K362" s="74" t="str">
        <f aca="false">IF(LEFT(J362,1)="(",IFERROR(VALUE(MID(J362,2,FIND(")",J362)-2)),""),"")</f>
        <v/>
      </c>
      <c r="L362" s="75" t="str">
        <f aca="false">IF($K362="","",N(元データ_P!$B$360))</f>
        <v/>
      </c>
      <c r="M362" s="75" t="str">
        <f aca="false">IF($K362="","",N(元データ_P!$F$360))</f>
        <v/>
      </c>
      <c r="N362" s="74" t="str">
        <f aca="false">IF($K362="","",IF(COUNTIF(店舗マスタ!$B$5:$B$304,$K362)&gt;0,"登録済","未登録→マスタに追加"))</f>
        <v/>
      </c>
      <c r="P362" s="74" t="n">
        <v>360</v>
      </c>
      <c r="Q362" s="74" t="str">
        <f aca="false">IF(元データ_B!$A$360="","",元データ_B!$A$360)</f>
        <v/>
      </c>
      <c r="R362" s="74" t="str">
        <f aca="false">IF(LEFT(Q362,1)="(",IFERROR(VALUE(MID(Q362,2,FIND(")",Q362)-2)),""),"")</f>
        <v/>
      </c>
      <c r="S362" s="75" t="str">
        <f aca="false">IF($R362="","",N(元データ_B!$B$360))</f>
        <v/>
      </c>
      <c r="T362" s="75" t="str">
        <f aca="false">IF($R362="","",N(元データ_B!$F$360))</f>
        <v/>
      </c>
      <c r="U362" s="74" t="str">
        <f aca="false">IF($R362="","",IF(COUNTIF(店舗マスタ!$B$5:$B$304,$R362)&gt;0,"登録済","未登録→マスタに追加"))</f>
        <v/>
      </c>
    </row>
    <row r="363" customFormat="false" ht="15" hidden="false" customHeight="false" outlineLevel="0" collapsed="false">
      <c r="A363" s="74" t="n">
        <v>361</v>
      </c>
      <c r="B363" s="74" t="str">
        <f aca="false">IF(元データ_PB合計!$A$361="","",元データ_PB合計!$A$361)</f>
        <v/>
      </c>
      <c r="C363" s="74" t="str">
        <f aca="false">IF(LEFT(B363,1)="(",IFERROR(VALUE(MID(B363,2,FIND(")",B363)-2)),""),"")</f>
        <v/>
      </c>
      <c r="D363" s="75" t="str">
        <f aca="false">IF($C363="","",N(元データ_PB合計!$B$361))</f>
        <v/>
      </c>
      <c r="E363" s="75" t="str">
        <f aca="false">IF($C363="","",N(元データ_PB合計!$C$361))</f>
        <v/>
      </c>
      <c r="F363" s="75" t="str">
        <f aca="false">IF($C363="","",N(元データ_PB合計!$F$361))</f>
        <v/>
      </c>
      <c r="G363" s="74" t="str">
        <f aca="false">IF($C363="","",IF(COUNTIF(店舗マスタ!$B$5:$B$304,$C363)&gt;0,"登録済","未登録→マスタに追加"))</f>
        <v/>
      </c>
      <c r="I363" s="74" t="n">
        <v>361</v>
      </c>
      <c r="J363" s="74" t="str">
        <f aca="false">IF(元データ_P!$A$361="","",元データ_P!$A$361)</f>
        <v/>
      </c>
      <c r="K363" s="74" t="str">
        <f aca="false">IF(LEFT(J363,1)="(",IFERROR(VALUE(MID(J363,2,FIND(")",J363)-2)),""),"")</f>
        <v/>
      </c>
      <c r="L363" s="75" t="str">
        <f aca="false">IF($K363="","",N(元データ_P!$B$361))</f>
        <v/>
      </c>
      <c r="M363" s="75" t="str">
        <f aca="false">IF($K363="","",N(元データ_P!$F$361))</f>
        <v/>
      </c>
      <c r="N363" s="74" t="str">
        <f aca="false">IF($K363="","",IF(COUNTIF(店舗マスタ!$B$5:$B$304,$K363)&gt;0,"登録済","未登録→マスタに追加"))</f>
        <v/>
      </c>
      <c r="P363" s="74" t="n">
        <v>361</v>
      </c>
      <c r="Q363" s="74" t="str">
        <f aca="false">IF(元データ_B!$A$361="","",元データ_B!$A$361)</f>
        <v/>
      </c>
      <c r="R363" s="74" t="str">
        <f aca="false">IF(LEFT(Q363,1)="(",IFERROR(VALUE(MID(Q363,2,FIND(")",Q363)-2)),""),"")</f>
        <v/>
      </c>
      <c r="S363" s="75" t="str">
        <f aca="false">IF($R363="","",N(元データ_B!$B$361))</f>
        <v/>
      </c>
      <c r="T363" s="75" t="str">
        <f aca="false">IF($R363="","",N(元データ_B!$F$361))</f>
        <v/>
      </c>
      <c r="U363" s="74" t="str">
        <f aca="false">IF($R363="","",IF(COUNTIF(店舗マスタ!$B$5:$B$304,$R363)&gt;0,"登録済","未登録→マスタに追加"))</f>
        <v/>
      </c>
    </row>
    <row r="364" customFormat="false" ht="15" hidden="false" customHeight="false" outlineLevel="0" collapsed="false">
      <c r="A364" s="74" t="n">
        <v>362</v>
      </c>
      <c r="B364" s="74" t="str">
        <f aca="false">IF(元データ_PB合計!$A$362="","",元データ_PB合計!$A$362)</f>
        <v/>
      </c>
      <c r="C364" s="74" t="str">
        <f aca="false">IF(LEFT(B364,1)="(",IFERROR(VALUE(MID(B364,2,FIND(")",B364)-2)),""),"")</f>
        <v/>
      </c>
      <c r="D364" s="75" t="str">
        <f aca="false">IF($C364="","",N(元データ_PB合計!$B$362))</f>
        <v/>
      </c>
      <c r="E364" s="75" t="str">
        <f aca="false">IF($C364="","",N(元データ_PB合計!$C$362))</f>
        <v/>
      </c>
      <c r="F364" s="75" t="str">
        <f aca="false">IF($C364="","",N(元データ_PB合計!$F$362))</f>
        <v/>
      </c>
      <c r="G364" s="74" t="str">
        <f aca="false">IF($C364="","",IF(COUNTIF(店舗マスタ!$B$5:$B$304,$C364)&gt;0,"登録済","未登録→マスタに追加"))</f>
        <v/>
      </c>
      <c r="I364" s="74" t="n">
        <v>362</v>
      </c>
      <c r="J364" s="74" t="str">
        <f aca="false">IF(元データ_P!$A$362="","",元データ_P!$A$362)</f>
        <v/>
      </c>
      <c r="K364" s="74" t="str">
        <f aca="false">IF(LEFT(J364,1)="(",IFERROR(VALUE(MID(J364,2,FIND(")",J364)-2)),""),"")</f>
        <v/>
      </c>
      <c r="L364" s="75" t="str">
        <f aca="false">IF($K364="","",N(元データ_P!$B$362))</f>
        <v/>
      </c>
      <c r="M364" s="75" t="str">
        <f aca="false">IF($K364="","",N(元データ_P!$F$362))</f>
        <v/>
      </c>
      <c r="N364" s="74" t="str">
        <f aca="false">IF($K364="","",IF(COUNTIF(店舗マスタ!$B$5:$B$304,$K364)&gt;0,"登録済","未登録→マスタに追加"))</f>
        <v/>
      </c>
      <c r="P364" s="74" t="n">
        <v>362</v>
      </c>
      <c r="Q364" s="74" t="str">
        <f aca="false">IF(元データ_B!$A$362="","",元データ_B!$A$362)</f>
        <v/>
      </c>
      <c r="R364" s="74" t="str">
        <f aca="false">IF(LEFT(Q364,1)="(",IFERROR(VALUE(MID(Q364,2,FIND(")",Q364)-2)),""),"")</f>
        <v/>
      </c>
      <c r="S364" s="75" t="str">
        <f aca="false">IF($R364="","",N(元データ_B!$B$362))</f>
        <v/>
      </c>
      <c r="T364" s="75" t="str">
        <f aca="false">IF($R364="","",N(元データ_B!$F$362))</f>
        <v/>
      </c>
      <c r="U364" s="74" t="str">
        <f aca="false">IF($R364="","",IF(COUNTIF(店舗マスタ!$B$5:$B$304,$R364)&gt;0,"登録済","未登録→マスタに追加"))</f>
        <v/>
      </c>
    </row>
    <row r="365" customFormat="false" ht="15" hidden="false" customHeight="false" outlineLevel="0" collapsed="false">
      <c r="A365" s="74" t="n">
        <v>363</v>
      </c>
      <c r="B365" s="74" t="str">
        <f aca="false">IF(元データ_PB合計!$A$363="","",元データ_PB合計!$A$363)</f>
        <v/>
      </c>
      <c r="C365" s="74" t="str">
        <f aca="false">IF(LEFT(B365,1)="(",IFERROR(VALUE(MID(B365,2,FIND(")",B365)-2)),""),"")</f>
        <v/>
      </c>
      <c r="D365" s="75" t="str">
        <f aca="false">IF($C365="","",N(元データ_PB合計!$B$363))</f>
        <v/>
      </c>
      <c r="E365" s="75" t="str">
        <f aca="false">IF($C365="","",N(元データ_PB合計!$C$363))</f>
        <v/>
      </c>
      <c r="F365" s="75" t="str">
        <f aca="false">IF($C365="","",N(元データ_PB合計!$F$363))</f>
        <v/>
      </c>
      <c r="G365" s="74" t="str">
        <f aca="false">IF($C365="","",IF(COUNTIF(店舗マスタ!$B$5:$B$304,$C365)&gt;0,"登録済","未登録→マスタに追加"))</f>
        <v/>
      </c>
      <c r="I365" s="74" t="n">
        <v>363</v>
      </c>
      <c r="J365" s="74" t="str">
        <f aca="false">IF(元データ_P!$A$363="","",元データ_P!$A$363)</f>
        <v/>
      </c>
      <c r="K365" s="74" t="str">
        <f aca="false">IF(LEFT(J365,1)="(",IFERROR(VALUE(MID(J365,2,FIND(")",J365)-2)),""),"")</f>
        <v/>
      </c>
      <c r="L365" s="75" t="str">
        <f aca="false">IF($K365="","",N(元データ_P!$B$363))</f>
        <v/>
      </c>
      <c r="M365" s="75" t="str">
        <f aca="false">IF($K365="","",N(元データ_P!$F$363))</f>
        <v/>
      </c>
      <c r="N365" s="74" t="str">
        <f aca="false">IF($K365="","",IF(COUNTIF(店舗マスタ!$B$5:$B$304,$K365)&gt;0,"登録済","未登録→マスタに追加"))</f>
        <v/>
      </c>
      <c r="P365" s="74" t="n">
        <v>363</v>
      </c>
      <c r="Q365" s="74" t="str">
        <f aca="false">IF(元データ_B!$A$363="","",元データ_B!$A$363)</f>
        <v/>
      </c>
      <c r="R365" s="74" t="str">
        <f aca="false">IF(LEFT(Q365,1)="(",IFERROR(VALUE(MID(Q365,2,FIND(")",Q365)-2)),""),"")</f>
        <v/>
      </c>
      <c r="S365" s="75" t="str">
        <f aca="false">IF($R365="","",N(元データ_B!$B$363))</f>
        <v/>
      </c>
      <c r="T365" s="75" t="str">
        <f aca="false">IF($R365="","",N(元データ_B!$F$363))</f>
        <v/>
      </c>
      <c r="U365" s="74" t="str">
        <f aca="false">IF($R365="","",IF(COUNTIF(店舗マスタ!$B$5:$B$304,$R365)&gt;0,"登録済","未登録→マスタに追加"))</f>
        <v/>
      </c>
    </row>
    <row r="366" customFormat="false" ht="15" hidden="false" customHeight="false" outlineLevel="0" collapsed="false">
      <c r="A366" s="74" t="n">
        <v>364</v>
      </c>
      <c r="B366" s="74" t="str">
        <f aca="false">IF(元データ_PB合計!$A$364="","",元データ_PB合計!$A$364)</f>
        <v/>
      </c>
      <c r="C366" s="74" t="str">
        <f aca="false">IF(LEFT(B366,1)="(",IFERROR(VALUE(MID(B366,2,FIND(")",B366)-2)),""),"")</f>
        <v/>
      </c>
      <c r="D366" s="75" t="str">
        <f aca="false">IF($C366="","",N(元データ_PB合計!$B$364))</f>
        <v/>
      </c>
      <c r="E366" s="75" t="str">
        <f aca="false">IF($C366="","",N(元データ_PB合計!$C$364))</f>
        <v/>
      </c>
      <c r="F366" s="75" t="str">
        <f aca="false">IF($C366="","",N(元データ_PB合計!$F$364))</f>
        <v/>
      </c>
      <c r="G366" s="74" t="str">
        <f aca="false">IF($C366="","",IF(COUNTIF(店舗マスタ!$B$5:$B$304,$C366)&gt;0,"登録済","未登録→マスタに追加"))</f>
        <v/>
      </c>
      <c r="I366" s="74" t="n">
        <v>364</v>
      </c>
      <c r="J366" s="74" t="str">
        <f aca="false">IF(元データ_P!$A$364="","",元データ_P!$A$364)</f>
        <v/>
      </c>
      <c r="K366" s="74" t="str">
        <f aca="false">IF(LEFT(J366,1)="(",IFERROR(VALUE(MID(J366,2,FIND(")",J366)-2)),""),"")</f>
        <v/>
      </c>
      <c r="L366" s="75" t="str">
        <f aca="false">IF($K366="","",N(元データ_P!$B$364))</f>
        <v/>
      </c>
      <c r="M366" s="75" t="str">
        <f aca="false">IF($K366="","",N(元データ_P!$F$364))</f>
        <v/>
      </c>
      <c r="N366" s="74" t="str">
        <f aca="false">IF($K366="","",IF(COUNTIF(店舗マスタ!$B$5:$B$304,$K366)&gt;0,"登録済","未登録→マスタに追加"))</f>
        <v/>
      </c>
      <c r="P366" s="74" t="n">
        <v>364</v>
      </c>
      <c r="Q366" s="74" t="str">
        <f aca="false">IF(元データ_B!$A$364="","",元データ_B!$A$364)</f>
        <v/>
      </c>
      <c r="R366" s="74" t="str">
        <f aca="false">IF(LEFT(Q366,1)="(",IFERROR(VALUE(MID(Q366,2,FIND(")",Q366)-2)),""),"")</f>
        <v/>
      </c>
      <c r="S366" s="75" t="str">
        <f aca="false">IF($R366="","",N(元データ_B!$B$364))</f>
        <v/>
      </c>
      <c r="T366" s="75" t="str">
        <f aca="false">IF($R366="","",N(元データ_B!$F$364))</f>
        <v/>
      </c>
      <c r="U366" s="74" t="str">
        <f aca="false">IF($R366="","",IF(COUNTIF(店舗マスタ!$B$5:$B$304,$R366)&gt;0,"登録済","未登録→マスタに追加"))</f>
        <v/>
      </c>
    </row>
    <row r="367" customFormat="false" ht="15" hidden="false" customHeight="false" outlineLevel="0" collapsed="false">
      <c r="A367" s="74" t="n">
        <v>365</v>
      </c>
      <c r="B367" s="74" t="str">
        <f aca="false">IF(元データ_PB合計!$A$365="","",元データ_PB合計!$A$365)</f>
        <v/>
      </c>
      <c r="C367" s="74" t="str">
        <f aca="false">IF(LEFT(B367,1)="(",IFERROR(VALUE(MID(B367,2,FIND(")",B367)-2)),""),"")</f>
        <v/>
      </c>
      <c r="D367" s="75" t="str">
        <f aca="false">IF($C367="","",N(元データ_PB合計!$B$365))</f>
        <v/>
      </c>
      <c r="E367" s="75" t="str">
        <f aca="false">IF($C367="","",N(元データ_PB合計!$C$365))</f>
        <v/>
      </c>
      <c r="F367" s="75" t="str">
        <f aca="false">IF($C367="","",N(元データ_PB合計!$F$365))</f>
        <v/>
      </c>
      <c r="G367" s="74" t="str">
        <f aca="false">IF($C367="","",IF(COUNTIF(店舗マスタ!$B$5:$B$304,$C367)&gt;0,"登録済","未登録→マスタに追加"))</f>
        <v/>
      </c>
      <c r="I367" s="74" t="n">
        <v>365</v>
      </c>
      <c r="J367" s="74" t="str">
        <f aca="false">IF(元データ_P!$A$365="","",元データ_P!$A$365)</f>
        <v/>
      </c>
      <c r="K367" s="74" t="str">
        <f aca="false">IF(LEFT(J367,1)="(",IFERROR(VALUE(MID(J367,2,FIND(")",J367)-2)),""),"")</f>
        <v/>
      </c>
      <c r="L367" s="75" t="str">
        <f aca="false">IF($K367="","",N(元データ_P!$B$365))</f>
        <v/>
      </c>
      <c r="M367" s="75" t="str">
        <f aca="false">IF($K367="","",N(元データ_P!$F$365))</f>
        <v/>
      </c>
      <c r="N367" s="74" t="str">
        <f aca="false">IF($K367="","",IF(COUNTIF(店舗マスタ!$B$5:$B$304,$K367)&gt;0,"登録済","未登録→マスタに追加"))</f>
        <v/>
      </c>
      <c r="P367" s="74" t="n">
        <v>365</v>
      </c>
      <c r="Q367" s="74" t="str">
        <f aca="false">IF(元データ_B!$A$365="","",元データ_B!$A$365)</f>
        <v/>
      </c>
      <c r="R367" s="74" t="str">
        <f aca="false">IF(LEFT(Q367,1)="(",IFERROR(VALUE(MID(Q367,2,FIND(")",Q367)-2)),""),"")</f>
        <v/>
      </c>
      <c r="S367" s="75" t="str">
        <f aca="false">IF($R367="","",N(元データ_B!$B$365))</f>
        <v/>
      </c>
      <c r="T367" s="75" t="str">
        <f aca="false">IF($R367="","",N(元データ_B!$F$365))</f>
        <v/>
      </c>
      <c r="U367" s="74" t="str">
        <f aca="false">IF($R367="","",IF(COUNTIF(店舗マスタ!$B$5:$B$304,$R367)&gt;0,"登録済","未登録→マスタに追加"))</f>
        <v/>
      </c>
    </row>
    <row r="368" customFormat="false" ht="15" hidden="false" customHeight="false" outlineLevel="0" collapsed="false">
      <c r="A368" s="74" t="n">
        <v>366</v>
      </c>
      <c r="B368" s="74" t="str">
        <f aca="false">IF(元データ_PB合計!$A$366="","",元データ_PB合計!$A$366)</f>
        <v/>
      </c>
      <c r="C368" s="74" t="str">
        <f aca="false">IF(LEFT(B368,1)="(",IFERROR(VALUE(MID(B368,2,FIND(")",B368)-2)),""),"")</f>
        <v/>
      </c>
      <c r="D368" s="75" t="str">
        <f aca="false">IF($C368="","",N(元データ_PB合計!$B$366))</f>
        <v/>
      </c>
      <c r="E368" s="75" t="str">
        <f aca="false">IF($C368="","",N(元データ_PB合計!$C$366))</f>
        <v/>
      </c>
      <c r="F368" s="75" t="str">
        <f aca="false">IF($C368="","",N(元データ_PB合計!$F$366))</f>
        <v/>
      </c>
      <c r="G368" s="74" t="str">
        <f aca="false">IF($C368="","",IF(COUNTIF(店舗マスタ!$B$5:$B$304,$C368)&gt;0,"登録済","未登録→マスタに追加"))</f>
        <v/>
      </c>
      <c r="I368" s="74" t="n">
        <v>366</v>
      </c>
      <c r="J368" s="74" t="str">
        <f aca="false">IF(元データ_P!$A$366="","",元データ_P!$A$366)</f>
        <v/>
      </c>
      <c r="K368" s="74" t="str">
        <f aca="false">IF(LEFT(J368,1)="(",IFERROR(VALUE(MID(J368,2,FIND(")",J368)-2)),""),"")</f>
        <v/>
      </c>
      <c r="L368" s="75" t="str">
        <f aca="false">IF($K368="","",N(元データ_P!$B$366))</f>
        <v/>
      </c>
      <c r="M368" s="75" t="str">
        <f aca="false">IF($K368="","",N(元データ_P!$F$366))</f>
        <v/>
      </c>
      <c r="N368" s="74" t="str">
        <f aca="false">IF($K368="","",IF(COUNTIF(店舗マスタ!$B$5:$B$304,$K368)&gt;0,"登録済","未登録→マスタに追加"))</f>
        <v/>
      </c>
      <c r="P368" s="74" t="n">
        <v>366</v>
      </c>
      <c r="Q368" s="74" t="str">
        <f aca="false">IF(元データ_B!$A$366="","",元データ_B!$A$366)</f>
        <v/>
      </c>
      <c r="R368" s="74" t="str">
        <f aca="false">IF(LEFT(Q368,1)="(",IFERROR(VALUE(MID(Q368,2,FIND(")",Q368)-2)),""),"")</f>
        <v/>
      </c>
      <c r="S368" s="75" t="str">
        <f aca="false">IF($R368="","",N(元データ_B!$B$366))</f>
        <v/>
      </c>
      <c r="T368" s="75" t="str">
        <f aca="false">IF($R368="","",N(元データ_B!$F$366))</f>
        <v/>
      </c>
      <c r="U368" s="74" t="str">
        <f aca="false">IF($R368="","",IF(COUNTIF(店舗マスタ!$B$5:$B$304,$R368)&gt;0,"登録済","未登録→マスタに追加"))</f>
        <v/>
      </c>
    </row>
    <row r="369" customFormat="false" ht="15" hidden="false" customHeight="false" outlineLevel="0" collapsed="false">
      <c r="A369" s="74" t="n">
        <v>367</v>
      </c>
      <c r="B369" s="74" t="str">
        <f aca="false">IF(元データ_PB合計!$A$367="","",元データ_PB合計!$A$367)</f>
        <v/>
      </c>
      <c r="C369" s="74" t="str">
        <f aca="false">IF(LEFT(B369,1)="(",IFERROR(VALUE(MID(B369,2,FIND(")",B369)-2)),""),"")</f>
        <v/>
      </c>
      <c r="D369" s="75" t="str">
        <f aca="false">IF($C369="","",N(元データ_PB合計!$B$367))</f>
        <v/>
      </c>
      <c r="E369" s="75" t="str">
        <f aca="false">IF($C369="","",N(元データ_PB合計!$C$367))</f>
        <v/>
      </c>
      <c r="F369" s="75" t="str">
        <f aca="false">IF($C369="","",N(元データ_PB合計!$F$367))</f>
        <v/>
      </c>
      <c r="G369" s="74" t="str">
        <f aca="false">IF($C369="","",IF(COUNTIF(店舗マスタ!$B$5:$B$304,$C369)&gt;0,"登録済","未登録→マスタに追加"))</f>
        <v/>
      </c>
      <c r="I369" s="74" t="n">
        <v>367</v>
      </c>
      <c r="J369" s="74" t="str">
        <f aca="false">IF(元データ_P!$A$367="","",元データ_P!$A$367)</f>
        <v/>
      </c>
      <c r="K369" s="74" t="str">
        <f aca="false">IF(LEFT(J369,1)="(",IFERROR(VALUE(MID(J369,2,FIND(")",J369)-2)),""),"")</f>
        <v/>
      </c>
      <c r="L369" s="75" t="str">
        <f aca="false">IF($K369="","",N(元データ_P!$B$367))</f>
        <v/>
      </c>
      <c r="M369" s="75" t="str">
        <f aca="false">IF($K369="","",N(元データ_P!$F$367))</f>
        <v/>
      </c>
      <c r="N369" s="74" t="str">
        <f aca="false">IF($K369="","",IF(COUNTIF(店舗マスタ!$B$5:$B$304,$K369)&gt;0,"登録済","未登録→マスタに追加"))</f>
        <v/>
      </c>
      <c r="P369" s="74" t="n">
        <v>367</v>
      </c>
      <c r="Q369" s="74" t="str">
        <f aca="false">IF(元データ_B!$A$367="","",元データ_B!$A$367)</f>
        <v/>
      </c>
      <c r="R369" s="74" t="str">
        <f aca="false">IF(LEFT(Q369,1)="(",IFERROR(VALUE(MID(Q369,2,FIND(")",Q369)-2)),""),"")</f>
        <v/>
      </c>
      <c r="S369" s="75" t="str">
        <f aca="false">IF($R369="","",N(元データ_B!$B$367))</f>
        <v/>
      </c>
      <c r="T369" s="75" t="str">
        <f aca="false">IF($R369="","",N(元データ_B!$F$367))</f>
        <v/>
      </c>
      <c r="U369" s="74" t="str">
        <f aca="false">IF($R369="","",IF(COUNTIF(店舗マスタ!$B$5:$B$304,$R369)&gt;0,"登録済","未登録→マスタに追加"))</f>
        <v/>
      </c>
    </row>
    <row r="370" customFormat="false" ht="15" hidden="false" customHeight="false" outlineLevel="0" collapsed="false">
      <c r="A370" s="74" t="n">
        <v>368</v>
      </c>
      <c r="B370" s="74" t="str">
        <f aca="false">IF(元データ_PB合計!$A$368="","",元データ_PB合計!$A$368)</f>
        <v/>
      </c>
      <c r="C370" s="74" t="str">
        <f aca="false">IF(LEFT(B370,1)="(",IFERROR(VALUE(MID(B370,2,FIND(")",B370)-2)),""),"")</f>
        <v/>
      </c>
      <c r="D370" s="75" t="str">
        <f aca="false">IF($C370="","",N(元データ_PB合計!$B$368))</f>
        <v/>
      </c>
      <c r="E370" s="75" t="str">
        <f aca="false">IF($C370="","",N(元データ_PB合計!$C$368))</f>
        <v/>
      </c>
      <c r="F370" s="75" t="str">
        <f aca="false">IF($C370="","",N(元データ_PB合計!$F$368))</f>
        <v/>
      </c>
      <c r="G370" s="74" t="str">
        <f aca="false">IF($C370="","",IF(COUNTIF(店舗マスタ!$B$5:$B$304,$C370)&gt;0,"登録済","未登録→マスタに追加"))</f>
        <v/>
      </c>
      <c r="I370" s="74" t="n">
        <v>368</v>
      </c>
      <c r="J370" s="74" t="str">
        <f aca="false">IF(元データ_P!$A$368="","",元データ_P!$A$368)</f>
        <v/>
      </c>
      <c r="K370" s="74" t="str">
        <f aca="false">IF(LEFT(J370,1)="(",IFERROR(VALUE(MID(J370,2,FIND(")",J370)-2)),""),"")</f>
        <v/>
      </c>
      <c r="L370" s="75" t="str">
        <f aca="false">IF($K370="","",N(元データ_P!$B$368))</f>
        <v/>
      </c>
      <c r="M370" s="75" t="str">
        <f aca="false">IF($K370="","",N(元データ_P!$F$368))</f>
        <v/>
      </c>
      <c r="N370" s="74" t="str">
        <f aca="false">IF($K370="","",IF(COUNTIF(店舗マスタ!$B$5:$B$304,$K370)&gt;0,"登録済","未登録→マスタに追加"))</f>
        <v/>
      </c>
      <c r="P370" s="74" t="n">
        <v>368</v>
      </c>
      <c r="Q370" s="74" t="str">
        <f aca="false">IF(元データ_B!$A$368="","",元データ_B!$A$368)</f>
        <v/>
      </c>
      <c r="R370" s="74" t="str">
        <f aca="false">IF(LEFT(Q370,1)="(",IFERROR(VALUE(MID(Q370,2,FIND(")",Q370)-2)),""),"")</f>
        <v/>
      </c>
      <c r="S370" s="75" t="str">
        <f aca="false">IF($R370="","",N(元データ_B!$B$368))</f>
        <v/>
      </c>
      <c r="T370" s="75" t="str">
        <f aca="false">IF($R370="","",N(元データ_B!$F$368))</f>
        <v/>
      </c>
      <c r="U370" s="74" t="str">
        <f aca="false">IF($R370="","",IF(COUNTIF(店舗マスタ!$B$5:$B$304,$R370)&gt;0,"登録済","未登録→マスタに追加"))</f>
        <v/>
      </c>
    </row>
    <row r="371" customFormat="false" ht="15" hidden="false" customHeight="false" outlineLevel="0" collapsed="false">
      <c r="A371" s="74" t="n">
        <v>369</v>
      </c>
      <c r="B371" s="74" t="str">
        <f aca="false">IF(元データ_PB合計!$A$369="","",元データ_PB合計!$A$369)</f>
        <v/>
      </c>
      <c r="C371" s="74" t="str">
        <f aca="false">IF(LEFT(B371,1)="(",IFERROR(VALUE(MID(B371,2,FIND(")",B371)-2)),""),"")</f>
        <v/>
      </c>
      <c r="D371" s="75" t="str">
        <f aca="false">IF($C371="","",N(元データ_PB合計!$B$369))</f>
        <v/>
      </c>
      <c r="E371" s="75" t="str">
        <f aca="false">IF($C371="","",N(元データ_PB合計!$C$369))</f>
        <v/>
      </c>
      <c r="F371" s="75" t="str">
        <f aca="false">IF($C371="","",N(元データ_PB合計!$F$369))</f>
        <v/>
      </c>
      <c r="G371" s="74" t="str">
        <f aca="false">IF($C371="","",IF(COUNTIF(店舗マスタ!$B$5:$B$304,$C371)&gt;0,"登録済","未登録→マスタに追加"))</f>
        <v/>
      </c>
      <c r="I371" s="74" t="n">
        <v>369</v>
      </c>
      <c r="J371" s="74" t="str">
        <f aca="false">IF(元データ_P!$A$369="","",元データ_P!$A$369)</f>
        <v/>
      </c>
      <c r="K371" s="74" t="str">
        <f aca="false">IF(LEFT(J371,1)="(",IFERROR(VALUE(MID(J371,2,FIND(")",J371)-2)),""),"")</f>
        <v/>
      </c>
      <c r="L371" s="75" t="str">
        <f aca="false">IF($K371="","",N(元データ_P!$B$369))</f>
        <v/>
      </c>
      <c r="M371" s="75" t="str">
        <f aca="false">IF($K371="","",N(元データ_P!$F$369))</f>
        <v/>
      </c>
      <c r="N371" s="74" t="str">
        <f aca="false">IF($K371="","",IF(COUNTIF(店舗マスタ!$B$5:$B$304,$K371)&gt;0,"登録済","未登録→マスタに追加"))</f>
        <v/>
      </c>
      <c r="P371" s="74" t="n">
        <v>369</v>
      </c>
      <c r="Q371" s="74" t="str">
        <f aca="false">IF(元データ_B!$A$369="","",元データ_B!$A$369)</f>
        <v/>
      </c>
      <c r="R371" s="74" t="str">
        <f aca="false">IF(LEFT(Q371,1)="(",IFERROR(VALUE(MID(Q371,2,FIND(")",Q371)-2)),""),"")</f>
        <v/>
      </c>
      <c r="S371" s="75" t="str">
        <f aca="false">IF($R371="","",N(元データ_B!$B$369))</f>
        <v/>
      </c>
      <c r="T371" s="75" t="str">
        <f aca="false">IF($R371="","",N(元データ_B!$F$369))</f>
        <v/>
      </c>
      <c r="U371" s="74" t="str">
        <f aca="false">IF($R371="","",IF(COUNTIF(店舗マスタ!$B$5:$B$304,$R371)&gt;0,"登録済","未登録→マスタに追加"))</f>
        <v/>
      </c>
    </row>
    <row r="372" customFormat="false" ht="15" hidden="false" customHeight="false" outlineLevel="0" collapsed="false">
      <c r="A372" s="74" t="n">
        <v>370</v>
      </c>
      <c r="B372" s="74" t="str">
        <f aca="false">IF(元データ_PB合計!$A$370="","",元データ_PB合計!$A$370)</f>
        <v/>
      </c>
      <c r="C372" s="74" t="str">
        <f aca="false">IF(LEFT(B372,1)="(",IFERROR(VALUE(MID(B372,2,FIND(")",B372)-2)),""),"")</f>
        <v/>
      </c>
      <c r="D372" s="75" t="str">
        <f aca="false">IF($C372="","",N(元データ_PB合計!$B$370))</f>
        <v/>
      </c>
      <c r="E372" s="75" t="str">
        <f aca="false">IF($C372="","",N(元データ_PB合計!$C$370))</f>
        <v/>
      </c>
      <c r="F372" s="75" t="str">
        <f aca="false">IF($C372="","",N(元データ_PB合計!$F$370))</f>
        <v/>
      </c>
      <c r="G372" s="74" t="str">
        <f aca="false">IF($C372="","",IF(COUNTIF(店舗マスタ!$B$5:$B$304,$C372)&gt;0,"登録済","未登録→マスタに追加"))</f>
        <v/>
      </c>
      <c r="I372" s="74" t="n">
        <v>370</v>
      </c>
      <c r="J372" s="74" t="str">
        <f aca="false">IF(元データ_P!$A$370="","",元データ_P!$A$370)</f>
        <v/>
      </c>
      <c r="K372" s="74" t="str">
        <f aca="false">IF(LEFT(J372,1)="(",IFERROR(VALUE(MID(J372,2,FIND(")",J372)-2)),""),"")</f>
        <v/>
      </c>
      <c r="L372" s="75" t="str">
        <f aca="false">IF($K372="","",N(元データ_P!$B$370))</f>
        <v/>
      </c>
      <c r="M372" s="75" t="str">
        <f aca="false">IF($K372="","",N(元データ_P!$F$370))</f>
        <v/>
      </c>
      <c r="N372" s="74" t="str">
        <f aca="false">IF($K372="","",IF(COUNTIF(店舗マスタ!$B$5:$B$304,$K372)&gt;0,"登録済","未登録→マスタに追加"))</f>
        <v/>
      </c>
      <c r="P372" s="74" t="n">
        <v>370</v>
      </c>
      <c r="Q372" s="74" t="str">
        <f aca="false">IF(元データ_B!$A$370="","",元データ_B!$A$370)</f>
        <v/>
      </c>
      <c r="R372" s="74" t="str">
        <f aca="false">IF(LEFT(Q372,1)="(",IFERROR(VALUE(MID(Q372,2,FIND(")",Q372)-2)),""),"")</f>
        <v/>
      </c>
      <c r="S372" s="75" t="str">
        <f aca="false">IF($R372="","",N(元データ_B!$B$370))</f>
        <v/>
      </c>
      <c r="T372" s="75" t="str">
        <f aca="false">IF($R372="","",N(元データ_B!$F$370))</f>
        <v/>
      </c>
      <c r="U372" s="74" t="str">
        <f aca="false">IF($R372="","",IF(COUNTIF(店舗マスタ!$B$5:$B$304,$R372)&gt;0,"登録済","未登録→マスタに追加"))</f>
        <v/>
      </c>
    </row>
    <row r="373" customFormat="false" ht="15" hidden="false" customHeight="false" outlineLevel="0" collapsed="false">
      <c r="A373" s="74" t="n">
        <v>371</v>
      </c>
      <c r="B373" s="74" t="str">
        <f aca="false">IF(元データ_PB合計!$A$371="","",元データ_PB合計!$A$371)</f>
        <v/>
      </c>
      <c r="C373" s="74" t="str">
        <f aca="false">IF(LEFT(B373,1)="(",IFERROR(VALUE(MID(B373,2,FIND(")",B373)-2)),""),"")</f>
        <v/>
      </c>
      <c r="D373" s="75" t="str">
        <f aca="false">IF($C373="","",N(元データ_PB合計!$B$371))</f>
        <v/>
      </c>
      <c r="E373" s="75" t="str">
        <f aca="false">IF($C373="","",N(元データ_PB合計!$C$371))</f>
        <v/>
      </c>
      <c r="F373" s="75" t="str">
        <f aca="false">IF($C373="","",N(元データ_PB合計!$F$371))</f>
        <v/>
      </c>
      <c r="G373" s="74" t="str">
        <f aca="false">IF($C373="","",IF(COUNTIF(店舗マスタ!$B$5:$B$304,$C373)&gt;0,"登録済","未登録→マスタに追加"))</f>
        <v/>
      </c>
      <c r="I373" s="74" t="n">
        <v>371</v>
      </c>
      <c r="J373" s="74" t="str">
        <f aca="false">IF(元データ_P!$A$371="","",元データ_P!$A$371)</f>
        <v/>
      </c>
      <c r="K373" s="74" t="str">
        <f aca="false">IF(LEFT(J373,1)="(",IFERROR(VALUE(MID(J373,2,FIND(")",J373)-2)),""),"")</f>
        <v/>
      </c>
      <c r="L373" s="75" t="str">
        <f aca="false">IF($K373="","",N(元データ_P!$B$371))</f>
        <v/>
      </c>
      <c r="M373" s="75" t="str">
        <f aca="false">IF($K373="","",N(元データ_P!$F$371))</f>
        <v/>
      </c>
      <c r="N373" s="74" t="str">
        <f aca="false">IF($K373="","",IF(COUNTIF(店舗マスタ!$B$5:$B$304,$K373)&gt;0,"登録済","未登録→マスタに追加"))</f>
        <v/>
      </c>
      <c r="P373" s="74" t="n">
        <v>371</v>
      </c>
      <c r="Q373" s="74" t="str">
        <f aca="false">IF(元データ_B!$A$371="","",元データ_B!$A$371)</f>
        <v/>
      </c>
      <c r="R373" s="74" t="str">
        <f aca="false">IF(LEFT(Q373,1)="(",IFERROR(VALUE(MID(Q373,2,FIND(")",Q373)-2)),""),"")</f>
        <v/>
      </c>
      <c r="S373" s="75" t="str">
        <f aca="false">IF($R373="","",N(元データ_B!$B$371))</f>
        <v/>
      </c>
      <c r="T373" s="75" t="str">
        <f aca="false">IF($R373="","",N(元データ_B!$F$371))</f>
        <v/>
      </c>
      <c r="U373" s="74" t="str">
        <f aca="false">IF($R373="","",IF(COUNTIF(店舗マスタ!$B$5:$B$304,$R373)&gt;0,"登録済","未登録→マスタに追加"))</f>
        <v/>
      </c>
    </row>
    <row r="374" customFormat="false" ht="15" hidden="false" customHeight="false" outlineLevel="0" collapsed="false">
      <c r="A374" s="74" t="n">
        <v>372</v>
      </c>
      <c r="B374" s="74" t="str">
        <f aca="false">IF(元データ_PB合計!$A$372="","",元データ_PB合計!$A$372)</f>
        <v/>
      </c>
      <c r="C374" s="74" t="str">
        <f aca="false">IF(LEFT(B374,1)="(",IFERROR(VALUE(MID(B374,2,FIND(")",B374)-2)),""),"")</f>
        <v/>
      </c>
      <c r="D374" s="75" t="str">
        <f aca="false">IF($C374="","",N(元データ_PB合計!$B$372))</f>
        <v/>
      </c>
      <c r="E374" s="75" t="str">
        <f aca="false">IF($C374="","",N(元データ_PB合計!$C$372))</f>
        <v/>
      </c>
      <c r="F374" s="75" t="str">
        <f aca="false">IF($C374="","",N(元データ_PB合計!$F$372))</f>
        <v/>
      </c>
      <c r="G374" s="74" t="str">
        <f aca="false">IF($C374="","",IF(COUNTIF(店舗マスタ!$B$5:$B$304,$C374)&gt;0,"登録済","未登録→マスタに追加"))</f>
        <v/>
      </c>
      <c r="I374" s="74" t="n">
        <v>372</v>
      </c>
      <c r="J374" s="74" t="str">
        <f aca="false">IF(元データ_P!$A$372="","",元データ_P!$A$372)</f>
        <v/>
      </c>
      <c r="K374" s="74" t="str">
        <f aca="false">IF(LEFT(J374,1)="(",IFERROR(VALUE(MID(J374,2,FIND(")",J374)-2)),""),"")</f>
        <v/>
      </c>
      <c r="L374" s="75" t="str">
        <f aca="false">IF($K374="","",N(元データ_P!$B$372))</f>
        <v/>
      </c>
      <c r="M374" s="75" t="str">
        <f aca="false">IF($K374="","",N(元データ_P!$F$372))</f>
        <v/>
      </c>
      <c r="N374" s="74" t="str">
        <f aca="false">IF($K374="","",IF(COUNTIF(店舗マスタ!$B$5:$B$304,$K374)&gt;0,"登録済","未登録→マスタに追加"))</f>
        <v/>
      </c>
      <c r="P374" s="74" t="n">
        <v>372</v>
      </c>
      <c r="Q374" s="74" t="str">
        <f aca="false">IF(元データ_B!$A$372="","",元データ_B!$A$372)</f>
        <v/>
      </c>
      <c r="R374" s="74" t="str">
        <f aca="false">IF(LEFT(Q374,1)="(",IFERROR(VALUE(MID(Q374,2,FIND(")",Q374)-2)),""),"")</f>
        <v/>
      </c>
      <c r="S374" s="75" t="str">
        <f aca="false">IF($R374="","",N(元データ_B!$B$372))</f>
        <v/>
      </c>
      <c r="T374" s="75" t="str">
        <f aca="false">IF($R374="","",N(元データ_B!$F$372))</f>
        <v/>
      </c>
      <c r="U374" s="74" t="str">
        <f aca="false">IF($R374="","",IF(COUNTIF(店舗マスタ!$B$5:$B$304,$R374)&gt;0,"登録済","未登録→マスタに追加"))</f>
        <v/>
      </c>
    </row>
    <row r="375" customFormat="false" ht="15" hidden="false" customHeight="false" outlineLevel="0" collapsed="false">
      <c r="A375" s="74" t="n">
        <v>373</v>
      </c>
      <c r="B375" s="74" t="str">
        <f aca="false">IF(元データ_PB合計!$A$373="","",元データ_PB合計!$A$373)</f>
        <v/>
      </c>
      <c r="C375" s="74" t="str">
        <f aca="false">IF(LEFT(B375,1)="(",IFERROR(VALUE(MID(B375,2,FIND(")",B375)-2)),""),"")</f>
        <v/>
      </c>
      <c r="D375" s="75" t="str">
        <f aca="false">IF($C375="","",N(元データ_PB合計!$B$373))</f>
        <v/>
      </c>
      <c r="E375" s="75" t="str">
        <f aca="false">IF($C375="","",N(元データ_PB合計!$C$373))</f>
        <v/>
      </c>
      <c r="F375" s="75" t="str">
        <f aca="false">IF($C375="","",N(元データ_PB合計!$F$373))</f>
        <v/>
      </c>
      <c r="G375" s="74" t="str">
        <f aca="false">IF($C375="","",IF(COUNTIF(店舗マスタ!$B$5:$B$304,$C375)&gt;0,"登録済","未登録→マスタに追加"))</f>
        <v/>
      </c>
      <c r="I375" s="74" t="n">
        <v>373</v>
      </c>
      <c r="J375" s="74" t="str">
        <f aca="false">IF(元データ_P!$A$373="","",元データ_P!$A$373)</f>
        <v/>
      </c>
      <c r="K375" s="74" t="str">
        <f aca="false">IF(LEFT(J375,1)="(",IFERROR(VALUE(MID(J375,2,FIND(")",J375)-2)),""),"")</f>
        <v/>
      </c>
      <c r="L375" s="75" t="str">
        <f aca="false">IF($K375="","",N(元データ_P!$B$373))</f>
        <v/>
      </c>
      <c r="M375" s="75" t="str">
        <f aca="false">IF($K375="","",N(元データ_P!$F$373))</f>
        <v/>
      </c>
      <c r="N375" s="74" t="str">
        <f aca="false">IF($K375="","",IF(COUNTIF(店舗マスタ!$B$5:$B$304,$K375)&gt;0,"登録済","未登録→マスタに追加"))</f>
        <v/>
      </c>
      <c r="P375" s="74" t="n">
        <v>373</v>
      </c>
      <c r="Q375" s="74" t="str">
        <f aca="false">IF(元データ_B!$A$373="","",元データ_B!$A$373)</f>
        <v/>
      </c>
      <c r="R375" s="74" t="str">
        <f aca="false">IF(LEFT(Q375,1)="(",IFERROR(VALUE(MID(Q375,2,FIND(")",Q375)-2)),""),"")</f>
        <v/>
      </c>
      <c r="S375" s="75" t="str">
        <f aca="false">IF($R375="","",N(元データ_B!$B$373))</f>
        <v/>
      </c>
      <c r="T375" s="75" t="str">
        <f aca="false">IF($R375="","",N(元データ_B!$F$373))</f>
        <v/>
      </c>
      <c r="U375" s="74" t="str">
        <f aca="false">IF($R375="","",IF(COUNTIF(店舗マスタ!$B$5:$B$304,$R375)&gt;0,"登録済","未登録→マスタに追加"))</f>
        <v/>
      </c>
    </row>
    <row r="376" customFormat="false" ht="15" hidden="false" customHeight="false" outlineLevel="0" collapsed="false">
      <c r="A376" s="74" t="n">
        <v>374</v>
      </c>
      <c r="B376" s="74" t="str">
        <f aca="false">IF(元データ_PB合計!$A$374="","",元データ_PB合計!$A$374)</f>
        <v/>
      </c>
      <c r="C376" s="74" t="str">
        <f aca="false">IF(LEFT(B376,1)="(",IFERROR(VALUE(MID(B376,2,FIND(")",B376)-2)),""),"")</f>
        <v/>
      </c>
      <c r="D376" s="75" t="str">
        <f aca="false">IF($C376="","",N(元データ_PB合計!$B$374))</f>
        <v/>
      </c>
      <c r="E376" s="75" t="str">
        <f aca="false">IF($C376="","",N(元データ_PB合計!$C$374))</f>
        <v/>
      </c>
      <c r="F376" s="75" t="str">
        <f aca="false">IF($C376="","",N(元データ_PB合計!$F$374))</f>
        <v/>
      </c>
      <c r="G376" s="74" t="str">
        <f aca="false">IF($C376="","",IF(COUNTIF(店舗マスタ!$B$5:$B$304,$C376)&gt;0,"登録済","未登録→マスタに追加"))</f>
        <v/>
      </c>
      <c r="I376" s="74" t="n">
        <v>374</v>
      </c>
      <c r="J376" s="74" t="str">
        <f aca="false">IF(元データ_P!$A$374="","",元データ_P!$A$374)</f>
        <v/>
      </c>
      <c r="K376" s="74" t="str">
        <f aca="false">IF(LEFT(J376,1)="(",IFERROR(VALUE(MID(J376,2,FIND(")",J376)-2)),""),"")</f>
        <v/>
      </c>
      <c r="L376" s="75" t="str">
        <f aca="false">IF($K376="","",N(元データ_P!$B$374))</f>
        <v/>
      </c>
      <c r="M376" s="75" t="str">
        <f aca="false">IF($K376="","",N(元データ_P!$F$374))</f>
        <v/>
      </c>
      <c r="N376" s="74" t="str">
        <f aca="false">IF($K376="","",IF(COUNTIF(店舗マスタ!$B$5:$B$304,$K376)&gt;0,"登録済","未登録→マスタに追加"))</f>
        <v/>
      </c>
      <c r="P376" s="74" t="n">
        <v>374</v>
      </c>
      <c r="Q376" s="74" t="str">
        <f aca="false">IF(元データ_B!$A$374="","",元データ_B!$A$374)</f>
        <v/>
      </c>
      <c r="R376" s="74" t="str">
        <f aca="false">IF(LEFT(Q376,1)="(",IFERROR(VALUE(MID(Q376,2,FIND(")",Q376)-2)),""),"")</f>
        <v/>
      </c>
      <c r="S376" s="75" t="str">
        <f aca="false">IF($R376="","",N(元データ_B!$B$374))</f>
        <v/>
      </c>
      <c r="T376" s="75" t="str">
        <f aca="false">IF($R376="","",N(元データ_B!$F$374))</f>
        <v/>
      </c>
      <c r="U376" s="74" t="str">
        <f aca="false">IF($R376="","",IF(COUNTIF(店舗マスタ!$B$5:$B$304,$R376)&gt;0,"登録済","未登録→マスタに追加"))</f>
        <v/>
      </c>
    </row>
    <row r="377" customFormat="false" ht="15" hidden="false" customHeight="false" outlineLevel="0" collapsed="false">
      <c r="A377" s="74" t="n">
        <v>375</v>
      </c>
      <c r="B377" s="74" t="str">
        <f aca="false">IF(元データ_PB合計!$A$375="","",元データ_PB合計!$A$375)</f>
        <v/>
      </c>
      <c r="C377" s="74" t="str">
        <f aca="false">IF(LEFT(B377,1)="(",IFERROR(VALUE(MID(B377,2,FIND(")",B377)-2)),""),"")</f>
        <v/>
      </c>
      <c r="D377" s="75" t="str">
        <f aca="false">IF($C377="","",N(元データ_PB合計!$B$375))</f>
        <v/>
      </c>
      <c r="E377" s="75" t="str">
        <f aca="false">IF($C377="","",N(元データ_PB合計!$C$375))</f>
        <v/>
      </c>
      <c r="F377" s="75" t="str">
        <f aca="false">IF($C377="","",N(元データ_PB合計!$F$375))</f>
        <v/>
      </c>
      <c r="G377" s="74" t="str">
        <f aca="false">IF($C377="","",IF(COUNTIF(店舗マスタ!$B$5:$B$304,$C377)&gt;0,"登録済","未登録→マスタに追加"))</f>
        <v/>
      </c>
      <c r="I377" s="74" t="n">
        <v>375</v>
      </c>
      <c r="J377" s="74" t="str">
        <f aca="false">IF(元データ_P!$A$375="","",元データ_P!$A$375)</f>
        <v/>
      </c>
      <c r="K377" s="74" t="str">
        <f aca="false">IF(LEFT(J377,1)="(",IFERROR(VALUE(MID(J377,2,FIND(")",J377)-2)),""),"")</f>
        <v/>
      </c>
      <c r="L377" s="75" t="str">
        <f aca="false">IF($K377="","",N(元データ_P!$B$375))</f>
        <v/>
      </c>
      <c r="M377" s="75" t="str">
        <f aca="false">IF($K377="","",N(元データ_P!$F$375))</f>
        <v/>
      </c>
      <c r="N377" s="74" t="str">
        <f aca="false">IF($K377="","",IF(COUNTIF(店舗マスタ!$B$5:$B$304,$K377)&gt;0,"登録済","未登録→マスタに追加"))</f>
        <v/>
      </c>
      <c r="P377" s="74" t="n">
        <v>375</v>
      </c>
      <c r="Q377" s="74" t="str">
        <f aca="false">IF(元データ_B!$A$375="","",元データ_B!$A$375)</f>
        <v/>
      </c>
      <c r="R377" s="74" t="str">
        <f aca="false">IF(LEFT(Q377,1)="(",IFERROR(VALUE(MID(Q377,2,FIND(")",Q377)-2)),""),"")</f>
        <v/>
      </c>
      <c r="S377" s="75" t="str">
        <f aca="false">IF($R377="","",N(元データ_B!$B$375))</f>
        <v/>
      </c>
      <c r="T377" s="75" t="str">
        <f aca="false">IF($R377="","",N(元データ_B!$F$375))</f>
        <v/>
      </c>
      <c r="U377" s="74" t="str">
        <f aca="false">IF($R377="","",IF(COUNTIF(店舗マスタ!$B$5:$B$304,$R377)&gt;0,"登録済","未登録→マスタに追加"))</f>
        <v/>
      </c>
    </row>
    <row r="378" customFormat="false" ht="15" hidden="false" customHeight="false" outlineLevel="0" collapsed="false">
      <c r="A378" s="74" t="n">
        <v>376</v>
      </c>
      <c r="B378" s="74" t="str">
        <f aca="false">IF(元データ_PB合計!$A$376="","",元データ_PB合計!$A$376)</f>
        <v/>
      </c>
      <c r="C378" s="74" t="str">
        <f aca="false">IF(LEFT(B378,1)="(",IFERROR(VALUE(MID(B378,2,FIND(")",B378)-2)),""),"")</f>
        <v/>
      </c>
      <c r="D378" s="75" t="str">
        <f aca="false">IF($C378="","",N(元データ_PB合計!$B$376))</f>
        <v/>
      </c>
      <c r="E378" s="75" t="str">
        <f aca="false">IF($C378="","",N(元データ_PB合計!$C$376))</f>
        <v/>
      </c>
      <c r="F378" s="75" t="str">
        <f aca="false">IF($C378="","",N(元データ_PB合計!$F$376))</f>
        <v/>
      </c>
      <c r="G378" s="74" t="str">
        <f aca="false">IF($C378="","",IF(COUNTIF(店舗マスタ!$B$5:$B$304,$C378)&gt;0,"登録済","未登録→マスタに追加"))</f>
        <v/>
      </c>
      <c r="I378" s="74" t="n">
        <v>376</v>
      </c>
      <c r="J378" s="74" t="str">
        <f aca="false">IF(元データ_P!$A$376="","",元データ_P!$A$376)</f>
        <v/>
      </c>
      <c r="K378" s="74" t="str">
        <f aca="false">IF(LEFT(J378,1)="(",IFERROR(VALUE(MID(J378,2,FIND(")",J378)-2)),""),"")</f>
        <v/>
      </c>
      <c r="L378" s="75" t="str">
        <f aca="false">IF($K378="","",N(元データ_P!$B$376))</f>
        <v/>
      </c>
      <c r="M378" s="75" t="str">
        <f aca="false">IF($K378="","",N(元データ_P!$F$376))</f>
        <v/>
      </c>
      <c r="N378" s="74" t="str">
        <f aca="false">IF($K378="","",IF(COUNTIF(店舗マスタ!$B$5:$B$304,$K378)&gt;0,"登録済","未登録→マスタに追加"))</f>
        <v/>
      </c>
      <c r="P378" s="74" t="n">
        <v>376</v>
      </c>
      <c r="Q378" s="74" t="str">
        <f aca="false">IF(元データ_B!$A$376="","",元データ_B!$A$376)</f>
        <v/>
      </c>
      <c r="R378" s="74" t="str">
        <f aca="false">IF(LEFT(Q378,1)="(",IFERROR(VALUE(MID(Q378,2,FIND(")",Q378)-2)),""),"")</f>
        <v/>
      </c>
      <c r="S378" s="75" t="str">
        <f aca="false">IF($R378="","",N(元データ_B!$B$376))</f>
        <v/>
      </c>
      <c r="T378" s="75" t="str">
        <f aca="false">IF($R378="","",N(元データ_B!$F$376))</f>
        <v/>
      </c>
      <c r="U378" s="74" t="str">
        <f aca="false">IF($R378="","",IF(COUNTIF(店舗マスタ!$B$5:$B$304,$R378)&gt;0,"登録済","未登録→マスタに追加"))</f>
        <v/>
      </c>
    </row>
    <row r="379" customFormat="false" ht="15" hidden="false" customHeight="false" outlineLevel="0" collapsed="false">
      <c r="A379" s="74" t="n">
        <v>377</v>
      </c>
      <c r="B379" s="74" t="str">
        <f aca="false">IF(元データ_PB合計!$A$377="","",元データ_PB合計!$A$377)</f>
        <v/>
      </c>
      <c r="C379" s="74" t="str">
        <f aca="false">IF(LEFT(B379,1)="(",IFERROR(VALUE(MID(B379,2,FIND(")",B379)-2)),""),"")</f>
        <v/>
      </c>
      <c r="D379" s="75" t="str">
        <f aca="false">IF($C379="","",N(元データ_PB合計!$B$377))</f>
        <v/>
      </c>
      <c r="E379" s="75" t="str">
        <f aca="false">IF($C379="","",N(元データ_PB合計!$C$377))</f>
        <v/>
      </c>
      <c r="F379" s="75" t="str">
        <f aca="false">IF($C379="","",N(元データ_PB合計!$F$377))</f>
        <v/>
      </c>
      <c r="G379" s="74" t="str">
        <f aca="false">IF($C379="","",IF(COUNTIF(店舗マスタ!$B$5:$B$304,$C379)&gt;0,"登録済","未登録→マスタに追加"))</f>
        <v/>
      </c>
      <c r="I379" s="74" t="n">
        <v>377</v>
      </c>
      <c r="J379" s="74" t="str">
        <f aca="false">IF(元データ_P!$A$377="","",元データ_P!$A$377)</f>
        <v/>
      </c>
      <c r="K379" s="74" t="str">
        <f aca="false">IF(LEFT(J379,1)="(",IFERROR(VALUE(MID(J379,2,FIND(")",J379)-2)),""),"")</f>
        <v/>
      </c>
      <c r="L379" s="75" t="str">
        <f aca="false">IF($K379="","",N(元データ_P!$B$377))</f>
        <v/>
      </c>
      <c r="M379" s="75" t="str">
        <f aca="false">IF($K379="","",N(元データ_P!$F$377))</f>
        <v/>
      </c>
      <c r="N379" s="74" t="str">
        <f aca="false">IF($K379="","",IF(COUNTIF(店舗マスタ!$B$5:$B$304,$K379)&gt;0,"登録済","未登録→マスタに追加"))</f>
        <v/>
      </c>
      <c r="P379" s="74" t="n">
        <v>377</v>
      </c>
      <c r="Q379" s="74" t="str">
        <f aca="false">IF(元データ_B!$A$377="","",元データ_B!$A$377)</f>
        <v/>
      </c>
      <c r="R379" s="74" t="str">
        <f aca="false">IF(LEFT(Q379,1)="(",IFERROR(VALUE(MID(Q379,2,FIND(")",Q379)-2)),""),"")</f>
        <v/>
      </c>
      <c r="S379" s="75" t="str">
        <f aca="false">IF($R379="","",N(元データ_B!$B$377))</f>
        <v/>
      </c>
      <c r="T379" s="75" t="str">
        <f aca="false">IF($R379="","",N(元データ_B!$F$377))</f>
        <v/>
      </c>
      <c r="U379" s="74" t="str">
        <f aca="false">IF($R379="","",IF(COUNTIF(店舗マスタ!$B$5:$B$304,$R379)&gt;0,"登録済","未登録→マスタに追加"))</f>
        <v/>
      </c>
    </row>
    <row r="380" customFormat="false" ht="15" hidden="false" customHeight="false" outlineLevel="0" collapsed="false">
      <c r="A380" s="74" t="n">
        <v>378</v>
      </c>
      <c r="B380" s="74" t="str">
        <f aca="false">IF(元データ_PB合計!$A$378="","",元データ_PB合計!$A$378)</f>
        <v/>
      </c>
      <c r="C380" s="74" t="str">
        <f aca="false">IF(LEFT(B380,1)="(",IFERROR(VALUE(MID(B380,2,FIND(")",B380)-2)),""),"")</f>
        <v/>
      </c>
      <c r="D380" s="75" t="str">
        <f aca="false">IF($C380="","",N(元データ_PB合計!$B$378))</f>
        <v/>
      </c>
      <c r="E380" s="75" t="str">
        <f aca="false">IF($C380="","",N(元データ_PB合計!$C$378))</f>
        <v/>
      </c>
      <c r="F380" s="75" t="str">
        <f aca="false">IF($C380="","",N(元データ_PB合計!$F$378))</f>
        <v/>
      </c>
      <c r="G380" s="74" t="str">
        <f aca="false">IF($C380="","",IF(COUNTIF(店舗マスタ!$B$5:$B$304,$C380)&gt;0,"登録済","未登録→マスタに追加"))</f>
        <v/>
      </c>
      <c r="I380" s="74" t="n">
        <v>378</v>
      </c>
      <c r="J380" s="74" t="str">
        <f aca="false">IF(元データ_P!$A$378="","",元データ_P!$A$378)</f>
        <v/>
      </c>
      <c r="K380" s="74" t="str">
        <f aca="false">IF(LEFT(J380,1)="(",IFERROR(VALUE(MID(J380,2,FIND(")",J380)-2)),""),"")</f>
        <v/>
      </c>
      <c r="L380" s="75" t="str">
        <f aca="false">IF($K380="","",N(元データ_P!$B$378))</f>
        <v/>
      </c>
      <c r="M380" s="75" t="str">
        <f aca="false">IF($K380="","",N(元データ_P!$F$378))</f>
        <v/>
      </c>
      <c r="N380" s="74" t="str">
        <f aca="false">IF($K380="","",IF(COUNTIF(店舗マスタ!$B$5:$B$304,$K380)&gt;0,"登録済","未登録→マスタに追加"))</f>
        <v/>
      </c>
      <c r="P380" s="74" t="n">
        <v>378</v>
      </c>
      <c r="Q380" s="74" t="str">
        <f aca="false">IF(元データ_B!$A$378="","",元データ_B!$A$378)</f>
        <v/>
      </c>
      <c r="R380" s="74" t="str">
        <f aca="false">IF(LEFT(Q380,1)="(",IFERROR(VALUE(MID(Q380,2,FIND(")",Q380)-2)),""),"")</f>
        <v/>
      </c>
      <c r="S380" s="75" t="str">
        <f aca="false">IF($R380="","",N(元データ_B!$B$378))</f>
        <v/>
      </c>
      <c r="T380" s="75" t="str">
        <f aca="false">IF($R380="","",N(元データ_B!$F$378))</f>
        <v/>
      </c>
      <c r="U380" s="74" t="str">
        <f aca="false">IF($R380="","",IF(COUNTIF(店舗マスタ!$B$5:$B$304,$R380)&gt;0,"登録済","未登録→マスタに追加"))</f>
        <v/>
      </c>
    </row>
    <row r="381" customFormat="false" ht="15" hidden="false" customHeight="false" outlineLevel="0" collapsed="false">
      <c r="A381" s="74" t="n">
        <v>379</v>
      </c>
      <c r="B381" s="74" t="str">
        <f aca="false">IF(元データ_PB合計!$A$379="","",元データ_PB合計!$A$379)</f>
        <v/>
      </c>
      <c r="C381" s="74" t="str">
        <f aca="false">IF(LEFT(B381,1)="(",IFERROR(VALUE(MID(B381,2,FIND(")",B381)-2)),""),"")</f>
        <v/>
      </c>
      <c r="D381" s="75" t="str">
        <f aca="false">IF($C381="","",N(元データ_PB合計!$B$379))</f>
        <v/>
      </c>
      <c r="E381" s="75" t="str">
        <f aca="false">IF($C381="","",N(元データ_PB合計!$C$379))</f>
        <v/>
      </c>
      <c r="F381" s="75" t="str">
        <f aca="false">IF($C381="","",N(元データ_PB合計!$F$379))</f>
        <v/>
      </c>
      <c r="G381" s="74" t="str">
        <f aca="false">IF($C381="","",IF(COUNTIF(店舗マスタ!$B$5:$B$304,$C381)&gt;0,"登録済","未登録→マスタに追加"))</f>
        <v/>
      </c>
      <c r="I381" s="74" t="n">
        <v>379</v>
      </c>
      <c r="J381" s="74" t="str">
        <f aca="false">IF(元データ_P!$A$379="","",元データ_P!$A$379)</f>
        <v/>
      </c>
      <c r="K381" s="74" t="str">
        <f aca="false">IF(LEFT(J381,1)="(",IFERROR(VALUE(MID(J381,2,FIND(")",J381)-2)),""),"")</f>
        <v/>
      </c>
      <c r="L381" s="75" t="str">
        <f aca="false">IF($K381="","",N(元データ_P!$B$379))</f>
        <v/>
      </c>
      <c r="M381" s="75" t="str">
        <f aca="false">IF($K381="","",N(元データ_P!$F$379))</f>
        <v/>
      </c>
      <c r="N381" s="74" t="str">
        <f aca="false">IF($K381="","",IF(COUNTIF(店舗マスタ!$B$5:$B$304,$K381)&gt;0,"登録済","未登録→マスタに追加"))</f>
        <v/>
      </c>
      <c r="P381" s="74" t="n">
        <v>379</v>
      </c>
      <c r="Q381" s="74" t="str">
        <f aca="false">IF(元データ_B!$A$379="","",元データ_B!$A$379)</f>
        <v/>
      </c>
      <c r="R381" s="74" t="str">
        <f aca="false">IF(LEFT(Q381,1)="(",IFERROR(VALUE(MID(Q381,2,FIND(")",Q381)-2)),""),"")</f>
        <v/>
      </c>
      <c r="S381" s="75" t="str">
        <f aca="false">IF($R381="","",N(元データ_B!$B$379))</f>
        <v/>
      </c>
      <c r="T381" s="75" t="str">
        <f aca="false">IF($R381="","",N(元データ_B!$F$379))</f>
        <v/>
      </c>
      <c r="U381" s="74" t="str">
        <f aca="false">IF($R381="","",IF(COUNTIF(店舗マスタ!$B$5:$B$304,$R381)&gt;0,"登録済","未登録→マスタに追加"))</f>
        <v/>
      </c>
    </row>
    <row r="382" customFormat="false" ht="15" hidden="false" customHeight="false" outlineLevel="0" collapsed="false">
      <c r="A382" s="74" t="n">
        <v>380</v>
      </c>
      <c r="B382" s="74" t="str">
        <f aca="false">IF(元データ_PB合計!$A$380="","",元データ_PB合計!$A$380)</f>
        <v/>
      </c>
      <c r="C382" s="74" t="str">
        <f aca="false">IF(LEFT(B382,1)="(",IFERROR(VALUE(MID(B382,2,FIND(")",B382)-2)),""),"")</f>
        <v/>
      </c>
      <c r="D382" s="75" t="str">
        <f aca="false">IF($C382="","",N(元データ_PB合計!$B$380))</f>
        <v/>
      </c>
      <c r="E382" s="75" t="str">
        <f aca="false">IF($C382="","",N(元データ_PB合計!$C$380))</f>
        <v/>
      </c>
      <c r="F382" s="75" t="str">
        <f aca="false">IF($C382="","",N(元データ_PB合計!$F$380))</f>
        <v/>
      </c>
      <c r="G382" s="74" t="str">
        <f aca="false">IF($C382="","",IF(COUNTIF(店舗マスタ!$B$5:$B$304,$C382)&gt;0,"登録済","未登録→マスタに追加"))</f>
        <v/>
      </c>
      <c r="I382" s="74" t="n">
        <v>380</v>
      </c>
      <c r="J382" s="74" t="str">
        <f aca="false">IF(元データ_P!$A$380="","",元データ_P!$A$380)</f>
        <v/>
      </c>
      <c r="K382" s="74" t="str">
        <f aca="false">IF(LEFT(J382,1)="(",IFERROR(VALUE(MID(J382,2,FIND(")",J382)-2)),""),"")</f>
        <v/>
      </c>
      <c r="L382" s="75" t="str">
        <f aca="false">IF($K382="","",N(元データ_P!$B$380))</f>
        <v/>
      </c>
      <c r="M382" s="75" t="str">
        <f aca="false">IF($K382="","",N(元データ_P!$F$380))</f>
        <v/>
      </c>
      <c r="N382" s="74" t="str">
        <f aca="false">IF($K382="","",IF(COUNTIF(店舗マスタ!$B$5:$B$304,$K382)&gt;0,"登録済","未登録→マスタに追加"))</f>
        <v/>
      </c>
      <c r="P382" s="74" t="n">
        <v>380</v>
      </c>
      <c r="Q382" s="74" t="str">
        <f aca="false">IF(元データ_B!$A$380="","",元データ_B!$A$380)</f>
        <v/>
      </c>
      <c r="R382" s="74" t="str">
        <f aca="false">IF(LEFT(Q382,1)="(",IFERROR(VALUE(MID(Q382,2,FIND(")",Q382)-2)),""),"")</f>
        <v/>
      </c>
      <c r="S382" s="75" t="str">
        <f aca="false">IF($R382="","",N(元データ_B!$B$380))</f>
        <v/>
      </c>
      <c r="T382" s="75" t="str">
        <f aca="false">IF($R382="","",N(元データ_B!$F$380))</f>
        <v/>
      </c>
      <c r="U382" s="74" t="str">
        <f aca="false">IF($R382="","",IF(COUNTIF(店舗マスタ!$B$5:$B$304,$R382)&gt;0,"登録済","未登録→マスタに追加"))</f>
        <v/>
      </c>
    </row>
    <row r="383" customFormat="false" ht="15" hidden="false" customHeight="false" outlineLevel="0" collapsed="false">
      <c r="A383" s="74" t="n">
        <v>381</v>
      </c>
      <c r="B383" s="74" t="str">
        <f aca="false">IF(元データ_PB合計!$A$381="","",元データ_PB合計!$A$381)</f>
        <v/>
      </c>
      <c r="C383" s="74" t="str">
        <f aca="false">IF(LEFT(B383,1)="(",IFERROR(VALUE(MID(B383,2,FIND(")",B383)-2)),""),"")</f>
        <v/>
      </c>
      <c r="D383" s="75" t="str">
        <f aca="false">IF($C383="","",N(元データ_PB合計!$B$381))</f>
        <v/>
      </c>
      <c r="E383" s="75" t="str">
        <f aca="false">IF($C383="","",N(元データ_PB合計!$C$381))</f>
        <v/>
      </c>
      <c r="F383" s="75" t="str">
        <f aca="false">IF($C383="","",N(元データ_PB合計!$F$381))</f>
        <v/>
      </c>
      <c r="G383" s="74" t="str">
        <f aca="false">IF($C383="","",IF(COUNTIF(店舗マスタ!$B$5:$B$304,$C383)&gt;0,"登録済","未登録→マスタに追加"))</f>
        <v/>
      </c>
      <c r="I383" s="74" t="n">
        <v>381</v>
      </c>
      <c r="J383" s="74" t="str">
        <f aca="false">IF(元データ_P!$A$381="","",元データ_P!$A$381)</f>
        <v/>
      </c>
      <c r="K383" s="74" t="str">
        <f aca="false">IF(LEFT(J383,1)="(",IFERROR(VALUE(MID(J383,2,FIND(")",J383)-2)),""),"")</f>
        <v/>
      </c>
      <c r="L383" s="75" t="str">
        <f aca="false">IF($K383="","",N(元データ_P!$B$381))</f>
        <v/>
      </c>
      <c r="M383" s="75" t="str">
        <f aca="false">IF($K383="","",N(元データ_P!$F$381))</f>
        <v/>
      </c>
      <c r="N383" s="74" t="str">
        <f aca="false">IF($K383="","",IF(COUNTIF(店舗マスタ!$B$5:$B$304,$K383)&gt;0,"登録済","未登録→マスタに追加"))</f>
        <v/>
      </c>
      <c r="P383" s="74" t="n">
        <v>381</v>
      </c>
      <c r="Q383" s="74" t="str">
        <f aca="false">IF(元データ_B!$A$381="","",元データ_B!$A$381)</f>
        <v/>
      </c>
      <c r="R383" s="74" t="str">
        <f aca="false">IF(LEFT(Q383,1)="(",IFERROR(VALUE(MID(Q383,2,FIND(")",Q383)-2)),""),"")</f>
        <v/>
      </c>
      <c r="S383" s="75" t="str">
        <f aca="false">IF($R383="","",N(元データ_B!$B$381))</f>
        <v/>
      </c>
      <c r="T383" s="75" t="str">
        <f aca="false">IF($R383="","",N(元データ_B!$F$381))</f>
        <v/>
      </c>
      <c r="U383" s="74" t="str">
        <f aca="false">IF($R383="","",IF(COUNTIF(店舗マスタ!$B$5:$B$304,$R383)&gt;0,"登録済","未登録→マスタに追加"))</f>
        <v/>
      </c>
    </row>
    <row r="384" customFormat="false" ht="15" hidden="false" customHeight="false" outlineLevel="0" collapsed="false">
      <c r="A384" s="74" t="n">
        <v>382</v>
      </c>
      <c r="B384" s="74" t="str">
        <f aca="false">IF(元データ_PB合計!$A$382="","",元データ_PB合計!$A$382)</f>
        <v/>
      </c>
      <c r="C384" s="74" t="str">
        <f aca="false">IF(LEFT(B384,1)="(",IFERROR(VALUE(MID(B384,2,FIND(")",B384)-2)),""),"")</f>
        <v/>
      </c>
      <c r="D384" s="75" t="str">
        <f aca="false">IF($C384="","",N(元データ_PB合計!$B$382))</f>
        <v/>
      </c>
      <c r="E384" s="75" t="str">
        <f aca="false">IF($C384="","",N(元データ_PB合計!$C$382))</f>
        <v/>
      </c>
      <c r="F384" s="75" t="str">
        <f aca="false">IF($C384="","",N(元データ_PB合計!$F$382))</f>
        <v/>
      </c>
      <c r="G384" s="74" t="str">
        <f aca="false">IF($C384="","",IF(COUNTIF(店舗マスタ!$B$5:$B$304,$C384)&gt;0,"登録済","未登録→マスタに追加"))</f>
        <v/>
      </c>
      <c r="I384" s="74" t="n">
        <v>382</v>
      </c>
      <c r="J384" s="74" t="str">
        <f aca="false">IF(元データ_P!$A$382="","",元データ_P!$A$382)</f>
        <v/>
      </c>
      <c r="K384" s="74" t="str">
        <f aca="false">IF(LEFT(J384,1)="(",IFERROR(VALUE(MID(J384,2,FIND(")",J384)-2)),""),"")</f>
        <v/>
      </c>
      <c r="L384" s="75" t="str">
        <f aca="false">IF($K384="","",N(元データ_P!$B$382))</f>
        <v/>
      </c>
      <c r="M384" s="75" t="str">
        <f aca="false">IF($K384="","",N(元データ_P!$F$382))</f>
        <v/>
      </c>
      <c r="N384" s="74" t="str">
        <f aca="false">IF($K384="","",IF(COUNTIF(店舗マスタ!$B$5:$B$304,$K384)&gt;0,"登録済","未登録→マスタに追加"))</f>
        <v/>
      </c>
      <c r="P384" s="74" t="n">
        <v>382</v>
      </c>
      <c r="Q384" s="74" t="str">
        <f aca="false">IF(元データ_B!$A$382="","",元データ_B!$A$382)</f>
        <v/>
      </c>
      <c r="R384" s="74" t="str">
        <f aca="false">IF(LEFT(Q384,1)="(",IFERROR(VALUE(MID(Q384,2,FIND(")",Q384)-2)),""),"")</f>
        <v/>
      </c>
      <c r="S384" s="75" t="str">
        <f aca="false">IF($R384="","",N(元データ_B!$B$382))</f>
        <v/>
      </c>
      <c r="T384" s="75" t="str">
        <f aca="false">IF($R384="","",N(元データ_B!$F$382))</f>
        <v/>
      </c>
      <c r="U384" s="74" t="str">
        <f aca="false">IF($R384="","",IF(COUNTIF(店舗マスタ!$B$5:$B$304,$R384)&gt;0,"登録済","未登録→マスタに追加"))</f>
        <v/>
      </c>
    </row>
    <row r="385" customFormat="false" ht="15" hidden="false" customHeight="false" outlineLevel="0" collapsed="false">
      <c r="A385" s="74" t="n">
        <v>383</v>
      </c>
      <c r="B385" s="74" t="str">
        <f aca="false">IF(元データ_PB合計!$A$383="","",元データ_PB合計!$A$383)</f>
        <v/>
      </c>
      <c r="C385" s="74" t="str">
        <f aca="false">IF(LEFT(B385,1)="(",IFERROR(VALUE(MID(B385,2,FIND(")",B385)-2)),""),"")</f>
        <v/>
      </c>
      <c r="D385" s="75" t="str">
        <f aca="false">IF($C385="","",N(元データ_PB合計!$B$383))</f>
        <v/>
      </c>
      <c r="E385" s="75" t="str">
        <f aca="false">IF($C385="","",N(元データ_PB合計!$C$383))</f>
        <v/>
      </c>
      <c r="F385" s="75" t="str">
        <f aca="false">IF($C385="","",N(元データ_PB合計!$F$383))</f>
        <v/>
      </c>
      <c r="G385" s="74" t="str">
        <f aca="false">IF($C385="","",IF(COUNTIF(店舗マスタ!$B$5:$B$304,$C385)&gt;0,"登録済","未登録→マスタに追加"))</f>
        <v/>
      </c>
      <c r="I385" s="74" t="n">
        <v>383</v>
      </c>
      <c r="J385" s="74" t="str">
        <f aca="false">IF(元データ_P!$A$383="","",元データ_P!$A$383)</f>
        <v/>
      </c>
      <c r="K385" s="74" t="str">
        <f aca="false">IF(LEFT(J385,1)="(",IFERROR(VALUE(MID(J385,2,FIND(")",J385)-2)),""),"")</f>
        <v/>
      </c>
      <c r="L385" s="75" t="str">
        <f aca="false">IF($K385="","",N(元データ_P!$B$383))</f>
        <v/>
      </c>
      <c r="M385" s="75" t="str">
        <f aca="false">IF($K385="","",N(元データ_P!$F$383))</f>
        <v/>
      </c>
      <c r="N385" s="74" t="str">
        <f aca="false">IF($K385="","",IF(COUNTIF(店舗マスタ!$B$5:$B$304,$K385)&gt;0,"登録済","未登録→マスタに追加"))</f>
        <v/>
      </c>
      <c r="P385" s="74" t="n">
        <v>383</v>
      </c>
      <c r="Q385" s="74" t="str">
        <f aca="false">IF(元データ_B!$A$383="","",元データ_B!$A$383)</f>
        <v/>
      </c>
      <c r="R385" s="74" t="str">
        <f aca="false">IF(LEFT(Q385,1)="(",IFERROR(VALUE(MID(Q385,2,FIND(")",Q385)-2)),""),"")</f>
        <v/>
      </c>
      <c r="S385" s="75" t="str">
        <f aca="false">IF($R385="","",N(元データ_B!$B$383))</f>
        <v/>
      </c>
      <c r="T385" s="75" t="str">
        <f aca="false">IF($R385="","",N(元データ_B!$F$383))</f>
        <v/>
      </c>
      <c r="U385" s="74" t="str">
        <f aca="false">IF($R385="","",IF(COUNTIF(店舗マスタ!$B$5:$B$304,$R385)&gt;0,"登録済","未登録→マスタに追加"))</f>
        <v/>
      </c>
    </row>
    <row r="386" customFormat="false" ht="15" hidden="false" customHeight="false" outlineLevel="0" collapsed="false">
      <c r="A386" s="74" t="n">
        <v>384</v>
      </c>
      <c r="B386" s="74" t="str">
        <f aca="false">IF(元データ_PB合計!$A$384="","",元データ_PB合計!$A$384)</f>
        <v/>
      </c>
      <c r="C386" s="74" t="str">
        <f aca="false">IF(LEFT(B386,1)="(",IFERROR(VALUE(MID(B386,2,FIND(")",B386)-2)),""),"")</f>
        <v/>
      </c>
      <c r="D386" s="75" t="str">
        <f aca="false">IF($C386="","",N(元データ_PB合計!$B$384))</f>
        <v/>
      </c>
      <c r="E386" s="75" t="str">
        <f aca="false">IF($C386="","",N(元データ_PB合計!$C$384))</f>
        <v/>
      </c>
      <c r="F386" s="75" t="str">
        <f aca="false">IF($C386="","",N(元データ_PB合計!$F$384))</f>
        <v/>
      </c>
      <c r="G386" s="74" t="str">
        <f aca="false">IF($C386="","",IF(COUNTIF(店舗マスタ!$B$5:$B$304,$C386)&gt;0,"登録済","未登録→マスタに追加"))</f>
        <v/>
      </c>
      <c r="I386" s="74" t="n">
        <v>384</v>
      </c>
      <c r="J386" s="74" t="str">
        <f aca="false">IF(元データ_P!$A$384="","",元データ_P!$A$384)</f>
        <v/>
      </c>
      <c r="K386" s="74" t="str">
        <f aca="false">IF(LEFT(J386,1)="(",IFERROR(VALUE(MID(J386,2,FIND(")",J386)-2)),""),"")</f>
        <v/>
      </c>
      <c r="L386" s="75" t="str">
        <f aca="false">IF($K386="","",N(元データ_P!$B$384))</f>
        <v/>
      </c>
      <c r="M386" s="75" t="str">
        <f aca="false">IF($K386="","",N(元データ_P!$F$384))</f>
        <v/>
      </c>
      <c r="N386" s="74" t="str">
        <f aca="false">IF($K386="","",IF(COUNTIF(店舗マスタ!$B$5:$B$304,$K386)&gt;0,"登録済","未登録→マスタに追加"))</f>
        <v/>
      </c>
      <c r="P386" s="74" t="n">
        <v>384</v>
      </c>
      <c r="Q386" s="74" t="str">
        <f aca="false">IF(元データ_B!$A$384="","",元データ_B!$A$384)</f>
        <v/>
      </c>
      <c r="R386" s="74" t="str">
        <f aca="false">IF(LEFT(Q386,1)="(",IFERROR(VALUE(MID(Q386,2,FIND(")",Q386)-2)),""),"")</f>
        <v/>
      </c>
      <c r="S386" s="75" t="str">
        <f aca="false">IF($R386="","",N(元データ_B!$B$384))</f>
        <v/>
      </c>
      <c r="T386" s="75" t="str">
        <f aca="false">IF($R386="","",N(元データ_B!$F$384))</f>
        <v/>
      </c>
      <c r="U386" s="74" t="str">
        <f aca="false">IF($R386="","",IF(COUNTIF(店舗マスタ!$B$5:$B$304,$R386)&gt;0,"登録済","未登録→マスタに追加"))</f>
        <v/>
      </c>
    </row>
    <row r="387" customFormat="false" ht="15" hidden="false" customHeight="false" outlineLevel="0" collapsed="false">
      <c r="A387" s="74" t="n">
        <v>385</v>
      </c>
      <c r="B387" s="74" t="str">
        <f aca="false">IF(元データ_PB合計!$A$385="","",元データ_PB合計!$A$385)</f>
        <v/>
      </c>
      <c r="C387" s="74" t="str">
        <f aca="false">IF(LEFT(B387,1)="(",IFERROR(VALUE(MID(B387,2,FIND(")",B387)-2)),""),"")</f>
        <v/>
      </c>
      <c r="D387" s="75" t="str">
        <f aca="false">IF($C387="","",N(元データ_PB合計!$B$385))</f>
        <v/>
      </c>
      <c r="E387" s="75" t="str">
        <f aca="false">IF($C387="","",N(元データ_PB合計!$C$385))</f>
        <v/>
      </c>
      <c r="F387" s="75" t="str">
        <f aca="false">IF($C387="","",N(元データ_PB合計!$F$385))</f>
        <v/>
      </c>
      <c r="G387" s="74" t="str">
        <f aca="false">IF($C387="","",IF(COUNTIF(店舗マスタ!$B$5:$B$304,$C387)&gt;0,"登録済","未登録→マスタに追加"))</f>
        <v/>
      </c>
      <c r="I387" s="74" t="n">
        <v>385</v>
      </c>
      <c r="J387" s="74" t="str">
        <f aca="false">IF(元データ_P!$A$385="","",元データ_P!$A$385)</f>
        <v/>
      </c>
      <c r="K387" s="74" t="str">
        <f aca="false">IF(LEFT(J387,1)="(",IFERROR(VALUE(MID(J387,2,FIND(")",J387)-2)),""),"")</f>
        <v/>
      </c>
      <c r="L387" s="75" t="str">
        <f aca="false">IF($K387="","",N(元データ_P!$B$385))</f>
        <v/>
      </c>
      <c r="M387" s="75" t="str">
        <f aca="false">IF($K387="","",N(元データ_P!$F$385))</f>
        <v/>
      </c>
      <c r="N387" s="74" t="str">
        <f aca="false">IF($K387="","",IF(COUNTIF(店舗マスタ!$B$5:$B$304,$K387)&gt;0,"登録済","未登録→マスタに追加"))</f>
        <v/>
      </c>
      <c r="P387" s="74" t="n">
        <v>385</v>
      </c>
      <c r="Q387" s="74" t="str">
        <f aca="false">IF(元データ_B!$A$385="","",元データ_B!$A$385)</f>
        <v/>
      </c>
      <c r="R387" s="74" t="str">
        <f aca="false">IF(LEFT(Q387,1)="(",IFERROR(VALUE(MID(Q387,2,FIND(")",Q387)-2)),""),"")</f>
        <v/>
      </c>
      <c r="S387" s="75" t="str">
        <f aca="false">IF($R387="","",N(元データ_B!$B$385))</f>
        <v/>
      </c>
      <c r="T387" s="75" t="str">
        <f aca="false">IF($R387="","",N(元データ_B!$F$385))</f>
        <v/>
      </c>
      <c r="U387" s="74" t="str">
        <f aca="false">IF($R387="","",IF(COUNTIF(店舗マスタ!$B$5:$B$304,$R387)&gt;0,"登録済","未登録→マスタに追加"))</f>
        <v/>
      </c>
    </row>
    <row r="388" customFormat="false" ht="15" hidden="false" customHeight="false" outlineLevel="0" collapsed="false">
      <c r="A388" s="74" t="n">
        <v>386</v>
      </c>
      <c r="B388" s="74" t="str">
        <f aca="false">IF(元データ_PB合計!$A$386="","",元データ_PB合計!$A$386)</f>
        <v/>
      </c>
      <c r="C388" s="74" t="str">
        <f aca="false">IF(LEFT(B388,1)="(",IFERROR(VALUE(MID(B388,2,FIND(")",B388)-2)),""),"")</f>
        <v/>
      </c>
      <c r="D388" s="75" t="str">
        <f aca="false">IF($C388="","",N(元データ_PB合計!$B$386))</f>
        <v/>
      </c>
      <c r="E388" s="75" t="str">
        <f aca="false">IF($C388="","",N(元データ_PB合計!$C$386))</f>
        <v/>
      </c>
      <c r="F388" s="75" t="str">
        <f aca="false">IF($C388="","",N(元データ_PB合計!$F$386))</f>
        <v/>
      </c>
      <c r="G388" s="74" t="str">
        <f aca="false">IF($C388="","",IF(COUNTIF(店舗マスタ!$B$5:$B$304,$C388)&gt;0,"登録済","未登録→マスタに追加"))</f>
        <v/>
      </c>
      <c r="I388" s="74" t="n">
        <v>386</v>
      </c>
      <c r="J388" s="74" t="str">
        <f aca="false">IF(元データ_P!$A$386="","",元データ_P!$A$386)</f>
        <v/>
      </c>
      <c r="K388" s="74" t="str">
        <f aca="false">IF(LEFT(J388,1)="(",IFERROR(VALUE(MID(J388,2,FIND(")",J388)-2)),""),"")</f>
        <v/>
      </c>
      <c r="L388" s="75" t="str">
        <f aca="false">IF($K388="","",N(元データ_P!$B$386))</f>
        <v/>
      </c>
      <c r="M388" s="75" t="str">
        <f aca="false">IF($K388="","",N(元データ_P!$F$386))</f>
        <v/>
      </c>
      <c r="N388" s="74" t="str">
        <f aca="false">IF($K388="","",IF(COUNTIF(店舗マスタ!$B$5:$B$304,$K388)&gt;0,"登録済","未登録→マスタに追加"))</f>
        <v/>
      </c>
      <c r="P388" s="74" t="n">
        <v>386</v>
      </c>
      <c r="Q388" s="74" t="str">
        <f aca="false">IF(元データ_B!$A$386="","",元データ_B!$A$386)</f>
        <v/>
      </c>
      <c r="R388" s="74" t="str">
        <f aca="false">IF(LEFT(Q388,1)="(",IFERROR(VALUE(MID(Q388,2,FIND(")",Q388)-2)),""),"")</f>
        <v/>
      </c>
      <c r="S388" s="75" t="str">
        <f aca="false">IF($R388="","",N(元データ_B!$B$386))</f>
        <v/>
      </c>
      <c r="T388" s="75" t="str">
        <f aca="false">IF($R388="","",N(元データ_B!$F$386))</f>
        <v/>
      </c>
      <c r="U388" s="74" t="str">
        <f aca="false">IF($R388="","",IF(COUNTIF(店舗マスタ!$B$5:$B$304,$R388)&gt;0,"登録済","未登録→マスタに追加"))</f>
        <v/>
      </c>
    </row>
    <row r="389" customFormat="false" ht="15" hidden="false" customHeight="false" outlineLevel="0" collapsed="false">
      <c r="A389" s="74" t="n">
        <v>387</v>
      </c>
      <c r="B389" s="74" t="str">
        <f aca="false">IF(元データ_PB合計!$A$387="","",元データ_PB合計!$A$387)</f>
        <v/>
      </c>
      <c r="C389" s="74" t="str">
        <f aca="false">IF(LEFT(B389,1)="(",IFERROR(VALUE(MID(B389,2,FIND(")",B389)-2)),""),"")</f>
        <v/>
      </c>
      <c r="D389" s="75" t="str">
        <f aca="false">IF($C389="","",N(元データ_PB合計!$B$387))</f>
        <v/>
      </c>
      <c r="E389" s="75" t="str">
        <f aca="false">IF($C389="","",N(元データ_PB合計!$C$387))</f>
        <v/>
      </c>
      <c r="F389" s="75" t="str">
        <f aca="false">IF($C389="","",N(元データ_PB合計!$F$387))</f>
        <v/>
      </c>
      <c r="G389" s="74" t="str">
        <f aca="false">IF($C389="","",IF(COUNTIF(店舗マスタ!$B$5:$B$304,$C389)&gt;0,"登録済","未登録→マスタに追加"))</f>
        <v/>
      </c>
      <c r="I389" s="74" t="n">
        <v>387</v>
      </c>
      <c r="J389" s="74" t="str">
        <f aca="false">IF(元データ_P!$A$387="","",元データ_P!$A$387)</f>
        <v/>
      </c>
      <c r="K389" s="74" t="str">
        <f aca="false">IF(LEFT(J389,1)="(",IFERROR(VALUE(MID(J389,2,FIND(")",J389)-2)),""),"")</f>
        <v/>
      </c>
      <c r="L389" s="75" t="str">
        <f aca="false">IF($K389="","",N(元データ_P!$B$387))</f>
        <v/>
      </c>
      <c r="M389" s="75" t="str">
        <f aca="false">IF($K389="","",N(元データ_P!$F$387))</f>
        <v/>
      </c>
      <c r="N389" s="74" t="str">
        <f aca="false">IF($K389="","",IF(COUNTIF(店舗マスタ!$B$5:$B$304,$K389)&gt;0,"登録済","未登録→マスタに追加"))</f>
        <v/>
      </c>
      <c r="P389" s="74" t="n">
        <v>387</v>
      </c>
      <c r="Q389" s="74" t="str">
        <f aca="false">IF(元データ_B!$A$387="","",元データ_B!$A$387)</f>
        <v/>
      </c>
      <c r="R389" s="74" t="str">
        <f aca="false">IF(LEFT(Q389,1)="(",IFERROR(VALUE(MID(Q389,2,FIND(")",Q389)-2)),""),"")</f>
        <v/>
      </c>
      <c r="S389" s="75" t="str">
        <f aca="false">IF($R389="","",N(元データ_B!$B$387))</f>
        <v/>
      </c>
      <c r="T389" s="75" t="str">
        <f aca="false">IF($R389="","",N(元データ_B!$F$387))</f>
        <v/>
      </c>
      <c r="U389" s="74" t="str">
        <f aca="false">IF($R389="","",IF(COUNTIF(店舗マスタ!$B$5:$B$304,$R389)&gt;0,"登録済","未登録→マスタに追加"))</f>
        <v/>
      </c>
    </row>
    <row r="390" customFormat="false" ht="15" hidden="false" customHeight="false" outlineLevel="0" collapsed="false">
      <c r="A390" s="74" t="n">
        <v>388</v>
      </c>
      <c r="B390" s="74" t="str">
        <f aca="false">IF(元データ_PB合計!$A$388="","",元データ_PB合計!$A$388)</f>
        <v/>
      </c>
      <c r="C390" s="74" t="str">
        <f aca="false">IF(LEFT(B390,1)="(",IFERROR(VALUE(MID(B390,2,FIND(")",B390)-2)),""),"")</f>
        <v/>
      </c>
      <c r="D390" s="75" t="str">
        <f aca="false">IF($C390="","",N(元データ_PB合計!$B$388))</f>
        <v/>
      </c>
      <c r="E390" s="75" t="str">
        <f aca="false">IF($C390="","",N(元データ_PB合計!$C$388))</f>
        <v/>
      </c>
      <c r="F390" s="75" t="str">
        <f aca="false">IF($C390="","",N(元データ_PB合計!$F$388))</f>
        <v/>
      </c>
      <c r="G390" s="74" t="str">
        <f aca="false">IF($C390="","",IF(COUNTIF(店舗マスタ!$B$5:$B$304,$C390)&gt;0,"登録済","未登録→マスタに追加"))</f>
        <v/>
      </c>
      <c r="I390" s="74" t="n">
        <v>388</v>
      </c>
      <c r="J390" s="74" t="str">
        <f aca="false">IF(元データ_P!$A$388="","",元データ_P!$A$388)</f>
        <v/>
      </c>
      <c r="K390" s="74" t="str">
        <f aca="false">IF(LEFT(J390,1)="(",IFERROR(VALUE(MID(J390,2,FIND(")",J390)-2)),""),"")</f>
        <v/>
      </c>
      <c r="L390" s="75" t="str">
        <f aca="false">IF($K390="","",N(元データ_P!$B$388))</f>
        <v/>
      </c>
      <c r="M390" s="75" t="str">
        <f aca="false">IF($K390="","",N(元データ_P!$F$388))</f>
        <v/>
      </c>
      <c r="N390" s="74" t="str">
        <f aca="false">IF($K390="","",IF(COUNTIF(店舗マスタ!$B$5:$B$304,$K390)&gt;0,"登録済","未登録→マスタに追加"))</f>
        <v/>
      </c>
      <c r="P390" s="74" t="n">
        <v>388</v>
      </c>
      <c r="Q390" s="74" t="str">
        <f aca="false">IF(元データ_B!$A$388="","",元データ_B!$A$388)</f>
        <v/>
      </c>
      <c r="R390" s="74" t="str">
        <f aca="false">IF(LEFT(Q390,1)="(",IFERROR(VALUE(MID(Q390,2,FIND(")",Q390)-2)),""),"")</f>
        <v/>
      </c>
      <c r="S390" s="75" t="str">
        <f aca="false">IF($R390="","",N(元データ_B!$B$388))</f>
        <v/>
      </c>
      <c r="T390" s="75" t="str">
        <f aca="false">IF($R390="","",N(元データ_B!$F$388))</f>
        <v/>
      </c>
      <c r="U390" s="74" t="str">
        <f aca="false">IF($R390="","",IF(COUNTIF(店舗マスタ!$B$5:$B$304,$R390)&gt;0,"登録済","未登録→マスタに追加"))</f>
        <v/>
      </c>
    </row>
    <row r="391" customFormat="false" ht="15" hidden="false" customHeight="false" outlineLevel="0" collapsed="false">
      <c r="A391" s="74" t="n">
        <v>389</v>
      </c>
      <c r="B391" s="74" t="str">
        <f aca="false">IF(元データ_PB合計!$A$389="","",元データ_PB合計!$A$389)</f>
        <v/>
      </c>
      <c r="C391" s="74" t="str">
        <f aca="false">IF(LEFT(B391,1)="(",IFERROR(VALUE(MID(B391,2,FIND(")",B391)-2)),""),"")</f>
        <v/>
      </c>
      <c r="D391" s="75" t="str">
        <f aca="false">IF($C391="","",N(元データ_PB合計!$B$389))</f>
        <v/>
      </c>
      <c r="E391" s="75" t="str">
        <f aca="false">IF($C391="","",N(元データ_PB合計!$C$389))</f>
        <v/>
      </c>
      <c r="F391" s="75" t="str">
        <f aca="false">IF($C391="","",N(元データ_PB合計!$F$389))</f>
        <v/>
      </c>
      <c r="G391" s="74" t="str">
        <f aca="false">IF($C391="","",IF(COUNTIF(店舗マスタ!$B$5:$B$304,$C391)&gt;0,"登録済","未登録→マスタに追加"))</f>
        <v/>
      </c>
      <c r="I391" s="74" t="n">
        <v>389</v>
      </c>
      <c r="J391" s="74" t="str">
        <f aca="false">IF(元データ_P!$A$389="","",元データ_P!$A$389)</f>
        <v/>
      </c>
      <c r="K391" s="74" t="str">
        <f aca="false">IF(LEFT(J391,1)="(",IFERROR(VALUE(MID(J391,2,FIND(")",J391)-2)),""),"")</f>
        <v/>
      </c>
      <c r="L391" s="75" t="str">
        <f aca="false">IF($K391="","",N(元データ_P!$B$389))</f>
        <v/>
      </c>
      <c r="M391" s="75" t="str">
        <f aca="false">IF($K391="","",N(元データ_P!$F$389))</f>
        <v/>
      </c>
      <c r="N391" s="74" t="str">
        <f aca="false">IF($K391="","",IF(COUNTIF(店舗マスタ!$B$5:$B$304,$K391)&gt;0,"登録済","未登録→マスタに追加"))</f>
        <v/>
      </c>
      <c r="P391" s="74" t="n">
        <v>389</v>
      </c>
      <c r="Q391" s="74" t="str">
        <f aca="false">IF(元データ_B!$A$389="","",元データ_B!$A$389)</f>
        <v/>
      </c>
      <c r="R391" s="74" t="str">
        <f aca="false">IF(LEFT(Q391,1)="(",IFERROR(VALUE(MID(Q391,2,FIND(")",Q391)-2)),""),"")</f>
        <v/>
      </c>
      <c r="S391" s="75" t="str">
        <f aca="false">IF($R391="","",N(元データ_B!$B$389))</f>
        <v/>
      </c>
      <c r="T391" s="75" t="str">
        <f aca="false">IF($R391="","",N(元データ_B!$F$389))</f>
        <v/>
      </c>
      <c r="U391" s="74" t="str">
        <f aca="false">IF($R391="","",IF(COUNTIF(店舗マスタ!$B$5:$B$304,$R391)&gt;0,"登録済","未登録→マスタに追加"))</f>
        <v/>
      </c>
    </row>
    <row r="392" customFormat="false" ht="15" hidden="false" customHeight="false" outlineLevel="0" collapsed="false">
      <c r="A392" s="74" t="n">
        <v>390</v>
      </c>
      <c r="B392" s="74" t="str">
        <f aca="false">IF(元データ_PB合計!$A$390="","",元データ_PB合計!$A$390)</f>
        <v/>
      </c>
      <c r="C392" s="74" t="str">
        <f aca="false">IF(LEFT(B392,1)="(",IFERROR(VALUE(MID(B392,2,FIND(")",B392)-2)),""),"")</f>
        <v/>
      </c>
      <c r="D392" s="75" t="str">
        <f aca="false">IF($C392="","",N(元データ_PB合計!$B$390))</f>
        <v/>
      </c>
      <c r="E392" s="75" t="str">
        <f aca="false">IF($C392="","",N(元データ_PB合計!$C$390))</f>
        <v/>
      </c>
      <c r="F392" s="75" t="str">
        <f aca="false">IF($C392="","",N(元データ_PB合計!$F$390))</f>
        <v/>
      </c>
      <c r="G392" s="74" t="str">
        <f aca="false">IF($C392="","",IF(COUNTIF(店舗マスタ!$B$5:$B$304,$C392)&gt;0,"登録済","未登録→マスタに追加"))</f>
        <v/>
      </c>
      <c r="I392" s="74" t="n">
        <v>390</v>
      </c>
      <c r="J392" s="74" t="str">
        <f aca="false">IF(元データ_P!$A$390="","",元データ_P!$A$390)</f>
        <v/>
      </c>
      <c r="K392" s="74" t="str">
        <f aca="false">IF(LEFT(J392,1)="(",IFERROR(VALUE(MID(J392,2,FIND(")",J392)-2)),""),"")</f>
        <v/>
      </c>
      <c r="L392" s="75" t="str">
        <f aca="false">IF($K392="","",N(元データ_P!$B$390))</f>
        <v/>
      </c>
      <c r="M392" s="75" t="str">
        <f aca="false">IF($K392="","",N(元データ_P!$F$390))</f>
        <v/>
      </c>
      <c r="N392" s="74" t="str">
        <f aca="false">IF($K392="","",IF(COUNTIF(店舗マスタ!$B$5:$B$304,$K392)&gt;0,"登録済","未登録→マスタに追加"))</f>
        <v/>
      </c>
      <c r="P392" s="74" t="n">
        <v>390</v>
      </c>
      <c r="Q392" s="74" t="str">
        <f aca="false">IF(元データ_B!$A$390="","",元データ_B!$A$390)</f>
        <v/>
      </c>
      <c r="R392" s="74" t="str">
        <f aca="false">IF(LEFT(Q392,1)="(",IFERROR(VALUE(MID(Q392,2,FIND(")",Q392)-2)),""),"")</f>
        <v/>
      </c>
      <c r="S392" s="75" t="str">
        <f aca="false">IF($R392="","",N(元データ_B!$B$390))</f>
        <v/>
      </c>
      <c r="T392" s="75" t="str">
        <f aca="false">IF($R392="","",N(元データ_B!$F$390))</f>
        <v/>
      </c>
      <c r="U392" s="74" t="str">
        <f aca="false">IF($R392="","",IF(COUNTIF(店舗マスタ!$B$5:$B$304,$R392)&gt;0,"登録済","未登録→マスタに追加"))</f>
        <v/>
      </c>
    </row>
    <row r="393" customFormat="false" ht="15" hidden="false" customHeight="false" outlineLevel="0" collapsed="false">
      <c r="A393" s="74" t="n">
        <v>391</v>
      </c>
      <c r="B393" s="74" t="str">
        <f aca="false">IF(元データ_PB合計!$A$391="","",元データ_PB合計!$A$391)</f>
        <v/>
      </c>
      <c r="C393" s="74" t="str">
        <f aca="false">IF(LEFT(B393,1)="(",IFERROR(VALUE(MID(B393,2,FIND(")",B393)-2)),""),"")</f>
        <v/>
      </c>
      <c r="D393" s="75" t="str">
        <f aca="false">IF($C393="","",N(元データ_PB合計!$B$391))</f>
        <v/>
      </c>
      <c r="E393" s="75" t="str">
        <f aca="false">IF($C393="","",N(元データ_PB合計!$C$391))</f>
        <v/>
      </c>
      <c r="F393" s="75" t="str">
        <f aca="false">IF($C393="","",N(元データ_PB合計!$F$391))</f>
        <v/>
      </c>
      <c r="G393" s="74" t="str">
        <f aca="false">IF($C393="","",IF(COUNTIF(店舗マスタ!$B$5:$B$304,$C393)&gt;0,"登録済","未登録→マスタに追加"))</f>
        <v/>
      </c>
      <c r="I393" s="74" t="n">
        <v>391</v>
      </c>
      <c r="J393" s="74" t="str">
        <f aca="false">IF(元データ_P!$A$391="","",元データ_P!$A$391)</f>
        <v/>
      </c>
      <c r="K393" s="74" t="str">
        <f aca="false">IF(LEFT(J393,1)="(",IFERROR(VALUE(MID(J393,2,FIND(")",J393)-2)),""),"")</f>
        <v/>
      </c>
      <c r="L393" s="75" t="str">
        <f aca="false">IF($K393="","",N(元データ_P!$B$391))</f>
        <v/>
      </c>
      <c r="M393" s="75" t="str">
        <f aca="false">IF($K393="","",N(元データ_P!$F$391))</f>
        <v/>
      </c>
      <c r="N393" s="74" t="str">
        <f aca="false">IF($K393="","",IF(COUNTIF(店舗マスタ!$B$5:$B$304,$K393)&gt;0,"登録済","未登録→マスタに追加"))</f>
        <v/>
      </c>
      <c r="P393" s="74" t="n">
        <v>391</v>
      </c>
      <c r="Q393" s="74" t="str">
        <f aca="false">IF(元データ_B!$A$391="","",元データ_B!$A$391)</f>
        <v/>
      </c>
      <c r="R393" s="74" t="str">
        <f aca="false">IF(LEFT(Q393,1)="(",IFERROR(VALUE(MID(Q393,2,FIND(")",Q393)-2)),""),"")</f>
        <v/>
      </c>
      <c r="S393" s="75" t="str">
        <f aca="false">IF($R393="","",N(元データ_B!$B$391))</f>
        <v/>
      </c>
      <c r="T393" s="75" t="str">
        <f aca="false">IF($R393="","",N(元データ_B!$F$391))</f>
        <v/>
      </c>
      <c r="U393" s="74" t="str">
        <f aca="false">IF($R393="","",IF(COUNTIF(店舗マスタ!$B$5:$B$304,$R393)&gt;0,"登録済","未登録→マスタに追加"))</f>
        <v/>
      </c>
    </row>
    <row r="394" customFormat="false" ht="15" hidden="false" customHeight="false" outlineLevel="0" collapsed="false">
      <c r="A394" s="74" t="n">
        <v>392</v>
      </c>
      <c r="B394" s="74" t="str">
        <f aca="false">IF(元データ_PB合計!$A$392="","",元データ_PB合計!$A$392)</f>
        <v/>
      </c>
      <c r="C394" s="74" t="str">
        <f aca="false">IF(LEFT(B394,1)="(",IFERROR(VALUE(MID(B394,2,FIND(")",B394)-2)),""),"")</f>
        <v/>
      </c>
      <c r="D394" s="75" t="str">
        <f aca="false">IF($C394="","",N(元データ_PB合計!$B$392))</f>
        <v/>
      </c>
      <c r="E394" s="75" t="str">
        <f aca="false">IF($C394="","",N(元データ_PB合計!$C$392))</f>
        <v/>
      </c>
      <c r="F394" s="75" t="str">
        <f aca="false">IF($C394="","",N(元データ_PB合計!$F$392))</f>
        <v/>
      </c>
      <c r="G394" s="74" t="str">
        <f aca="false">IF($C394="","",IF(COUNTIF(店舗マスタ!$B$5:$B$304,$C394)&gt;0,"登録済","未登録→マスタに追加"))</f>
        <v/>
      </c>
      <c r="I394" s="74" t="n">
        <v>392</v>
      </c>
      <c r="J394" s="74" t="str">
        <f aca="false">IF(元データ_P!$A$392="","",元データ_P!$A$392)</f>
        <v/>
      </c>
      <c r="K394" s="74" t="str">
        <f aca="false">IF(LEFT(J394,1)="(",IFERROR(VALUE(MID(J394,2,FIND(")",J394)-2)),""),"")</f>
        <v/>
      </c>
      <c r="L394" s="75" t="str">
        <f aca="false">IF($K394="","",N(元データ_P!$B$392))</f>
        <v/>
      </c>
      <c r="M394" s="75" t="str">
        <f aca="false">IF($K394="","",N(元データ_P!$F$392))</f>
        <v/>
      </c>
      <c r="N394" s="74" t="str">
        <f aca="false">IF($K394="","",IF(COUNTIF(店舗マスタ!$B$5:$B$304,$K394)&gt;0,"登録済","未登録→マスタに追加"))</f>
        <v/>
      </c>
      <c r="P394" s="74" t="n">
        <v>392</v>
      </c>
      <c r="Q394" s="74" t="str">
        <f aca="false">IF(元データ_B!$A$392="","",元データ_B!$A$392)</f>
        <v/>
      </c>
      <c r="R394" s="74" t="str">
        <f aca="false">IF(LEFT(Q394,1)="(",IFERROR(VALUE(MID(Q394,2,FIND(")",Q394)-2)),""),"")</f>
        <v/>
      </c>
      <c r="S394" s="75" t="str">
        <f aca="false">IF($R394="","",N(元データ_B!$B$392))</f>
        <v/>
      </c>
      <c r="T394" s="75" t="str">
        <f aca="false">IF($R394="","",N(元データ_B!$F$392))</f>
        <v/>
      </c>
      <c r="U394" s="74" t="str">
        <f aca="false">IF($R394="","",IF(COUNTIF(店舗マスタ!$B$5:$B$304,$R394)&gt;0,"登録済","未登録→マスタに追加"))</f>
        <v/>
      </c>
    </row>
    <row r="395" customFormat="false" ht="15" hidden="false" customHeight="false" outlineLevel="0" collapsed="false">
      <c r="A395" s="74" t="n">
        <v>393</v>
      </c>
      <c r="B395" s="74" t="str">
        <f aca="false">IF(元データ_PB合計!$A$393="","",元データ_PB合計!$A$393)</f>
        <v/>
      </c>
      <c r="C395" s="74" t="str">
        <f aca="false">IF(LEFT(B395,1)="(",IFERROR(VALUE(MID(B395,2,FIND(")",B395)-2)),""),"")</f>
        <v/>
      </c>
      <c r="D395" s="75" t="str">
        <f aca="false">IF($C395="","",N(元データ_PB合計!$B$393))</f>
        <v/>
      </c>
      <c r="E395" s="75" t="str">
        <f aca="false">IF($C395="","",N(元データ_PB合計!$C$393))</f>
        <v/>
      </c>
      <c r="F395" s="75" t="str">
        <f aca="false">IF($C395="","",N(元データ_PB合計!$F$393))</f>
        <v/>
      </c>
      <c r="G395" s="74" t="str">
        <f aca="false">IF($C395="","",IF(COUNTIF(店舗マスタ!$B$5:$B$304,$C395)&gt;0,"登録済","未登録→マスタに追加"))</f>
        <v/>
      </c>
      <c r="I395" s="74" t="n">
        <v>393</v>
      </c>
      <c r="J395" s="74" t="str">
        <f aca="false">IF(元データ_P!$A$393="","",元データ_P!$A$393)</f>
        <v/>
      </c>
      <c r="K395" s="74" t="str">
        <f aca="false">IF(LEFT(J395,1)="(",IFERROR(VALUE(MID(J395,2,FIND(")",J395)-2)),""),"")</f>
        <v/>
      </c>
      <c r="L395" s="75" t="str">
        <f aca="false">IF($K395="","",N(元データ_P!$B$393))</f>
        <v/>
      </c>
      <c r="M395" s="75" t="str">
        <f aca="false">IF($K395="","",N(元データ_P!$F$393))</f>
        <v/>
      </c>
      <c r="N395" s="74" t="str">
        <f aca="false">IF($K395="","",IF(COUNTIF(店舗マスタ!$B$5:$B$304,$K395)&gt;0,"登録済","未登録→マスタに追加"))</f>
        <v/>
      </c>
      <c r="P395" s="74" t="n">
        <v>393</v>
      </c>
      <c r="Q395" s="74" t="str">
        <f aca="false">IF(元データ_B!$A$393="","",元データ_B!$A$393)</f>
        <v/>
      </c>
      <c r="R395" s="74" t="str">
        <f aca="false">IF(LEFT(Q395,1)="(",IFERROR(VALUE(MID(Q395,2,FIND(")",Q395)-2)),""),"")</f>
        <v/>
      </c>
      <c r="S395" s="75" t="str">
        <f aca="false">IF($R395="","",N(元データ_B!$B$393))</f>
        <v/>
      </c>
      <c r="T395" s="75" t="str">
        <f aca="false">IF($R395="","",N(元データ_B!$F$393))</f>
        <v/>
      </c>
      <c r="U395" s="74" t="str">
        <f aca="false">IF($R395="","",IF(COUNTIF(店舗マスタ!$B$5:$B$304,$R395)&gt;0,"登録済","未登録→マスタに追加"))</f>
        <v/>
      </c>
    </row>
    <row r="396" customFormat="false" ht="15" hidden="false" customHeight="false" outlineLevel="0" collapsed="false">
      <c r="A396" s="74" t="n">
        <v>394</v>
      </c>
      <c r="B396" s="74" t="str">
        <f aca="false">IF(元データ_PB合計!$A$394="","",元データ_PB合計!$A$394)</f>
        <v/>
      </c>
      <c r="C396" s="74" t="str">
        <f aca="false">IF(LEFT(B396,1)="(",IFERROR(VALUE(MID(B396,2,FIND(")",B396)-2)),""),"")</f>
        <v/>
      </c>
      <c r="D396" s="75" t="str">
        <f aca="false">IF($C396="","",N(元データ_PB合計!$B$394))</f>
        <v/>
      </c>
      <c r="E396" s="75" t="str">
        <f aca="false">IF($C396="","",N(元データ_PB合計!$C$394))</f>
        <v/>
      </c>
      <c r="F396" s="75" t="str">
        <f aca="false">IF($C396="","",N(元データ_PB合計!$F$394))</f>
        <v/>
      </c>
      <c r="G396" s="74" t="str">
        <f aca="false">IF($C396="","",IF(COUNTIF(店舗マスタ!$B$5:$B$304,$C396)&gt;0,"登録済","未登録→マスタに追加"))</f>
        <v/>
      </c>
      <c r="I396" s="74" t="n">
        <v>394</v>
      </c>
      <c r="J396" s="74" t="str">
        <f aca="false">IF(元データ_P!$A$394="","",元データ_P!$A$394)</f>
        <v/>
      </c>
      <c r="K396" s="74" t="str">
        <f aca="false">IF(LEFT(J396,1)="(",IFERROR(VALUE(MID(J396,2,FIND(")",J396)-2)),""),"")</f>
        <v/>
      </c>
      <c r="L396" s="75" t="str">
        <f aca="false">IF($K396="","",N(元データ_P!$B$394))</f>
        <v/>
      </c>
      <c r="M396" s="75" t="str">
        <f aca="false">IF($K396="","",N(元データ_P!$F$394))</f>
        <v/>
      </c>
      <c r="N396" s="74" t="str">
        <f aca="false">IF($K396="","",IF(COUNTIF(店舗マスタ!$B$5:$B$304,$K396)&gt;0,"登録済","未登録→マスタに追加"))</f>
        <v/>
      </c>
      <c r="P396" s="74" t="n">
        <v>394</v>
      </c>
      <c r="Q396" s="74" t="str">
        <f aca="false">IF(元データ_B!$A$394="","",元データ_B!$A$394)</f>
        <v/>
      </c>
      <c r="R396" s="74" t="str">
        <f aca="false">IF(LEFT(Q396,1)="(",IFERROR(VALUE(MID(Q396,2,FIND(")",Q396)-2)),""),"")</f>
        <v/>
      </c>
      <c r="S396" s="75" t="str">
        <f aca="false">IF($R396="","",N(元データ_B!$B$394))</f>
        <v/>
      </c>
      <c r="T396" s="75" t="str">
        <f aca="false">IF($R396="","",N(元データ_B!$F$394))</f>
        <v/>
      </c>
      <c r="U396" s="74" t="str">
        <f aca="false">IF($R396="","",IF(COUNTIF(店舗マスタ!$B$5:$B$304,$R396)&gt;0,"登録済","未登録→マスタに追加"))</f>
        <v/>
      </c>
    </row>
    <row r="397" customFormat="false" ht="15" hidden="false" customHeight="false" outlineLevel="0" collapsed="false">
      <c r="A397" s="74" t="n">
        <v>395</v>
      </c>
      <c r="B397" s="74" t="str">
        <f aca="false">IF(元データ_PB合計!$A$395="","",元データ_PB合計!$A$395)</f>
        <v/>
      </c>
      <c r="C397" s="74" t="str">
        <f aca="false">IF(LEFT(B397,1)="(",IFERROR(VALUE(MID(B397,2,FIND(")",B397)-2)),""),"")</f>
        <v/>
      </c>
      <c r="D397" s="75" t="str">
        <f aca="false">IF($C397="","",N(元データ_PB合計!$B$395))</f>
        <v/>
      </c>
      <c r="E397" s="75" t="str">
        <f aca="false">IF($C397="","",N(元データ_PB合計!$C$395))</f>
        <v/>
      </c>
      <c r="F397" s="75" t="str">
        <f aca="false">IF($C397="","",N(元データ_PB合計!$F$395))</f>
        <v/>
      </c>
      <c r="G397" s="74" t="str">
        <f aca="false">IF($C397="","",IF(COUNTIF(店舗マスタ!$B$5:$B$304,$C397)&gt;0,"登録済","未登録→マスタに追加"))</f>
        <v/>
      </c>
      <c r="I397" s="74" t="n">
        <v>395</v>
      </c>
      <c r="J397" s="74" t="str">
        <f aca="false">IF(元データ_P!$A$395="","",元データ_P!$A$395)</f>
        <v/>
      </c>
      <c r="K397" s="74" t="str">
        <f aca="false">IF(LEFT(J397,1)="(",IFERROR(VALUE(MID(J397,2,FIND(")",J397)-2)),""),"")</f>
        <v/>
      </c>
      <c r="L397" s="75" t="str">
        <f aca="false">IF($K397="","",N(元データ_P!$B$395))</f>
        <v/>
      </c>
      <c r="M397" s="75" t="str">
        <f aca="false">IF($K397="","",N(元データ_P!$F$395))</f>
        <v/>
      </c>
      <c r="N397" s="74" t="str">
        <f aca="false">IF($K397="","",IF(COUNTIF(店舗マスタ!$B$5:$B$304,$K397)&gt;0,"登録済","未登録→マスタに追加"))</f>
        <v/>
      </c>
      <c r="P397" s="74" t="n">
        <v>395</v>
      </c>
      <c r="Q397" s="74" t="str">
        <f aca="false">IF(元データ_B!$A$395="","",元データ_B!$A$395)</f>
        <v/>
      </c>
      <c r="R397" s="74" t="str">
        <f aca="false">IF(LEFT(Q397,1)="(",IFERROR(VALUE(MID(Q397,2,FIND(")",Q397)-2)),""),"")</f>
        <v/>
      </c>
      <c r="S397" s="75" t="str">
        <f aca="false">IF($R397="","",N(元データ_B!$B$395))</f>
        <v/>
      </c>
      <c r="T397" s="75" t="str">
        <f aca="false">IF($R397="","",N(元データ_B!$F$395))</f>
        <v/>
      </c>
      <c r="U397" s="74" t="str">
        <f aca="false">IF($R397="","",IF(COUNTIF(店舗マスタ!$B$5:$B$304,$R397)&gt;0,"登録済","未登録→マスタに追加"))</f>
        <v/>
      </c>
    </row>
    <row r="398" customFormat="false" ht="15" hidden="false" customHeight="false" outlineLevel="0" collapsed="false">
      <c r="A398" s="74" t="n">
        <v>396</v>
      </c>
      <c r="B398" s="74" t="str">
        <f aca="false">IF(元データ_PB合計!$A$396="","",元データ_PB合計!$A$396)</f>
        <v/>
      </c>
      <c r="C398" s="74" t="str">
        <f aca="false">IF(LEFT(B398,1)="(",IFERROR(VALUE(MID(B398,2,FIND(")",B398)-2)),""),"")</f>
        <v/>
      </c>
      <c r="D398" s="75" t="str">
        <f aca="false">IF($C398="","",N(元データ_PB合計!$B$396))</f>
        <v/>
      </c>
      <c r="E398" s="75" t="str">
        <f aca="false">IF($C398="","",N(元データ_PB合計!$C$396))</f>
        <v/>
      </c>
      <c r="F398" s="75" t="str">
        <f aca="false">IF($C398="","",N(元データ_PB合計!$F$396))</f>
        <v/>
      </c>
      <c r="G398" s="74" t="str">
        <f aca="false">IF($C398="","",IF(COUNTIF(店舗マスタ!$B$5:$B$304,$C398)&gt;0,"登録済","未登録→マスタに追加"))</f>
        <v/>
      </c>
      <c r="I398" s="74" t="n">
        <v>396</v>
      </c>
      <c r="J398" s="74" t="str">
        <f aca="false">IF(元データ_P!$A$396="","",元データ_P!$A$396)</f>
        <v/>
      </c>
      <c r="K398" s="74" t="str">
        <f aca="false">IF(LEFT(J398,1)="(",IFERROR(VALUE(MID(J398,2,FIND(")",J398)-2)),""),"")</f>
        <v/>
      </c>
      <c r="L398" s="75" t="str">
        <f aca="false">IF($K398="","",N(元データ_P!$B$396))</f>
        <v/>
      </c>
      <c r="M398" s="75" t="str">
        <f aca="false">IF($K398="","",N(元データ_P!$F$396))</f>
        <v/>
      </c>
      <c r="N398" s="74" t="str">
        <f aca="false">IF($K398="","",IF(COUNTIF(店舗マスタ!$B$5:$B$304,$K398)&gt;0,"登録済","未登録→マスタに追加"))</f>
        <v/>
      </c>
      <c r="P398" s="74" t="n">
        <v>396</v>
      </c>
      <c r="Q398" s="74" t="str">
        <f aca="false">IF(元データ_B!$A$396="","",元データ_B!$A$396)</f>
        <v/>
      </c>
      <c r="R398" s="74" t="str">
        <f aca="false">IF(LEFT(Q398,1)="(",IFERROR(VALUE(MID(Q398,2,FIND(")",Q398)-2)),""),"")</f>
        <v/>
      </c>
      <c r="S398" s="75" t="str">
        <f aca="false">IF($R398="","",N(元データ_B!$B$396))</f>
        <v/>
      </c>
      <c r="T398" s="75" t="str">
        <f aca="false">IF($R398="","",N(元データ_B!$F$396))</f>
        <v/>
      </c>
      <c r="U398" s="74" t="str">
        <f aca="false">IF($R398="","",IF(COUNTIF(店舗マスタ!$B$5:$B$304,$R398)&gt;0,"登録済","未登録→マスタに追加"))</f>
        <v/>
      </c>
    </row>
    <row r="399" customFormat="false" ht="15" hidden="false" customHeight="false" outlineLevel="0" collapsed="false">
      <c r="A399" s="74" t="n">
        <v>397</v>
      </c>
      <c r="B399" s="74" t="str">
        <f aca="false">IF(元データ_PB合計!$A$397="","",元データ_PB合計!$A$397)</f>
        <v/>
      </c>
      <c r="C399" s="74" t="str">
        <f aca="false">IF(LEFT(B399,1)="(",IFERROR(VALUE(MID(B399,2,FIND(")",B399)-2)),""),"")</f>
        <v/>
      </c>
      <c r="D399" s="75" t="str">
        <f aca="false">IF($C399="","",N(元データ_PB合計!$B$397))</f>
        <v/>
      </c>
      <c r="E399" s="75" t="str">
        <f aca="false">IF($C399="","",N(元データ_PB合計!$C$397))</f>
        <v/>
      </c>
      <c r="F399" s="75" t="str">
        <f aca="false">IF($C399="","",N(元データ_PB合計!$F$397))</f>
        <v/>
      </c>
      <c r="G399" s="74" t="str">
        <f aca="false">IF($C399="","",IF(COUNTIF(店舗マスタ!$B$5:$B$304,$C399)&gt;0,"登録済","未登録→マスタに追加"))</f>
        <v/>
      </c>
      <c r="I399" s="74" t="n">
        <v>397</v>
      </c>
      <c r="J399" s="74" t="str">
        <f aca="false">IF(元データ_P!$A$397="","",元データ_P!$A$397)</f>
        <v/>
      </c>
      <c r="K399" s="74" t="str">
        <f aca="false">IF(LEFT(J399,1)="(",IFERROR(VALUE(MID(J399,2,FIND(")",J399)-2)),""),"")</f>
        <v/>
      </c>
      <c r="L399" s="75" t="str">
        <f aca="false">IF($K399="","",N(元データ_P!$B$397))</f>
        <v/>
      </c>
      <c r="M399" s="75" t="str">
        <f aca="false">IF($K399="","",N(元データ_P!$F$397))</f>
        <v/>
      </c>
      <c r="N399" s="74" t="str">
        <f aca="false">IF($K399="","",IF(COUNTIF(店舗マスタ!$B$5:$B$304,$K399)&gt;0,"登録済","未登録→マスタに追加"))</f>
        <v/>
      </c>
      <c r="P399" s="74" t="n">
        <v>397</v>
      </c>
      <c r="Q399" s="74" t="str">
        <f aca="false">IF(元データ_B!$A$397="","",元データ_B!$A$397)</f>
        <v/>
      </c>
      <c r="R399" s="74" t="str">
        <f aca="false">IF(LEFT(Q399,1)="(",IFERROR(VALUE(MID(Q399,2,FIND(")",Q399)-2)),""),"")</f>
        <v/>
      </c>
      <c r="S399" s="75" t="str">
        <f aca="false">IF($R399="","",N(元データ_B!$B$397))</f>
        <v/>
      </c>
      <c r="T399" s="75" t="str">
        <f aca="false">IF($R399="","",N(元データ_B!$F$397))</f>
        <v/>
      </c>
      <c r="U399" s="74" t="str">
        <f aca="false">IF($R399="","",IF(COUNTIF(店舗マスタ!$B$5:$B$304,$R399)&gt;0,"登録済","未登録→マスタに追加"))</f>
        <v/>
      </c>
    </row>
    <row r="400" customFormat="false" ht="15" hidden="false" customHeight="false" outlineLevel="0" collapsed="false">
      <c r="A400" s="74" t="n">
        <v>398</v>
      </c>
      <c r="B400" s="74" t="str">
        <f aca="false">IF(元データ_PB合計!$A$398="","",元データ_PB合計!$A$398)</f>
        <v/>
      </c>
      <c r="C400" s="74" t="str">
        <f aca="false">IF(LEFT(B400,1)="(",IFERROR(VALUE(MID(B400,2,FIND(")",B400)-2)),""),"")</f>
        <v/>
      </c>
      <c r="D400" s="75" t="str">
        <f aca="false">IF($C400="","",N(元データ_PB合計!$B$398))</f>
        <v/>
      </c>
      <c r="E400" s="75" t="str">
        <f aca="false">IF($C400="","",N(元データ_PB合計!$C$398))</f>
        <v/>
      </c>
      <c r="F400" s="75" t="str">
        <f aca="false">IF($C400="","",N(元データ_PB合計!$F$398))</f>
        <v/>
      </c>
      <c r="G400" s="74" t="str">
        <f aca="false">IF($C400="","",IF(COUNTIF(店舗マスタ!$B$5:$B$304,$C400)&gt;0,"登録済","未登録→マスタに追加"))</f>
        <v/>
      </c>
      <c r="I400" s="74" t="n">
        <v>398</v>
      </c>
      <c r="J400" s="74" t="str">
        <f aca="false">IF(元データ_P!$A$398="","",元データ_P!$A$398)</f>
        <v/>
      </c>
      <c r="K400" s="74" t="str">
        <f aca="false">IF(LEFT(J400,1)="(",IFERROR(VALUE(MID(J400,2,FIND(")",J400)-2)),""),"")</f>
        <v/>
      </c>
      <c r="L400" s="75" t="str">
        <f aca="false">IF($K400="","",N(元データ_P!$B$398))</f>
        <v/>
      </c>
      <c r="M400" s="75" t="str">
        <f aca="false">IF($K400="","",N(元データ_P!$F$398))</f>
        <v/>
      </c>
      <c r="N400" s="74" t="str">
        <f aca="false">IF($K400="","",IF(COUNTIF(店舗マスタ!$B$5:$B$304,$K400)&gt;0,"登録済","未登録→マスタに追加"))</f>
        <v/>
      </c>
      <c r="P400" s="74" t="n">
        <v>398</v>
      </c>
      <c r="Q400" s="74" t="str">
        <f aca="false">IF(元データ_B!$A$398="","",元データ_B!$A$398)</f>
        <v/>
      </c>
      <c r="R400" s="74" t="str">
        <f aca="false">IF(LEFT(Q400,1)="(",IFERROR(VALUE(MID(Q400,2,FIND(")",Q400)-2)),""),"")</f>
        <v/>
      </c>
      <c r="S400" s="75" t="str">
        <f aca="false">IF($R400="","",N(元データ_B!$B$398))</f>
        <v/>
      </c>
      <c r="T400" s="75" t="str">
        <f aca="false">IF($R400="","",N(元データ_B!$F$398))</f>
        <v/>
      </c>
      <c r="U400" s="74" t="str">
        <f aca="false">IF($R400="","",IF(COUNTIF(店舗マスタ!$B$5:$B$304,$R400)&gt;0,"登録済","未登録→マスタに追加"))</f>
        <v/>
      </c>
    </row>
    <row r="401" customFormat="false" ht="15" hidden="false" customHeight="false" outlineLevel="0" collapsed="false">
      <c r="A401" s="74" t="n">
        <v>399</v>
      </c>
      <c r="B401" s="74" t="str">
        <f aca="false">IF(元データ_PB合計!$A$399="","",元データ_PB合計!$A$399)</f>
        <v/>
      </c>
      <c r="C401" s="74" t="str">
        <f aca="false">IF(LEFT(B401,1)="(",IFERROR(VALUE(MID(B401,2,FIND(")",B401)-2)),""),"")</f>
        <v/>
      </c>
      <c r="D401" s="75" t="str">
        <f aca="false">IF($C401="","",N(元データ_PB合計!$B$399))</f>
        <v/>
      </c>
      <c r="E401" s="75" t="str">
        <f aca="false">IF($C401="","",N(元データ_PB合計!$C$399))</f>
        <v/>
      </c>
      <c r="F401" s="75" t="str">
        <f aca="false">IF($C401="","",N(元データ_PB合計!$F$399))</f>
        <v/>
      </c>
      <c r="G401" s="74" t="str">
        <f aca="false">IF($C401="","",IF(COUNTIF(店舗マスタ!$B$5:$B$304,$C401)&gt;0,"登録済","未登録→マスタに追加"))</f>
        <v/>
      </c>
      <c r="I401" s="74" t="n">
        <v>399</v>
      </c>
      <c r="J401" s="74" t="str">
        <f aca="false">IF(元データ_P!$A$399="","",元データ_P!$A$399)</f>
        <v/>
      </c>
      <c r="K401" s="74" t="str">
        <f aca="false">IF(LEFT(J401,1)="(",IFERROR(VALUE(MID(J401,2,FIND(")",J401)-2)),""),"")</f>
        <v/>
      </c>
      <c r="L401" s="75" t="str">
        <f aca="false">IF($K401="","",N(元データ_P!$B$399))</f>
        <v/>
      </c>
      <c r="M401" s="75" t="str">
        <f aca="false">IF($K401="","",N(元データ_P!$F$399))</f>
        <v/>
      </c>
      <c r="N401" s="74" t="str">
        <f aca="false">IF($K401="","",IF(COUNTIF(店舗マスタ!$B$5:$B$304,$K401)&gt;0,"登録済","未登録→マスタに追加"))</f>
        <v/>
      </c>
      <c r="P401" s="74" t="n">
        <v>399</v>
      </c>
      <c r="Q401" s="74" t="str">
        <f aca="false">IF(元データ_B!$A$399="","",元データ_B!$A$399)</f>
        <v/>
      </c>
      <c r="R401" s="74" t="str">
        <f aca="false">IF(LEFT(Q401,1)="(",IFERROR(VALUE(MID(Q401,2,FIND(")",Q401)-2)),""),"")</f>
        <v/>
      </c>
      <c r="S401" s="75" t="str">
        <f aca="false">IF($R401="","",N(元データ_B!$B$399))</f>
        <v/>
      </c>
      <c r="T401" s="75" t="str">
        <f aca="false">IF($R401="","",N(元データ_B!$F$399))</f>
        <v/>
      </c>
      <c r="U401" s="74" t="str">
        <f aca="false">IF($R401="","",IF(COUNTIF(店舗マスタ!$B$5:$B$304,$R401)&gt;0,"登録済","未登録→マスタに追加"))</f>
        <v/>
      </c>
    </row>
    <row r="402" customFormat="false" ht="15" hidden="false" customHeight="false" outlineLevel="0" collapsed="false">
      <c r="A402" s="74" t="n">
        <v>400</v>
      </c>
      <c r="B402" s="74" t="str">
        <f aca="false">IF(元データ_PB合計!$A$400="","",元データ_PB合計!$A$400)</f>
        <v/>
      </c>
      <c r="C402" s="74" t="str">
        <f aca="false">IF(LEFT(B402,1)="(",IFERROR(VALUE(MID(B402,2,FIND(")",B402)-2)),""),"")</f>
        <v/>
      </c>
      <c r="D402" s="75" t="str">
        <f aca="false">IF($C402="","",N(元データ_PB合計!$B$400))</f>
        <v/>
      </c>
      <c r="E402" s="75" t="str">
        <f aca="false">IF($C402="","",N(元データ_PB合計!$C$400))</f>
        <v/>
      </c>
      <c r="F402" s="75" t="str">
        <f aca="false">IF($C402="","",N(元データ_PB合計!$F$400))</f>
        <v/>
      </c>
      <c r="G402" s="74" t="str">
        <f aca="false">IF($C402="","",IF(COUNTIF(店舗マスタ!$B$5:$B$304,$C402)&gt;0,"登録済","未登録→マスタに追加"))</f>
        <v/>
      </c>
      <c r="I402" s="74" t="n">
        <v>400</v>
      </c>
      <c r="J402" s="74" t="str">
        <f aca="false">IF(元データ_P!$A$400="","",元データ_P!$A$400)</f>
        <v/>
      </c>
      <c r="K402" s="74" t="str">
        <f aca="false">IF(LEFT(J402,1)="(",IFERROR(VALUE(MID(J402,2,FIND(")",J402)-2)),""),"")</f>
        <v/>
      </c>
      <c r="L402" s="75" t="str">
        <f aca="false">IF($K402="","",N(元データ_P!$B$400))</f>
        <v/>
      </c>
      <c r="M402" s="75" t="str">
        <f aca="false">IF($K402="","",N(元データ_P!$F$400))</f>
        <v/>
      </c>
      <c r="N402" s="74" t="str">
        <f aca="false">IF($K402="","",IF(COUNTIF(店舗マスタ!$B$5:$B$304,$K402)&gt;0,"登録済","未登録→マスタに追加"))</f>
        <v/>
      </c>
      <c r="P402" s="74" t="n">
        <v>400</v>
      </c>
      <c r="Q402" s="74" t="str">
        <f aca="false">IF(元データ_B!$A$400="","",元データ_B!$A$400)</f>
        <v/>
      </c>
      <c r="R402" s="74" t="str">
        <f aca="false">IF(LEFT(Q402,1)="(",IFERROR(VALUE(MID(Q402,2,FIND(")",Q402)-2)),""),"")</f>
        <v/>
      </c>
      <c r="S402" s="75" t="str">
        <f aca="false">IF($R402="","",N(元データ_B!$B$400))</f>
        <v/>
      </c>
      <c r="T402" s="75" t="str">
        <f aca="false">IF($R402="","",N(元データ_B!$F$400))</f>
        <v/>
      </c>
      <c r="U402" s="74" t="str">
        <f aca="false">IF($R402="","",IF(COUNTIF(店舗マスタ!$B$5:$B$304,$R402)&gt;0,"登録済","未登録→マスタに追加"))</f>
        <v/>
      </c>
    </row>
    <row r="403" customFormat="false" ht="15" hidden="false" customHeight="false" outlineLevel="0" collapsed="false">
      <c r="A403" s="74" t="n">
        <v>401</v>
      </c>
      <c r="B403" s="74" t="str">
        <f aca="false">IF(元データ_PB合計!$A$401="","",元データ_PB合計!$A$401)</f>
        <v/>
      </c>
      <c r="C403" s="74" t="str">
        <f aca="false">IF(LEFT(B403,1)="(",IFERROR(VALUE(MID(B403,2,FIND(")",B403)-2)),""),"")</f>
        <v/>
      </c>
      <c r="D403" s="75" t="str">
        <f aca="false">IF($C403="","",N(元データ_PB合計!$B$401))</f>
        <v/>
      </c>
      <c r="E403" s="75" t="str">
        <f aca="false">IF($C403="","",N(元データ_PB合計!$C$401))</f>
        <v/>
      </c>
      <c r="F403" s="75" t="str">
        <f aca="false">IF($C403="","",N(元データ_PB合計!$F$401))</f>
        <v/>
      </c>
      <c r="G403" s="74" t="str">
        <f aca="false">IF($C403="","",IF(COUNTIF(店舗マスタ!$B$5:$B$304,$C403)&gt;0,"登録済","未登録→マスタに追加"))</f>
        <v/>
      </c>
      <c r="I403" s="74" t="n">
        <v>401</v>
      </c>
      <c r="J403" s="74" t="str">
        <f aca="false">IF(元データ_P!$A$401="","",元データ_P!$A$401)</f>
        <v/>
      </c>
      <c r="K403" s="74" t="str">
        <f aca="false">IF(LEFT(J403,1)="(",IFERROR(VALUE(MID(J403,2,FIND(")",J403)-2)),""),"")</f>
        <v/>
      </c>
      <c r="L403" s="75" t="str">
        <f aca="false">IF($K403="","",N(元データ_P!$B$401))</f>
        <v/>
      </c>
      <c r="M403" s="75" t="str">
        <f aca="false">IF($K403="","",N(元データ_P!$F$401))</f>
        <v/>
      </c>
      <c r="N403" s="74" t="str">
        <f aca="false">IF($K403="","",IF(COUNTIF(店舗マスタ!$B$5:$B$304,$K403)&gt;0,"登録済","未登録→マスタに追加"))</f>
        <v/>
      </c>
      <c r="P403" s="74" t="n">
        <v>401</v>
      </c>
      <c r="Q403" s="74" t="str">
        <f aca="false">IF(元データ_B!$A$401="","",元データ_B!$A$401)</f>
        <v/>
      </c>
      <c r="R403" s="74" t="str">
        <f aca="false">IF(LEFT(Q403,1)="(",IFERROR(VALUE(MID(Q403,2,FIND(")",Q403)-2)),""),"")</f>
        <v/>
      </c>
      <c r="S403" s="75" t="str">
        <f aca="false">IF($R403="","",N(元データ_B!$B$401))</f>
        <v/>
      </c>
      <c r="T403" s="75" t="str">
        <f aca="false">IF($R403="","",N(元データ_B!$F$401))</f>
        <v/>
      </c>
      <c r="U403" s="74" t="str">
        <f aca="false">IF($R403="","",IF(COUNTIF(店舗マスタ!$B$5:$B$304,$R403)&gt;0,"登録済","未登録→マスタに追加"))</f>
        <v/>
      </c>
    </row>
    <row r="404" customFormat="false" ht="15" hidden="false" customHeight="false" outlineLevel="0" collapsed="false">
      <c r="A404" s="74" t="n">
        <v>402</v>
      </c>
      <c r="B404" s="74" t="str">
        <f aca="false">IF(元データ_PB合計!$A$402="","",元データ_PB合計!$A$402)</f>
        <v/>
      </c>
      <c r="C404" s="74" t="str">
        <f aca="false">IF(LEFT(B404,1)="(",IFERROR(VALUE(MID(B404,2,FIND(")",B404)-2)),""),"")</f>
        <v/>
      </c>
      <c r="D404" s="75" t="str">
        <f aca="false">IF($C404="","",N(元データ_PB合計!$B$402))</f>
        <v/>
      </c>
      <c r="E404" s="75" t="str">
        <f aca="false">IF($C404="","",N(元データ_PB合計!$C$402))</f>
        <v/>
      </c>
      <c r="F404" s="75" t="str">
        <f aca="false">IF($C404="","",N(元データ_PB合計!$F$402))</f>
        <v/>
      </c>
      <c r="G404" s="74" t="str">
        <f aca="false">IF($C404="","",IF(COUNTIF(店舗マスタ!$B$5:$B$304,$C404)&gt;0,"登録済","未登録→マスタに追加"))</f>
        <v/>
      </c>
      <c r="I404" s="74" t="n">
        <v>402</v>
      </c>
      <c r="J404" s="74" t="str">
        <f aca="false">IF(元データ_P!$A$402="","",元データ_P!$A$402)</f>
        <v/>
      </c>
      <c r="K404" s="74" t="str">
        <f aca="false">IF(LEFT(J404,1)="(",IFERROR(VALUE(MID(J404,2,FIND(")",J404)-2)),""),"")</f>
        <v/>
      </c>
      <c r="L404" s="75" t="str">
        <f aca="false">IF($K404="","",N(元データ_P!$B$402))</f>
        <v/>
      </c>
      <c r="M404" s="75" t="str">
        <f aca="false">IF($K404="","",N(元データ_P!$F$402))</f>
        <v/>
      </c>
      <c r="N404" s="74" t="str">
        <f aca="false">IF($K404="","",IF(COUNTIF(店舗マスタ!$B$5:$B$304,$K404)&gt;0,"登録済","未登録→マスタに追加"))</f>
        <v/>
      </c>
      <c r="P404" s="74" t="n">
        <v>402</v>
      </c>
      <c r="Q404" s="74" t="str">
        <f aca="false">IF(元データ_B!$A$402="","",元データ_B!$A$402)</f>
        <v/>
      </c>
      <c r="R404" s="74" t="str">
        <f aca="false">IF(LEFT(Q404,1)="(",IFERROR(VALUE(MID(Q404,2,FIND(")",Q404)-2)),""),"")</f>
        <v/>
      </c>
      <c r="S404" s="75" t="str">
        <f aca="false">IF($R404="","",N(元データ_B!$B$402))</f>
        <v/>
      </c>
      <c r="T404" s="75" t="str">
        <f aca="false">IF($R404="","",N(元データ_B!$F$402))</f>
        <v/>
      </c>
      <c r="U404" s="74" t="str">
        <f aca="false">IF($R404="","",IF(COUNTIF(店舗マスタ!$B$5:$B$304,$R404)&gt;0,"登録済","未登録→マスタに追加"))</f>
        <v/>
      </c>
    </row>
    <row r="405" customFormat="false" ht="15" hidden="false" customHeight="false" outlineLevel="0" collapsed="false">
      <c r="A405" s="74" t="n">
        <v>403</v>
      </c>
      <c r="B405" s="74" t="str">
        <f aca="false">IF(元データ_PB合計!$A$403="","",元データ_PB合計!$A$403)</f>
        <v/>
      </c>
      <c r="C405" s="74" t="str">
        <f aca="false">IF(LEFT(B405,1)="(",IFERROR(VALUE(MID(B405,2,FIND(")",B405)-2)),""),"")</f>
        <v/>
      </c>
      <c r="D405" s="75" t="str">
        <f aca="false">IF($C405="","",N(元データ_PB合計!$B$403))</f>
        <v/>
      </c>
      <c r="E405" s="75" t="str">
        <f aca="false">IF($C405="","",N(元データ_PB合計!$C$403))</f>
        <v/>
      </c>
      <c r="F405" s="75" t="str">
        <f aca="false">IF($C405="","",N(元データ_PB合計!$F$403))</f>
        <v/>
      </c>
      <c r="G405" s="74" t="str">
        <f aca="false">IF($C405="","",IF(COUNTIF(店舗マスタ!$B$5:$B$304,$C405)&gt;0,"登録済","未登録→マスタに追加"))</f>
        <v/>
      </c>
      <c r="I405" s="74" t="n">
        <v>403</v>
      </c>
      <c r="J405" s="74" t="str">
        <f aca="false">IF(元データ_P!$A$403="","",元データ_P!$A$403)</f>
        <v/>
      </c>
      <c r="K405" s="74" t="str">
        <f aca="false">IF(LEFT(J405,1)="(",IFERROR(VALUE(MID(J405,2,FIND(")",J405)-2)),""),"")</f>
        <v/>
      </c>
      <c r="L405" s="75" t="str">
        <f aca="false">IF($K405="","",N(元データ_P!$B$403))</f>
        <v/>
      </c>
      <c r="M405" s="75" t="str">
        <f aca="false">IF($K405="","",N(元データ_P!$F$403))</f>
        <v/>
      </c>
      <c r="N405" s="74" t="str">
        <f aca="false">IF($K405="","",IF(COUNTIF(店舗マスタ!$B$5:$B$304,$K405)&gt;0,"登録済","未登録→マスタに追加"))</f>
        <v/>
      </c>
      <c r="P405" s="74" t="n">
        <v>403</v>
      </c>
      <c r="Q405" s="74" t="str">
        <f aca="false">IF(元データ_B!$A$403="","",元データ_B!$A$403)</f>
        <v/>
      </c>
      <c r="R405" s="74" t="str">
        <f aca="false">IF(LEFT(Q405,1)="(",IFERROR(VALUE(MID(Q405,2,FIND(")",Q405)-2)),""),"")</f>
        <v/>
      </c>
      <c r="S405" s="75" t="str">
        <f aca="false">IF($R405="","",N(元データ_B!$B$403))</f>
        <v/>
      </c>
      <c r="T405" s="75" t="str">
        <f aca="false">IF($R405="","",N(元データ_B!$F$403))</f>
        <v/>
      </c>
      <c r="U405" s="74" t="str">
        <f aca="false">IF($R405="","",IF(COUNTIF(店舗マスタ!$B$5:$B$304,$R405)&gt;0,"登録済","未登録→マスタに追加"))</f>
        <v/>
      </c>
    </row>
    <row r="406" customFormat="false" ht="15" hidden="false" customHeight="false" outlineLevel="0" collapsed="false">
      <c r="A406" s="74" t="n">
        <v>404</v>
      </c>
      <c r="B406" s="74" t="str">
        <f aca="false">IF(元データ_PB合計!$A$404="","",元データ_PB合計!$A$404)</f>
        <v/>
      </c>
      <c r="C406" s="74" t="str">
        <f aca="false">IF(LEFT(B406,1)="(",IFERROR(VALUE(MID(B406,2,FIND(")",B406)-2)),""),"")</f>
        <v/>
      </c>
      <c r="D406" s="75" t="str">
        <f aca="false">IF($C406="","",N(元データ_PB合計!$B$404))</f>
        <v/>
      </c>
      <c r="E406" s="75" t="str">
        <f aca="false">IF($C406="","",N(元データ_PB合計!$C$404))</f>
        <v/>
      </c>
      <c r="F406" s="75" t="str">
        <f aca="false">IF($C406="","",N(元データ_PB合計!$F$404))</f>
        <v/>
      </c>
      <c r="G406" s="74" t="str">
        <f aca="false">IF($C406="","",IF(COUNTIF(店舗マスタ!$B$5:$B$304,$C406)&gt;0,"登録済","未登録→マスタに追加"))</f>
        <v/>
      </c>
      <c r="I406" s="74" t="n">
        <v>404</v>
      </c>
      <c r="J406" s="74" t="str">
        <f aca="false">IF(元データ_P!$A$404="","",元データ_P!$A$404)</f>
        <v/>
      </c>
      <c r="K406" s="74" t="str">
        <f aca="false">IF(LEFT(J406,1)="(",IFERROR(VALUE(MID(J406,2,FIND(")",J406)-2)),""),"")</f>
        <v/>
      </c>
      <c r="L406" s="75" t="str">
        <f aca="false">IF($K406="","",N(元データ_P!$B$404))</f>
        <v/>
      </c>
      <c r="M406" s="75" t="str">
        <f aca="false">IF($K406="","",N(元データ_P!$F$404))</f>
        <v/>
      </c>
      <c r="N406" s="74" t="str">
        <f aca="false">IF($K406="","",IF(COUNTIF(店舗マスタ!$B$5:$B$304,$K406)&gt;0,"登録済","未登録→マスタに追加"))</f>
        <v/>
      </c>
      <c r="P406" s="74" t="n">
        <v>404</v>
      </c>
      <c r="Q406" s="74" t="str">
        <f aca="false">IF(元データ_B!$A$404="","",元データ_B!$A$404)</f>
        <v/>
      </c>
      <c r="R406" s="74" t="str">
        <f aca="false">IF(LEFT(Q406,1)="(",IFERROR(VALUE(MID(Q406,2,FIND(")",Q406)-2)),""),"")</f>
        <v/>
      </c>
      <c r="S406" s="75" t="str">
        <f aca="false">IF($R406="","",N(元データ_B!$B$404))</f>
        <v/>
      </c>
      <c r="T406" s="75" t="str">
        <f aca="false">IF($R406="","",N(元データ_B!$F$404))</f>
        <v/>
      </c>
      <c r="U406" s="74" t="str">
        <f aca="false">IF($R406="","",IF(COUNTIF(店舗マスタ!$B$5:$B$304,$R406)&gt;0,"登録済","未登録→マスタに追加"))</f>
        <v/>
      </c>
    </row>
    <row r="407" customFormat="false" ht="15" hidden="false" customHeight="false" outlineLevel="0" collapsed="false">
      <c r="A407" s="74" t="n">
        <v>405</v>
      </c>
      <c r="B407" s="74" t="str">
        <f aca="false">IF(元データ_PB合計!$A$405="","",元データ_PB合計!$A$405)</f>
        <v/>
      </c>
      <c r="C407" s="74" t="str">
        <f aca="false">IF(LEFT(B407,1)="(",IFERROR(VALUE(MID(B407,2,FIND(")",B407)-2)),""),"")</f>
        <v/>
      </c>
      <c r="D407" s="75" t="str">
        <f aca="false">IF($C407="","",N(元データ_PB合計!$B$405))</f>
        <v/>
      </c>
      <c r="E407" s="75" t="str">
        <f aca="false">IF($C407="","",N(元データ_PB合計!$C$405))</f>
        <v/>
      </c>
      <c r="F407" s="75" t="str">
        <f aca="false">IF($C407="","",N(元データ_PB合計!$F$405))</f>
        <v/>
      </c>
      <c r="G407" s="74" t="str">
        <f aca="false">IF($C407="","",IF(COUNTIF(店舗マスタ!$B$5:$B$304,$C407)&gt;0,"登録済","未登録→マスタに追加"))</f>
        <v/>
      </c>
      <c r="I407" s="74" t="n">
        <v>405</v>
      </c>
      <c r="J407" s="74" t="str">
        <f aca="false">IF(元データ_P!$A$405="","",元データ_P!$A$405)</f>
        <v/>
      </c>
      <c r="K407" s="74" t="str">
        <f aca="false">IF(LEFT(J407,1)="(",IFERROR(VALUE(MID(J407,2,FIND(")",J407)-2)),""),"")</f>
        <v/>
      </c>
      <c r="L407" s="75" t="str">
        <f aca="false">IF($K407="","",N(元データ_P!$B$405))</f>
        <v/>
      </c>
      <c r="M407" s="75" t="str">
        <f aca="false">IF($K407="","",N(元データ_P!$F$405))</f>
        <v/>
      </c>
      <c r="N407" s="74" t="str">
        <f aca="false">IF($K407="","",IF(COUNTIF(店舗マスタ!$B$5:$B$304,$K407)&gt;0,"登録済","未登録→マスタに追加"))</f>
        <v/>
      </c>
      <c r="P407" s="74" t="n">
        <v>405</v>
      </c>
      <c r="Q407" s="74" t="str">
        <f aca="false">IF(元データ_B!$A$405="","",元データ_B!$A$405)</f>
        <v/>
      </c>
      <c r="R407" s="74" t="str">
        <f aca="false">IF(LEFT(Q407,1)="(",IFERROR(VALUE(MID(Q407,2,FIND(")",Q407)-2)),""),"")</f>
        <v/>
      </c>
      <c r="S407" s="75" t="str">
        <f aca="false">IF($R407="","",N(元データ_B!$B$405))</f>
        <v/>
      </c>
      <c r="T407" s="75" t="str">
        <f aca="false">IF($R407="","",N(元データ_B!$F$405))</f>
        <v/>
      </c>
      <c r="U407" s="74" t="str">
        <f aca="false">IF($R407="","",IF(COUNTIF(店舗マスタ!$B$5:$B$304,$R407)&gt;0,"登録済","未登録→マスタに追加"))</f>
        <v/>
      </c>
    </row>
    <row r="408" customFormat="false" ht="15" hidden="false" customHeight="false" outlineLevel="0" collapsed="false">
      <c r="A408" s="74" t="n">
        <v>406</v>
      </c>
      <c r="B408" s="74" t="str">
        <f aca="false">IF(元データ_PB合計!$A$406="","",元データ_PB合計!$A$406)</f>
        <v/>
      </c>
      <c r="C408" s="74" t="str">
        <f aca="false">IF(LEFT(B408,1)="(",IFERROR(VALUE(MID(B408,2,FIND(")",B408)-2)),""),"")</f>
        <v/>
      </c>
      <c r="D408" s="75" t="str">
        <f aca="false">IF($C408="","",N(元データ_PB合計!$B$406))</f>
        <v/>
      </c>
      <c r="E408" s="75" t="str">
        <f aca="false">IF($C408="","",N(元データ_PB合計!$C$406))</f>
        <v/>
      </c>
      <c r="F408" s="75" t="str">
        <f aca="false">IF($C408="","",N(元データ_PB合計!$F$406))</f>
        <v/>
      </c>
      <c r="G408" s="74" t="str">
        <f aca="false">IF($C408="","",IF(COUNTIF(店舗マスタ!$B$5:$B$304,$C408)&gt;0,"登録済","未登録→マスタに追加"))</f>
        <v/>
      </c>
      <c r="I408" s="74" t="n">
        <v>406</v>
      </c>
      <c r="J408" s="74" t="str">
        <f aca="false">IF(元データ_P!$A$406="","",元データ_P!$A$406)</f>
        <v/>
      </c>
      <c r="K408" s="74" t="str">
        <f aca="false">IF(LEFT(J408,1)="(",IFERROR(VALUE(MID(J408,2,FIND(")",J408)-2)),""),"")</f>
        <v/>
      </c>
      <c r="L408" s="75" t="str">
        <f aca="false">IF($K408="","",N(元データ_P!$B$406))</f>
        <v/>
      </c>
      <c r="M408" s="75" t="str">
        <f aca="false">IF($K408="","",N(元データ_P!$F$406))</f>
        <v/>
      </c>
      <c r="N408" s="74" t="str">
        <f aca="false">IF($K408="","",IF(COUNTIF(店舗マスタ!$B$5:$B$304,$K408)&gt;0,"登録済","未登録→マスタに追加"))</f>
        <v/>
      </c>
      <c r="P408" s="74" t="n">
        <v>406</v>
      </c>
      <c r="Q408" s="74" t="str">
        <f aca="false">IF(元データ_B!$A$406="","",元データ_B!$A$406)</f>
        <v/>
      </c>
      <c r="R408" s="74" t="str">
        <f aca="false">IF(LEFT(Q408,1)="(",IFERROR(VALUE(MID(Q408,2,FIND(")",Q408)-2)),""),"")</f>
        <v/>
      </c>
      <c r="S408" s="75" t="str">
        <f aca="false">IF($R408="","",N(元データ_B!$B$406))</f>
        <v/>
      </c>
      <c r="T408" s="75" t="str">
        <f aca="false">IF($R408="","",N(元データ_B!$F$406))</f>
        <v/>
      </c>
      <c r="U408" s="74" t="str">
        <f aca="false">IF($R408="","",IF(COUNTIF(店舗マスタ!$B$5:$B$304,$R408)&gt;0,"登録済","未登録→マスタに追加"))</f>
        <v/>
      </c>
    </row>
    <row r="409" customFormat="false" ht="15" hidden="false" customHeight="false" outlineLevel="0" collapsed="false">
      <c r="A409" s="74" t="n">
        <v>407</v>
      </c>
      <c r="B409" s="74" t="str">
        <f aca="false">IF(元データ_PB合計!$A$407="","",元データ_PB合計!$A$407)</f>
        <v/>
      </c>
      <c r="C409" s="74" t="str">
        <f aca="false">IF(LEFT(B409,1)="(",IFERROR(VALUE(MID(B409,2,FIND(")",B409)-2)),""),"")</f>
        <v/>
      </c>
      <c r="D409" s="75" t="str">
        <f aca="false">IF($C409="","",N(元データ_PB合計!$B$407))</f>
        <v/>
      </c>
      <c r="E409" s="75" t="str">
        <f aca="false">IF($C409="","",N(元データ_PB合計!$C$407))</f>
        <v/>
      </c>
      <c r="F409" s="75" t="str">
        <f aca="false">IF($C409="","",N(元データ_PB合計!$F$407))</f>
        <v/>
      </c>
      <c r="G409" s="74" t="str">
        <f aca="false">IF($C409="","",IF(COUNTIF(店舗マスタ!$B$5:$B$304,$C409)&gt;0,"登録済","未登録→マスタに追加"))</f>
        <v/>
      </c>
      <c r="I409" s="74" t="n">
        <v>407</v>
      </c>
      <c r="J409" s="74" t="str">
        <f aca="false">IF(元データ_P!$A$407="","",元データ_P!$A$407)</f>
        <v/>
      </c>
      <c r="K409" s="74" t="str">
        <f aca="false">IF(LEFT(J409,1)="(",IFERROR(VALUE(MID(J409,2,FIND(")",J409)-2)),""),"")</f>
        <v/>
      </c>
      <c r="L409" s="75" t="str">
        <f aca="false">IF($K409="","",N(元データ_P!$B$407))</f>
        <v/>
      </c>
      <c r="M409" s="75" t="str">
        <f aca="false">IF($K409="","",N(元データ_P!$F$407))</f>
        <v/>
      </c>
      <c r="N409" s="74" t="str">
        <f aca="false">IF($K409="","",IF(COUNTIF(店舗マスタ!$B$5:$B$304,$K409)&gt;0,"登録済","未登録→マスタに追加"))</f>
        <v/>
      </c>
      <c r="P409" s="74" t="n">
        <v>407</v>
      </c>
      <c r="Q409" s="74" t="str">
        <f aca="false">IF(元データ_B!$A$407="","",元データ_B!$A$407)</f>
        <v/>
      </c>
      <c r="R409" s="74" t="str">
        <f aca="false">IF(LEFT(Q409,1)="(",IFERROR(VALUE(MID(Q409,2,FIND(")",Q409)-2)),""),"")</f>
        <v/>
      </c>
      <c r="S409" s="75" t="str">
        <f aca="false">IF($R409="","",N(元データ_B!$B$407))</f>
        <v/>
      </c>
      <c r="T409" s="75" t="str">
        <f aca="false">IF($R409="","",N(元データ_B!$F$407))</f>
        <v/>
      </c>
      <c r="U409" s="74" t="str">
        <f aca="false">IF($R409="","",IF(COUNTIF(店舗マスタ!$B$5:$B$304,$R409)&gt;0,"登録済","未登録→マスタに追加"))</f>
        <v/>
      </c>
    </row>
    <row r="410" customFormat="false" ht="15" hidden="false" customHeight="false" outlineLevel="0" collapsed="false">
      <c r="A410" s="74" t="n">
        <v>408</v>
      </c>
      <c r="B410" s="74" t="str">
        <f aca="false">IF(元データ_PB合計!$A$408="","",元データ_PB合計!$A$408)</f>
        <v/>
      </c>
      <c r="C410" s="74" t="str">
        <f aca="false">IF(LEFT(B410,1)="(",IFERROR(VALUE(MID(B410,2,FIND(")",B410)-2)),""),"")</f>
        <v/>
      </c>
      <c r="D410" s="75" t="str">
        <f aca="false">IF($C410="","",N(元データ_PB合計!$B$408))</f>
        <v/>
      </c>
      <c r="E410" s="75" t="str">
        <f aca="false">IF($C410="","",N(元データ_PB合計!$C$408))</f>
        <v/>
      </c>
      <c r="F410" s="75" t="str">
        <f aca="false">IF($C410="","",N(元データ_PB合計!$F$408))</f>
        <v/>
      </c>
      <c r="G410" s="74" t="str">
        <f aca="false">IF($C410="","",IF(COUNTIF(店舗マスタ!$B$5:$B$304,$C410)&gt;0,"登録済","未登録→マスタに追加"))</f>
        <v/>
      </c>
      <c r="I410" s="74" t="n">
        <v>408</v>
      </c>
      <c r="J410" s="74" t="str">
        <f aca="false">IF(元データ_P!$A$408="","",元データ_P!$A$408)</f>
        <v/>
      </c>
      <c r="K410" s="74" t="str">
        <f aca="false">IF(LEFT(J410,1)="(",IFERROR(VALUE(MID(J410,2,FIND(")",J410)-2)),""),"")</f>
        <v/>
      </c>
      <c r="L410" s="75" t="str">
        <f aca="false">IF($K410="","",N(元データ_P!$B$408))</f>
        <v/>
      </c>
      <c r="M410" s="75" t="str">
        <f aca="false">IF($K410="","",N(元データ_P!$F$408))</f>
        <v/>
      </c>
      <c r="N410" s="74" t="str">
        <f aca="false">IF($K410="","",IF(COUNTIF(店舗マスタ!$B$5:$B$304,$K410)&gt;0,"登録済","未登録→マスタに追加"))</f>
        <v/>
      </c>
      <c r="P410" s="74" t="n">
        <v>408</v>
      </c>
      <c r="Q410" s="74" t="str">
        <f aca="false">IF(元データ_B!$A$408="","",元データ_B!$A$408)</f>
        <v/>
      </c>
      <c r="R410" s="74" t="str">
        <f aca="false">IF(LEFT(Q410,1)="(",IFERROR(VALUE(MID(Q410,2,FIND(")",Q410)-2)),""),"")</f>
        <v/>
      </c>
      <c r="S410" s="75" t="str">
        <f aca="false">IF($R410="","",N(元データ_B!$B$408))</f>
        <v/>
      </c>
      <c r="T410" s="75" t="str">
        <f aca="false">IF($R410="","",N(元データ_B!$F$408))</f>
        <v/>
      </c>
      <c r="U410" s="74" t="str">
        <f aca="false">IF($R410="","",IF(COUNTIF(店舗マスタ!$B$5:$B$304,$R410)&gt;0,"登録済","未登録→マスタに追加"))</f>
        <v/>
      </c>
    </row>
    <row r="411" customFormat="false" ht="15" hidden="false" customHeight="false" outlineLevel="0" collapsed="false">
      <c r="A411" s="74" t="n">
        <v>409</v>
      </c>
      <c r="B411" s="74" t="str">
        <f aca="false">IF(元データ_PB合計!$A$409="","",元データ_PB合計!$A$409)</f>
        <v/>
      </c>
      <c r="C411" s="74" t="str">
        <f aca="false">IF(LEFT(B411,1)="(",IFERROR(VALUE(MID(B411,2,FIND(")",B411)-2)),""),"")</f>
        <v/>
      </c>
      <c r="D411" s="75" t="str">
        <f aca="false">IF($C411="","",N(元データ_PB合計!$B$409))</f>
        <v/>
      </c>
      <c r="E411" s="75" t="str">
        <f aca="false">IF($C411="","",N(元データ_PB合計!$C$409))</f>
        <v/>
      </c>
      <c r="F411" s="75" t="str">
        <f aca="false">IF($C411="","",N(元データ_PB合計!$F$409))</f>
        <v/>
      </c>
      <c r="G411" s="74" t="str">
        <f aca="false">IF($C411="","",IF(COUNTIF(店舗マスタ!$B$5:$B$304,$C411)&gt;0,"登録済","未登録→マスタに追加"))</f>
        <v/>
      </c>
      <c r="I411" s="74" t="n">
        <v>409</v>
      </c>
      <c r="J411" s="74" t="str">
        <f aca="false">IF(元データ_P!$A$409="","",元データ_P!$A$409)</f>
        <v/>
      </c>
      <c r="K411" s="74" t="str">
        <f aca="false">IF(LEFT(J411,1)="(",IFERROR(VALUE(MID(J411,2,FIND(")",J411)-2)),""),"")</f>
        <v/>
      </c>
      <c r="L411" s="75" t="str">
        <f aca="false">IF($K411="","",N(元データ_P!$B$409))</f>
        <v/>
      </c>
      <c r="M411" s="75" t="str">
        <f aca="false">IF($K411="","",N(元データ_P!$F$409))</f>
        <v/>
      </c>
      <c r="N411" s="74" t="str">
        <f aca="false">IF($K411="","",IF(COUNTIF(店舗マスタ!$B$5:$B$304,$K411)&gt;0,"登録済","未登録→マスタに追加"))</f>
        <v/>
      </c>
      <c r="P411" s="74" t="n">
        <v>409</v>
      </c>
      <c r="Q411" s="74" t="str">
        <f aca="false">IF(元データ_B!$A$409="","",元データ_B!$A$409)</f>
        <v/>
      </c>
      <c r="R411" s="74" t="str">
        <f aca="false">IF(LEFT(Q411,1)="(",IFERROR(VALUE(MID(Q411,2,FIND(")",Q411)-2)),""),"")</f>
        <v/>
      </c>
      <c r="S411" s="75" t="str">
        <f aca="false">IF($R411="","",N(元データ_B!$B$409))</f>
        <v/>
      </c>
      <c r="T411" s="75" t="str">
        <f aca="false">IF($R411="","",N(元データ_B!$F$409))</f>
        <v/>
      </c>
      <c r="U411" s="74" t="str">
        <f aca="false">IF($R411="","",IF(COUNTIF(店舗マスタ!$B$5:$B$304,$R411)&gt;0,"登録済","未登録→マスタに追加"))</f>
        <v/>
      </c>
    </row>
    <row r="412" customFormat="false" ht="15" hidden="false" customHeight="false" outlineLevel="0" collapsed="false">
      <c r="A412" s="74" t="n">
        <v>410</v>
      </c>
      <c r="B412" s="74" t="str">
        <f aca="false">IF(元データ_PB合計!$A$410="","",元データ_PB合計!$A$410)</f>
        <v/>
      </c>
      <c r="C412" s="74" t="str">
        <f aca="false">IF(LEFT(B412,1)="(",IFERROR(VALUE(MID(B412,2,FIND(")",B412)-2)),""),"")</f>
        <v/>
      </c>
      <c r="D412" s="75" t="str">
        <f aca="false">IF($C412="","",N(元データ_PB合計!$B$410))</f>
        <v/>
      </c>
      <c r="E412" s="75" t="str">
        <f aca="false">IF($C412="","",N(元データ_PB合計!$C$410))</f>
        <v/>
      </c>
      <c r="F412" s="75" t="str">
        <f aca="false">IF($C412="","",N(元データ_PB合計!$F$410))</f>
        <v/>
      </c>
      <c r="G412" s="74" t="str">
        <f aca="false">IF($C412="","",IF(COUNTIF(店舗マスタ!$B$5:$B$304,$C412)&gt;0,"登録済","未登録→マスタに追加"))</f>
        <v/>
      </c>
      <c r="I412" s="74" t="n">
        <v>410</v>
      </c>
      <c r="J412" s="74" t="str">
        <f aca="false">IF(元データ_P!$A$410="","",元データ_P!$A$410)</f>
        <v/>
      </c>
      <c r="K412" s="74" t="str">
        <f aca="false">IF(LEFT(J412,1)="(",IFERROR(VALUE(MID(J412,2,FIND(")",J412)-2)),""),"")</f>
        <v/>
      </c>
      <c r="L412" s="75" t="str">
        <f aca="false">IF($K412="","",N(元データ_P!$B$410))</f>
        <v/>
      </c>
      <c r="M412" s="75" t="str">
        <f aca="false">IF($K412="","",N(元データ_P!$F$410))</f>
        <v/>
      </c>
      <c r="N412" s="74" t="str">
        <f aca="false">IF($K412="","",IF(COUNTIF(店舗マスタ!$B$5:$B$304,$K412)&gt;0,"登録済","未登録→マスタに追加"))</f>
        <v/>
      </c>
      <c r="P412" s="74" t="n">
        <v>410</v>
      </c>
      <c r="Q412" s="74" t="str">
        <f aca="false">IF(元データ_B!$A$410="","",元データ_B!$A$410)</f>
        <v/>
      </c>
      <c r="R412" s="74" t="str">
        <f aca="false">IF(LEFT(Q412,1)="(",IFERROR(VALUE(MID(Q412,2,FIND(")",Q412)-2)),""),"")</f>
        <v/>
      </c>
      <c r="S412" s="75" t="str">
        <f aca="false">IF($R412="","",N(元データ_B!$B$410))</f>
        <v/>
      </c>
      <c r="T412" s="75" t="str">
        <f aca="false">IF($R412="","",N(元データ_B!$F$410))</f>
        <v/>
      </c>
      <c r="U412" s="74" t="str">
        <f aca="false">IF($R412="","",IF(COUNTIF(店舗マスタ!$B$5:$B$304,$R412)&gt;0,"登録済","未登録→マスタに追加"))</f>
        <v/>
      </c>
    </row>
    <row r="413" customFormat="false" ht="15" hidden="false" customHeight="false" outlineLevel="0" collapsed="false">
      <c r="A413" s="74" t="n">
        <v>411</v>
      </c>
      <c r="B413" s="74" t="str">
        <f aca="false">IF(元データ_PB合計!$A$411="","",元データ_PB合計!$A$411)</f>
        <v/>
      </c>
      <c r="C413" s="74" t="str">
        <f aca="false">IF(LEFT(B413,1)="(",IFERROR(VALUE(MID(B413,2,FIND(")",B413)-2)),""),"")</f>
        <v/>
      </c>
      <c r="D413" s="75" t="str">
        <f aca="false">IF($C413="","",N(元データ_PB合計!$B$411))</f>
        <v/>
      </c>
      <c r="E413" s="75" t="str">
        <f aca="false">IF($C413="","",N(元データ_PB合計!$C$411))</f>
        <v/>
      </c>
      <c r="F413" s="75" t="str">
        <f aca="false">IF($C413="","",N(元データ_PB合計!$F$411))</f>
        <v/>
      </c>
      <c r="G413" s="74" t="str">
        <f aca="false">IF($C413="","",IF(COUNTIF(店舗マスタ!$B$5:$B$304,$C413)&gt;0,"登録済","未登録→マスタに追加"))</f>
        <v/>
      </c>
      <c r="I413" s="74" t="n">
        <v>411</v>
      </c>
      <c r="J413" s="74" t="str">
        <f aca="false">IF(元データ_P!$A$411="","",元データ_P!$A$411)</f>
        <v/>
      </c>
      <c r="K413" s="74" t="str">
        <f aca="false">IF(LEFT(J413,1)="(",IFERROR(VALUE(MID(J413,2,FIND(")",J413)-2)),""),"")</f>
        <v/>
      </c>
      <c r="L413" s="75" t="str">
        <f aca="false">IF($K413="","",N(元データ_P!$B$411))</f>
        <v/>
      </c>
      <c r="M413" s="75" t="str">
        <f aca="false">IF($K413="","",N(元データ_P!$F$411))</f>
        <v/>
      </c>
      <c r="N413" s="74" t="str">
        <f aca="false">IF($K413="","",IF(COUNTIF(店舗マスタ!$B$5:$B$304,$K413)&gt;0,"登録済","未登録→マスタに追加"))</f>
        <v/>
      </c>
      <c r="P413" s="74" t="n">
        <v>411</v>
      </c>
      <c r="Q413" s="74" t="str">
        <f aca="false">IF(元データ_B!$A$411="","",元データ_B!$A$411)</f>
        <v/>
      </c>
      <c r="R413" s="74" t="str">
        <f aca="false">IF(LEFT(Q413,1)="(",IFERROR(VALUE(MID(Q413,2,FIND(")",Q413)-2)),""),"")</f>
        <v/>
      </c>
      <c r="S413" s="75" t="str">
        <f aca="false">IF($R413="","",N(元データ_B!$B$411))</f>
        <v/>
      </c>
      <c r="T413" s="75" t="str">
        <f aca="false">IF($R413="","",N(元データ_B!$F$411))</f>
        <v/>
      </c>
      <c r="U413" s="74" t="str">
        <f aca="false">IF($R413="","",IF(COUNTIF(店舗マスタ!$B$5:$B$304,$R413)&gt;0,"登録済","未登録→マスタに追加"))</f>
        <v/>
      </c>
    </row>
    <row r="414" customFormat="false" ht="15" hidden="false" customHeight="false" outlineLevel="0" collapsed="false">
      <c r="A414" s="74" t="n">
        <v>412</v>
      </c>
      <c r="B414" s="74" t="str">
        <f aca="false">IF(元データ_PB合計!$A$412="","",元データ_PB合計!$A$412)</f>
        <v/>
      </c>
      <c r="C414" s="74" t="str">
        <f aca="false">IF(LEFT(B414,1)="(",IFERROR(VALUE(MID(B414,2,FIND(")",B414)-2)),""),"")</f>
        <v/>
      </c>
      <c r="D414" s="75" t="str">
        <f aca="false">IF($C414="","",N(元データ_PB合計!$B$412))</f>
        <v/>
      </c>
      <c r="E414" s="75" t="str">
        <f aca="false">IF($C414="","",N(元データ_PB合計!$C$412))</f>
        <v/>
      </c>
      <c r="F414" s="75" t="str">
        <f aca="false">IF($C414="","",N(元データ_PB合計!$F$412))</f>
        <v/>
      </c>
      <c r="G414" s="74" t="str">
        <f aca="false">IF($C414="","",IF(COUNTIF(店舗マスタ!$B$5:$B$304,$C414)&gt;0,"登録済","未登録→マスタに追加"))</f>
        <v/>
      </c>
      <c r="I414" s="74" t="n">
        <v>412</v>
      </c>
      <c r="J414" s="74" t="str">
        <f aca="false">IF(元データ_P!$A$412="","",元データ_P!$A$412)</f>
        <v/>
      </c>
      <c r="K414" s="74" t="str">
        <f aca="false">IF(LEFT(J414,1)="(",IFERROR(VALUE(MID(J414,2,FIND(")",J414)-2)),""),"")</f>
        <v/>
      </c>
      <c r="L414" s="75" t="str">
        <f aca="false">IF($K414="","",N(元データ_P!$B$412))</f>
        <v/>
      </c>
      <c r="M414" s="75" t="str">
        <f aca="false">IF($K414="","",N(元データ_P!$F$412))</f>
        <v/>
      </c>
      <c r="N414" s="74" t="str">
        <f aca="false">IF($K414="","",IF(COUNTIF(店舗マスタ!$B$5:$B$304,$K414)&gt;0,"登録済","未登録→マスタに追加"))</f>
        <v/>
      </c>
      <c r="P414" s="74" t="n">
        <v>412</v>
      </c>
      <c r="Q414" s="74" t="str">
        <f aca="false">IF(元データ_B!$A$412="","",元データ_B!$A$412)</f>
        <v/>
      </c>
      <c r="R414" s="74" t="str">
        <f aca="false">IF(LEFT(Q414,1)="(",IFERROR(VALUE(MID(Q414,2,FIND(")",Q414)-2)),""),"")</f>
        <v/>
      </c>
      <c r="S414" s="75" t="str">
        <f aca="false">IF($R414="","",N(元データ_B!$B$412))</f>
        <v/>
      </c>
      <c r="T414" s="75" t="str">
        <f aca="false">IF($R414="","",N(元データ_B!$F$412))</f>
        <v/>
      </c>
      <c r="U414" s="74" t="str">
        <f aca="false">IF($R414="","",IF(COUNTIF(店舗マスタ!$B$5:$B$304,$R414)&gt;0,"登録済","未登録→マスタに追加"))</f>
        <v/>
      </c>
    </row>
    <row r="415" customFormat="false" ht="15" hidden="false" customHeight="false" outlineLevel="0" collapsed="false">
      <c r="A415" s="74" t="n">
        <v>413</v>
      </c>
      <c r="B415" s="74" t="str">
        <f aca="false">IF(元データ_PB合計!$A$413="","",元データ_PB合計!$A$413)</f>
        <v/>
      </c>
      <c r="C415" s="74" t="str">
        <f aca="false">IF(LEFT(B415,1)="(",IFERROR(VALUE(MID(B415,2,FIND(")",B415)-2)),""),"")</f>
        <v/>
      </c>
      <c r="D415" s="75" t="str">
        <f aca="false">IF($C415="","",N(元データ_PB合計!$B$413))</f>
        <v/>
      </c>
      <c r="E415" s="75" t="str">
        <f aca="false">IF($C415="","",N(元データ_PB合計!$C$413))</f>
        <v/>
      </c>
      <c r="F415" s="75" t="str">
        <f aca="false">IF($C415="","",N(元データ_PB合計!$F$413))</f>
        <v/>
      </c>
      <c r="G415" s="74" t="str">
        <f aca="false">IF($C415="","",IF(COUNTIF(店舗マスタ!$B$5:$B$304,$C415)&gt;0,"登録済","未登録→マスタに追加"))</f>
        <v/>
      </c>
      <c r="I415" s="74" t="n">
        <v>413</v>
      </c>
      <c r="J415" s="74" t="str">
        <f aca="false">IF(元データ_P!$A$413="","",元データ_P!$A$413)</f>
        <v/>
      </c>
      <c r="K415" s="74" t="str">
        <f aca="false">IF(LEFT(J415,1)="(",IFERROR(VALUE(MID(J415,2,FIND(")",J415)-2)),""),"")</f>
        <v/>
      </c>
      <c r="L415" s="75" t="str">
        <f aca="false">IF($K415="","",N(元データ_P!$B$413))</f>
        <v/>
      </c>
      <c r="M415" s="75" t="str">
        <f aca="false">IF($K415="","",N(元データ_P!$F$413))</f>
        <v/>
      </c>
      <c r="N415" s="74" t="str">
        <f aca="false">IF($K415="","",IF(COUNTIF(店舗マスタ!$B$5:$B$304,$K415)&gt;0,"登録済","未登録→マスタに追加"))</f>
        <v/>
      </c>
      <c r="P415" s="74" t="n">
        <v>413</v>
      </c>
      <c r="Q415" s="74" t="str">
        <f aca="false">IF(元データ_B!$A$413="","",元データ_B!$A$413)</f>
        <v/>
      </c>
      <c r="R415" s="74" t="str">
        <f aca="false">IF(LEFT(Q415,1)="(",IFERROR(VALUE(MID(Q415,2,FIND(")",Q415)-2)),""),"")</f>
        <v/>
      </c>
      <c r="S415" s="75" t="str">
        <f aca="false">IF($R415="","",N(元データ_B!$B$413))</f>
        <v/>
      </c>
      <c r="T415" s="75" t="str">
        <f aca="false">IF($R415="","",N(元データ_B!$F$413))</f>
        <v/>
      </c>
      <c r="U415" s="74" t="str">
        <f aca="false">IF($R415="","",IF(COUNTIF(店舗マスタ!$B$5:$B$304,$R415)&gt;0,"登録済","未登録→マスタに追加"))</f>
        <v/>
      </c>
    </row>
    <row r="416" customFormat="false" ht="15" hidden="false" customHeight="false" outlineLevel="0" collapsed="false">
      <c r="A416" s="74" t="n">
        <v>414</v>
      </c>
      <c r="B416" s="74" t="str">
        <f aca="false">IF(元データ_PB合計!$A$414="","",元データ_PB合計!$A$414)</f>
        <v/>
      </c>
      <c r="C416" s="74" t="str">
        <f aca="false">IF(LEFT(B416,1)="(",IFERROR(VALUE(MID(B416,2,FIND(")",B416)-2)),""),"")</f>
        <v/>
      </c>
      <c r="D416" s="75" t="str">
        <f aca="false">IF($C416="","",N(元データ_PB合計!$B$414))</f>
        <v/>
      </c>
      <c r="E416" s="75" t="str">
        <f aca="false">IF($C416="","",N(元データ_PB合計!$C$414))</f>
        <v/>
      </c>
      <c r="F416" s="75" t="str">
        <f aca="false">IF($C416="","",N(元データ_PB合計!$F$414))</f>
        <v/>
      </c>
      <c r="G416" s="74" t="str">
        <f aca="false">IF($C416="","",IF(COUNTIF(店舗マスタ!$B$5:$B$304,$C416)&gt;0,"登録済","未登録→マスタに追加"))</f>
        <v/>
      </c>
      <c r="I416" s="74" t="n">
        <v>414</v>
      </c>
      <c r="J416" s="74" t="str">
        <f aca="false">IF(元データ_P!$A$414="","",元データ_P!$A$414)</f>
        <v/>
      </c>
      <c r="K416" s="74" t="str">
        <f aca="false">IF(LEFT(J416,1)="(",IFERROR(VALUE(MID(J416,2,FIND(")",J416)-2)),""),"")</f>
        <v/>
      </c>
      <c r="L416" s="75" t="str">
        <f aca="false">IF($K416="","",N(元データ_P!$B$414))</f>
        <v/>
      </c>
      <c r="M416" s="75" t="str">
        <f aca="false">IF($K416="","",N(元データ_P!$F$414))</f>
        <v/>
      </c>
      <c r="N416" s="74" t="str">
        <f aca="false">IF($K416="","",IF(COUNTIF(店舗マスタ!$B$5:$B$304,$K416)&gt;0,"登録済","未登録→マスタに追加"))</f>
        <v/>
      </c>
      <c r="P416" s="74" t="n">
        <v>414</v>
      </c>
      <c r="Q416" s="74" t="str">
        <f aca="false">IF(元データ_B!$A$414="","",元データ_B!$A$414)</f>
        <v/>
      </c>
      <c r="R416" s="74" t="str">
        <f aca="false">IF(LEFT(Q416,1)="(",IFERROR(VALUE(MID(Q416,2,FIND(")",Q416)-2)),""),"")</f>
        <v/>
      </c>
      <c r="S416" s="75" t="str">
        <f aca="false">IF($R416="","",N(元データ_B!$B$414))</f>
        <v/>
      </c>
      <c r="T416" s="75" t="str">
        <f aca="false">IF($R416="","",N(元データ_B!$F$414))</f>
        <v/>
      </c>
      <c r="U416" s="74" t="str">
        <f aca="false">IF($R416="","",IF(COUNTIF(店舗マスタ!$B$5:$B$304,$R416)&gt;0,"登録済","未登録→マスタに追加"))</f>
        <v/>
      </c>
    </row>
    <row r="417" customFormat="false" ht="15" hidden="false" customHeight="false" outlineLevel="0" collapsed="false">
      <c r="A417" s="74" t="n">
        <v>415</v>
      </c>
      <c r="B417" s="74" t="str">
        <f aca="false">IF(元データ_PB合計!$A$415="","",元データ_PB合計!$A$415)</f>
        <v/>
      </c>
      <c r="C417" s="74" t="str">
        <f aca="false">IF(LEFT(B417,1)="(",IFERROR(VALUE(MID(B417,2,FIND(")",B417)-2)),""),"")</f>
        <v/>
      </c>
      <c r="D417" s="75" t="str">
        <f aca="false">IF($C417="","",N(元データ_PB合計!$B$415))</f>
        <v/>
      </c>
      <c r="E417" s="75" t="str">
        <f aca="false">IF($C417="","",N(元データ_PB合計!$C$415))</f>
        <v/>
      </c>
      <c r="F417" s="75" t="str">
        <f aca="false">IF($C417="","",N(元データ_PB合計!$F$415))</f>
        <v/>
      </c>
      <c r="G417" s="74" t="str">
        <f aca="false">IF($C417="","",IF(COUNTIF(店舗マスタ!$B$5:$B$304,$C417)&gt;0,"登録済","未登録→マスタに追加"))</f>
        <v/>
      </c>
      <c r="I417" s="74" t="n">
        <v>415</v>
      </c>
      <c r="J417" s="74" t="str">
        <f aca="false">IF(元データ_P!$A$415="","",元データ_P!$A$415)</f>
        <v/>
      </c>
      <c r="K417" s="74" t="str">
        <f aca="false">IF(LEFT(J417,1)="(",IFERROR(VALUE(MID(J417,2,FIND(")",J417)-2)),""),"")</f>
        <v/>
      </c>
      <c r="L417" s="75" t="str">
        <f aca="false">IF($K417="","",N(元データ_P!$B$415))</f>
        <v/>
      </c>
      <c r="M417" s="75" t="str">
        <f aca="false">IF($K417="","",N(元データ_P!$F$415))</f>
        <v/>
      </c>
      <c r="N417" s="74" t="str">
        <f aca="false">IF($K417="","",IF(COUNTIF(店舗マスタ!$B$5:$B$304,$K417)&gt;0,"登録済","未登録→マスタに追加"))</f>
        <v/>
      </c>
      <c r="P417" s="74" t="n">
        <v>415</v>
      </c>
      <c r="Q417" s="74" t="str">
        <f aca="false">IF(元データ_B!$A$415="","",元データ_B!$A$415)</f>
        <v/>
      </c>
      <c r="R417" s="74" t="str">
        <f aca="false">IF(LEFT(Q417,1)="(",IFERROR(VALUE(MID(Q417,2,FIND(")",Q417)-2)),""),"")</f>
        <v/>
      </c>
      <c r="S417" s="75" t="str">
        <f aca="false">IF($R417="","",N(元データ_B!$B$415))</f>
        <v/>
      </c>
      <c r="T417" s="75" t="str">
        <f aca="false">IF($R417="","",N(元データ_B!$F$415))</f>
        <v/>
      </c>
      <c r="U417" s="74" t="str">
        <f aca="false">IF($R417="","",IF(COUNTIF(店舗マスタ!$B$5:$B$304,$R417)&gt;0,"登録済","未登録→マスタに追加"))</f>
        <v/>
      </c>
    </row>
    <row r="418" customFormat="false" ht="15" hidden="false" customHeight="false" outlineLevel="0" collapsed="false">
      <c r="A418" s="74" t="n">
        <v>416</v>
      </c>
      <c r="B418" s="74" t="str">
        <f aca="false">IF(元データ_PB合計!$A$416="","",元データ_PB合計!$A$416)</f>
        <v/>
      </c>
      <c r="C418" s="74" t="str">
        <f aca="false">IF(LEFT(B418,1)="(",IFERROR(VALUE(MID(B418,2,FIND(")",B418)-2)),""),"")</f>
        <v/>
      </c>
      <c r="D418" s="75" t="str">
        <f aca="false">IF($C418="","",N(元データ_PB合計!$B$416))</f>
        <v/>
      </c>
      <c r="E418" s="75" t="str">
        <f aca="false">IF($C418="","",N(元データ_PB合計!$C$416))</f>
        <v/>
      </c>
      <c r="F418" s="75" t="str">
        <f aca="false">IF($C418="","",N(元データ_PB合計!$F$416))</f>
        <v/>
      </c>
      <c r="G418" s="74" t="str">
        <f aca="false">IF($C418="","",IF(COUNTIF(店舗マスタ!$B$5:$B$304,$C418)&gt;0,"登録済","未登録→マスタに追加"))</f>
        <v/>
      </c>
      <c r="I418" s="74" t="n">
        <v>416</v>
      </c>
      <c r="J418" s="74" t="str">
        <f aca="false">IF(元データ_P!$A$416="","",元データ_P!$A$416)</f>
        <v/>
      </c>
      <c r="K418" s="74" t="str">
        <f aca="false">IF(LEFT(J418,1)="(",IFERROR(VALUE(MID(J418,2,FIND(")",J418)-2)),""),"")</f>
        <v/>
      </c>
      <c r="L418" s="75" t="str">
        <f aca="false">IF($K418="","",N(元データ_P!$B$416))</f>
        <v/>
      </c>
      <c r="M418" s="75" t="str">
        <f aca="false">IF($K418="","",N(元データ_P!$F$416))</f>
        <v/>
      </c>
      <c r="N418" s="74" t="str">
        <f aca="false">IF($K418="","",IF(COUNTIF(店舗マスタ!$B$5:$B$304,$K418)&gt;0,"登録済","未登録→マスタに追加"))</f>
        <v/>
      </c>
      <c r="P418" s="74" t="n">
        <v>416</v>
      </c>
      <c r="Q418" s="74" t="str">
        <f aca="false">IF(元データ_B!$A$416="","",元データ_B!$A$416)</f>
        <v/>
      </c>
      <c r="R418" s="74" t="str">
        <f aca="false">IF(LEFT(Q418,1)="(",IFERROR(VALUE(MID(Q418,2,FIND(")",Q418)-2)),""),"")</f>
        <v/>
      </c>
      <c r="S418" s="75" t="str">
        <f aca="false">IF($R418="","",N(元データ_B!$B$416))</f>
        <v/>
      </c>
      <c r="T418" s="75" t="str">
        <f aca="false">IF($R418="","",N(元データ_B!$F$416))</f>
        <v/>
      </c>
      <c r="U418" s="74" t="str">
        <f aca="false">IF($R418="","",IF(COUNTIF(店舗マスタ!$B$5:$B$304,$R418)&gt;0,"登録済","未登録→マスタに追加"))</f>
        <v/>
      </c>
    </row>
    <row r="419" customFormat="false" ht="15" hidden="false" customHeight="false" outlineLevel="0" collapsed="false">
      <c r="A419" s="74" t="n">
        <v>417</v>
      </c>
      <c r="B419" s="74" t="str">
        <f aca="false">IF(元データ_PB合計!$A$417="","",元データ_PB合計!$A$417)</f>
        <v/>
      </c>
      <c r="C419" s="74" t="str">
        <f aca="false">IF(LEFT(B419,1)="(",IFERROR(VALUE(MID(B419,2,FIND(")",B419)-2)),""),"")</f>
        <v/>
      </c>
      <c r="D419" s="75" t="str">
        <f aca="false">IF($C419="","",N(元データ_PB合計!$B$417))</f>
        <v/>
      </c>
      <c r="E419" s="75" t="str">
        <f aca="false">IF($C419="","",N(元データ_PB合計!$C$417))</f>
        <v/>
      </c>
      <c r="F419" s="75" t="str">
        <f aca="false">IF($C419="","",N(元データ_PB合計!$F$417))</f>
        <v/>
      </c>
      <c r="G419" s="74" t="str">
        <f aca="false">IF($C419="","",IF(COUNTIF(店舗マスタ!$B$5:$B$304,$C419)&gt;0,"登録済","未登録→マスタに追加"))</f>
        <v/>
      </c>
      <c r="I419" s="74" t="n">
        <v>417</v>
      </c>
      <c r="J419" s="74" t="str">
        <f aca="false">IF(元データ_P!$A$417="","",元データ_P!$A$417)</f>
        <v/>
      </c>
      <c r="K419" s="74" t="str">
        <f aca="false">IF(LEFT(J419,1)="(",IFERROR(VALUE(MID(J419,2,FIND(")",J419)-2)),""),"")</f>
        <v/>
      </c>
      <c r="L419" s="75" t="str">
        <f aca="false">IF($K419="","",N(元データ_P!$B$417))</f>
        <v/>
      </c>
      <c r="M419" s="75" t="str">
        <f aca="false">IF($K419="","",N(元データ_P!$F$417))</f>
        <v/>
      </c>
      <c r="N419" s="74" t="str">
        <f aca="false">IF($K419="","",IF(COUNTIF(店舗マスタ!$B$5:$B$304,$K419)&gt;0,"登録済","未登録→マスタに追加"))</f>
        <v/>
      </c>
      <c r="P419" s="74" t="n">
        <v>417</v>
      </c>
      <c r="Q419" s="74" t="str">
        <f aca="false">IF(元データ_B!$A$417="","",元データ_B!$A$417)</f>
        <v/>
      </c>
      <c r="R419" s="74" t="str">
        <f aca="false">IF(LEFT(Q419,1)="(",IFERROR(VALUE(MID(Q419,2,FIND(")",Q419)-2)),""),"")</f>
        <v/>
      </c>
      <c r="S419" s="75" t="str">
        <f aca="false">IF($R419="","",N(元データ_B!$B$417))</f>
        <v/>
      </c>
      <c r="T419" s="75" t="str">
        <f aca="false">IF($R419="","",N(元データ_B!$F$417))</f>
        <v/>
      </c>
      <c r="U419" s="74" t="str">
        <f aca="false">IF($R419="","",IF(COUNTIF(店舗マスタ!$B$5:$B$304,$R419)&gt;0,"登録済","未登録→マスタに追加"))</f>
        <v/>
      </c>
    </row>
    <row r="420" customFormat="false" ht="15" hidden="false" customHeight="false" outlineLevel="0" collapsed="false">
      <c r="A420" s="74" t="n">
        <v>418</v>
      </c>
      <c r="B420" s="74" t="str">
        <f aca="false">IF(元データ_PB合計!$A$418="","",元データ_PB合計!$A$418)</f>
        <v/>
      </c>
      <c r="C420" s="74" t="str">
        <f aca="false">IF(LEFT(B420,1)="(",IFERROR(VALUE(MID(B420,2,FIND(")",B420)-2)),""),"")</f>
        <v/>
      </c>
      <c r="D420" s="75" t="str">
        <f aca="false">IF($C420="","",N(元データ_PB合計!$B$418))</f>
        <v/>
      </c>
      <c r="E420" s="75" t="str">
        <f aca="false">IF($C420="","",N(元データ_PB合計!$C$418))</f>
        <v/>
      </c>
      <c r="F420" s="75" t="str">
        <f aca="false">IF($C420="","",N(元データ_PB合計!$F$418))</f>
        <v/>
      </c>
      <c r="G420" s="74" t="str">
        <f aca="false">IF($C420="","",IF(COUNTIF(店舗マスタ!$B$5:$B$304,$C420)&gt;0,"登録済","未登録→マスタに追加"))</f>
        <v/>
      </c>
      <c r="I420" s="74" t="n">
        <v>418</v>
      </c>
      <c r="J420" s="74" t="str">
        <f aca="false">IF(元データ_P!$A$418="","",元データ_P!$A$418)</f>
        <v/>
      </c>
      <c r="K420" s="74" t="str">
        <f aca="false">IF(LEFT(J420,1)="(",IFERROR(VALUE(MID(J420,2,FIND(")",J420)-2)),""),"")</f>
        <v/>
      </c>
      <c r="L420" s="75" t="str">
        <f aca="false">IF($K420="","",N(元データ_P!$B$418))</f>
        <v/>
      </c>
      <c r="M420" s="75" t="str">
        <f aca="false">IF($K420="","",N(元データ_P!$F$418))</f>
        <v/>
      </c>
      <c r="N420" s="74" t="str">
        <f aca="false">IF($K420="","",IF(COUNTIF(店舗マスタ!$B$5:$B$304,$K420)&gt;0,"登録済","未登録→マスタに追加"))</f>
        <v/>
      </c>
      <c r="P420" s="74" t="n">
        <v>418</v>
      </c>
      <c r="Q420" s="74" t="str">
        <f aca="false">IF(元データ_B!$A$418="","",元データ_B!$A$418)</f>
        <v/>
      </c>
      <c r="R420" s="74" t="str">
        <f aca="false">IF(LEFT(Q420,1)="(",IFERROR(VALUE(MID(Q420,2,FIND(")",Q420)-2)),""),"")</f>
        <v/>
      </c>
      <c r="S420" s="75" t="str">
        <f aca="false">IF($R420="","",N(元データ_B!$B$418))</f>
        <v/>
      </c>
      <c r="T420" s="75" t="str">
        <f aca="false">IF($R420="","",N(元データ_B!$F$418))</f>
        <v/>
      </c>
      <c r="U420" s="74" t="str">
        <f aca="false">IF($R420="","",IF(COUNTIF(店舗マスタ!$B$5:$B$304,$R420)&gt;0,"登録済","未登録→マスタに追加"))</f>
        <v/>
      </c>
    </row>
    <row r="421" customFormat="false" ht="15" hidden="false" customHeight="false" outlineLevel="0" collapsed="false">
      <c r="A421" s="74" t="n">
        <v>419</v>
      </c>
      <c r="B421" s="74" t="str">
        <f aca="false">IF(元データ_PB合計!$A$419="","",元データ_PB合計!$A$419)</f>
        <v/>
      </c>
      <c r="C421" s="74" t="str">
        <f aca="false">IF(LEFT(B421,1)="(",IFERROR(VALUE(MID(B421,2,FIND(")",B421)-2)),""),"")</f>
        <v/>
      </c>
      <c r="D421" s="75" t="str">
        <f aca="false">IF($C421="","",N(元データ_PB合計!$B$419))</f>
        <v/>
      </c>
      <c r="E421" s="75" t="str">
        <f aca="false">IF($C421="","",N(元データ_PB合計!$C$419))</f>
        <v/>
      </c>
      <c r="F421" s="75" t="str">
        <f aca="false">IF($C421="","",N(元データ_PB合計!$F$419))</f>
        <v/>
      </c>
      <c r="G421" s="74" t="str">
        <f aca="false">IF($C421="","",IF(COUNTIF(店舗マスタ!$B$5:$B$304,$C421)&gt;0,"登録済","未登録→マスタに追加"))</f>
        <v/>
      </c>
      <c r="I421" s="74" t="n">
        <v>419</v>
      </c>
      <c r="J421" s="74" t="str">
        <f aca="false">IF(元データ_P!$A$419="","",元データ_P!$A$419)</f>
        <v/>
      </c>
      <c r="K421" s="74" t="str">
        <f aca="false">IF(LEFT(J421,1)="(",IFERROR(VALUE(MID(J421,2,FIND(")",J421)-2)),""),"")</f>
        <v/>
      </c>
      <c r="L421" s="75" t="str">
        <f aca="false">IF($K421="","",N(元データ_P!$B$419))</f>
        <v/>
      </c>
      <c r="M421" s="75" t="str">
        <f aca="false">IF($K421="","",N(元データ_P!$F$419))</f>
        <v/>
      </c>
      <c r="N421" s="74" t="str">
        <f aca="false">IF($K421="","",IF(COUNTIF(店舗マスタ!$B$5:$B$304,$K421)&gt;0,"登録済","未登録→マスタに追加"))</f>
        <v/>
      </c>
      <c r="P421" s="74" t="n">
        <v>419</v>
      </c>
      <c r="Q421" s="74" t="str">
        <f aca="false">IF(元データ_B!$A$419="","",元データ_B!$A$419)</f>
        <v/>
      </c>
      <c r="R421" s="74" t="str">
        <f aca="false">IF(LEFT(Q421,1)="(",IFERROR(VALUE(MID(Q421,2,FIND(")",Q421)-2)),""),"")</f>
        <v/>
      </c>
      <c r="S421" s="75" t="str">
        <f aca="false">IF($R421="","",N(元データ_B!$B$419))</f>
        <v/>
      </c>
      <c r="T421" s="75" t="str">
        <f aca="false">IF($R421="","",N(元データ_B!$F$419))</f>
        <v/>
      </c>
      <c r="U421" s="74" t="str">
        <f aca="false">IF($R421="","",IF(COUNTIF(店舗マスタ!$B$5:$B$304,$R421)&gt;0,"登録済","未登録→マスタに追加"))</f>
        <v/>
      </c>
    </row>
    <row r="422" customFormat="false" ht="15" hidden="false" customHeight="false" outlineLevel="0" collapsed="false">
      <c r="A422" s="74" t="n">
        <v>420</v>
      </c>
      <c r="B422" s="74" t="str">
        <f aca="false">IF(元データ_PB合計!$A$420="","",元データ_PB合計!$A$420)</f>
        <v/>
      </c>
      <c r="C422" s="74" t="str">
        <f aca="false">IF(LEFT(B422,1)="(",IFERROR(VALUE(MID(B422,2,FIND(")",B422)-2)),""),"")</f>
        <v/>
      </c>
      <c r="D422" s="75" t="str">
        <f aca="false">IF($C422="","",N(元データ_PB合計!$B$420))</f>
        <v/>
      </c>
      <c r="E422" s="75" t="str">
        <f aca="false">IF($C422="","",N(元データ_PB合計!$C$420))</f>
        <v/>
      </c>
      <c r="F422" s="75" t="str">
        <f aca="false">IF($C422="","",N(元データ_PB合計!$F$420))</f>
        <v/>
      </c>
      <c r="G422" s="74" t="str">
        <f aca="false">IF($C422="","",IF(COUNTIF(店舗マスタ!$B$5:$B$304,$C422)&gt;0,"登録済","未登録→マスタに追加"))</f>
        <v/>
      </c>
      <c r="I422" s="74" t="n">
        <v>420</v>
      </c>
      <c r="J422" s="74" t="str">
        <f aca="false">IF(元データ_P!$A$420="","",元データ_P!$A$420)</f>
        <v/>
      </c>
      <c r="K422" s="74" t="str">
        <f aca="false">IF(LEFT(J422,1)="(",IFERROR(VALUE(MID(J422,2,FIND(")",J422)-2)),""),"")</f>
        <v/>
      </c>
      <c r="L422" s="75" t="str">
        <f aca="false">IF($K422="","",N(元データ_P!$B$420))</f>
        <v/>
      </c>
      <c r="M422" s="75" t="str">
        <f aca="false">IF($K422="","",N(元データ_P!$F$420))</f>
        <v/>
      </c>
      <c r="N422" s="74" t="str">
        <f aca="false">IF($K422="","",IF(COUNTIF(店舗マスタ!$B$5:$B$304,$K422)&gt;0,"登録済","未登録→マスタに追加"))</f>
        <v/>
      </c>
      <c r="P422" s="74" t="n">
        <v>420</v>
      </c>
      <c r="Q422" s="74" t="str">
        <f aca="false">IF(元データ_B!$A$420="","",元データ_B!$A$420)</f>
        <v/>
      </c>
      <c r="R422" s="74" t="str">
        <f aca="false">IF(LEFT(Q422,1)="(",IFERROR(VALUE(MID(Q422,2,FIND(")",Q422)-2)),""),"")</f>
        <v/>
      </c>
      <c r="S422" s="75" t="str">
        <f aca="false">IF($R422="","",N(元データ_B!$B$420))</f>
        <v/>
      </c>
      <c r="T422" s="75" t="str">
        <f aca="false">IF($R422="","",N(元データ_B!$F$420))</f>
        <v/>
      </c>
      <c r="U422" s="74" t="str">
        <f aca="false">IF($R422="","",IF(COUNTIF(店舗マスタ!$B$5:$B$304,$R422)&gt;0,"登録済","未登録→マスタに追加"))</f>
        <v/>
      </c>
    </row>
    <row r="423" customFormat="false" ht="15" hidden="false" customHeight="false" outlineLevel="0" collapsed="false">
      <c r="A423" s="74" t="n">
        <v>421</v>
      </c>
      <c r="B423" s="74" t="str">
        <f aca="false">IF(元データ_PB合計!$A$421="","",元データ_PB合計!$A$421)</f>
        <v/>
      </c>
      <c r="C423" s="74" t="str">
        <f aca="false">IF(LEFT(B423,1)="(",IFERROR(VALUE(MID(B423,2,FIND(")",B423)-2)),""),"")</f>
        <v/>
      </c>
      <c r="D423" s="75" t="str">
        <f aca="false">IF($C423="","",N(元データ_PB合計!$B$421))</f>
        <v/>
      </c>
      <c r="E423" s="75" t="str">
        <f aca="false">IF($C423="","",N(元データ_PB合計!$C$421))</f>
        <v/>
      </c>
      <c r="F423" s="75" t="str">
        <f aca="false">IF($C423="","",N(元データ_PB合計!$F$421))</f>
        <v/>
      </c>
      <c r="G423" s="74" t="str">
        <f aca="false">IF($C423="","",IF(COUNTIF(店舗マスタ!$B$5:$B$304,$C423)&gt;0,"登録済","未登録→マスタに追加"))</f>
        <v/>
      </c>
      <c r="I423" s="74" t="n">
        <v>421</v>
      </c>
      <c r="J423" s="74" t="str">
        <f aca="false">IF(元データ_P!$A$421="","",元データ_P!$A$421)</f>
        <v/>
      </c>
      <c r="K423" s="74" t="str">
        <f aca="false">IF(LEFT(J423,1)="(",IFERROR(VALUE(MID(J423,2,FIND(")",J423)-2)),""),"")</f>
        <v/>
      </c>
      <c r="L423" s="75" t="str">
        <f aca="false">IF($K423="","",N(元データ_P!$B$421))</f>
        <v/>
      </c>
      <c r="M423" s="75" t="str">
        <f aca="false">IF($K423="","",N(元データ_P!$F$421))</f>
        <v/>
      </c>
      <c r="N423" s="74" t="str">
        <f aca="false">IF($K423="","",IF(COUNTIF(店舗マスタ!$B$5:$B$304,$K423)&gt;0,"登録済","未登録→マスタに追加"))</f>
        <v/>
      </c>
      <c r="P423" s="74" t="n">
        <v>421</v>
      </c>
      <c r="Q423" s="74" t="str">
        <f aca="false">IF(元データ_B!$A$421="","",元データ_B!$A$421)</f>
        <v/>
      </c>
      <c r="R423" s="74" t="str">
        <f aca="false">IF(LEFT(Q423,1)="(",IFERROR(VALUE(MID(Q423,2,FIND(")",Q423)-2)),""),"")</f>
        <v/>
      </c>
      <c r="S423" s="75" t="str">
        <f aca="false">IF($R423="","",N(元データ_B!$B$421))</f>
        <v/>
      </c>
      <c r="T423" s="75" t="str">
        <f aca="false">IF($R423="","",N(元データ_B!$F$421))</f>
        <v/>
      </c>
      <c r="U423" s="74" t="str">
        <f aca="false">IF($R423="","",IF(COUNTIF(店舗マスタ!$B$5:$B$304,$R423)&gt;0,"登録済","未登録→マスタに追加"))</f>
        <v/>
      </c>
    </row>
    <row r="424" customFormat="false" ht="15" hidden="false" customHeight="false" outlineLevel="0" collapsed="false">
      <c r="A424" s="74" t="n">
        <v>422</v>
      </c>
      <c r="B424" s="74" t="str">
        <f aca="false">IF(元データ_PB合計!$A$422="","",元データ_PB合計!$A$422)</f>
        <v/>
      </c>
      <c r="C424" s="74" t="str">
        <f aca="false">IF(LEFT(B424,1)="(",IFERROR(VALUE(MID(B424,2,FIND(")",B424)-2)),""),"")</f>
        <v/>
      </c>
      <c r="D424" s="75" t="str">
        <f aca="false">IF($C424="","",N(元データ_PB合計!$B$422))</f>
        <v/>
      </c>
      <c r="E424" s="75" t="str">
        <f aca="false">IF($C424="","",N(元データ_PB合計!$C$422))</f>
        <v/>
      </c>
      <c r="F424" s="75" t="str">
        <f aca="false">IF($C424="","",N(元データ_PB合計!$F$422))</f>
        <v/>
      </c>
      <c r="G424" s="74" t="str">
        <f aca="false">IF($C424="","",IF(COUNTIF(店舗マスタ!$B$5:$B$304,$C424)&gt;0,"登録済","未登録→マスタに追加"))</f>
        <v/>
      </c>
      <c r="I424" s="74" t="n">
        <v>422</v>
      </c>
      <c r="J424" s="74" t="str">
        <f aca="false">IF(元データ_P!$A$422="","",元データ_P!$A$422)</f>
        <v/>
      </c>
      <c r="K424" s="74" t="str">
        <f aca="false">IF(LEFT(J424,1)="(",IFERROR(VALUE(MID(J424,2,FIND(")",J424)-2)),""),"")</f>
        <v/>
      </c>
      <c r="L424" s="75" t="str">
        <f aca="false">IF($K424="","",N(元データ_P!$B$422))</f>
        <v/>
      </c>
      <c r="M424" s="75" t="str">
        <f aca="false">IF($K424="","",N(元データ_P!$F$422))</f>
        <v/>
      </c>
      <c r="N424" s="74" t="str">
        <f aca="false">IF($K424="","",IF(COUNTIF(店舗マスタ!$B$5:$B$304,$K424)&gt;0,"登録済","未登録→マスタに追加"))</f>
        <v/>
      </c>
      <c r="P424" s="74" t="n">
        <v>422</v>
      </c>
      <c r="Q424" s="74" t="str">
        <f aca="false">IF(元データ_B!$A$422="","",元データ_B!$A$422)</f>
        <v/>
      </c>
      <c r="R424" s="74" t="str">
        <f aca="false">IF(LEFT(Q424,1)="(",IFERROR(VALUE(MID(Q424,2,FIND(")",Q424)-2)),""),"")</f>
        <v/>
      </c>
      <c r="S424" s="75" t="str">
        <f aca="false">IF($R424="","",N(元データ_B!$B$422))</f>
        <v/>
      </c>
      <c r="T424" s="75" t="str">
        <f aca="false">IF($R424="","",N(元データ_B!$F$422))</f>
        <v/>
      </c>
      <c r="U424" s="74" t="str">
        <f aca="false">IF($R424="","",IF(COUNTIF(店舗マスタ!$B$5:$B$304,$R424)&gt;0,"登録済","未登録→マスタに追加"))</f>
        <v/>
      </c>
    </row>
    <row r="425" customFormat="false" ht="15" hidden="false" customHeight="false" outlineLevel="0" collapsed="false">
      <c r="A425" s="74" t="n">
        <v>423</v>
      </c>
      <c r="B425" s="74" t="str">
        <f aca="false">IF(元データ_PB合計!$A$423="","",元データ_PB合計!$A$423)</f>
        <v/>
      </c>
      <c r="C425" s="74" t="str">
        <f aca="false">IF(LEFT(B425,1)="(",IFERROR(VALUE(MID(B425,2,FIND(")",B425)-2)),""),"")</f>
        <v/>
      </c>
      <c r="D425" s="75" t="str">
        <f aca="false">IF($C425="","",N(元データ_PB合計!$B$423))</f>
        <v/>
      </c>
      <c r="E425" s="75" t="str">
        <f aca="false">IF($C425="","",N(元データ_PB合計!$C$423))</f>
        <v/>
      </c>
      <c r="F425" s="75" t="str">
        <f aca="false">IF($C425="","",N(元データ_PB合計!$F$423))</f>
        <v/>
      </c>
      <c r="G425" s="74" t="str">
        <f aca="false">IF($C425="","",IF(COUNTIF(店舗マスタ!$B$5:$B$304,$C425)&gt;0,"登録済","未登録→マスタに追加"))</f>
        <v/>
      </c>
      <c r="I425" s="74" t="n">
        <v>423</v>
      </c>
      <c r="J425" s="74" t="str">
        <f aca="false">IF(元データ_P!$A$423="","",元データ_P!$A$423)</f>
        <v/>
      </c>
      <c r="K425" s="74" t="str">
        <f aca="false">IF(LEFT(J425,1)="(",IFERROR(VALUE(MID(J425,2,FIND(")",J425)-2)),""),"")</f>
        <v/>
      </c>
      <c r="L425" s="75" t="str">
        <f aca="false">IF($K425="","",N(元データ_P!$B$423))</f>
        <v/>
      </c>
      <c r="M425" s="75" t="str">
        <f aca="false">IF($K425="","",N(元データ_P!$F$423))</f>
        <v/>
      </c>
      <c r="N425" s="74" t="str">
        <f aca="false">IF($K425="","",IF(COUNTIF(店舗マスタ!$B$5:$B$304,$K425)&gt;0,"登録済","未登録→マスタに追加"))</f>
        <v/>
      </c>
      <c r="P425" s="74" t="n">
        <v>423</v>
      </c>
      <c r="Q425" s="74" t="str">
        <f aca="false">IF(元データ_B!$A$423="","",元データ_B!$A$423)</f>
        <v/>
      </c>
      <c r="R425" s="74" t="str">
        <f aca="false">IF(LEFT(Q425,1)="(",IFERROR(VALUE(MID(Q425,2,FIND(")",Q425)-2)),""),"")</f>
        <v/>
      </c>
      <c r="S425" s="75" t="str">
        <f aca="false">IF($R425="","",N(元データ_B!$B$423))</f>
        <v/>
      </c>
      <c r="T425" s="75" t="str">
        <f aca="false">IF($R425="","",N(元データ_B!$F$423))</f>
        <v/>
      </c>
      <c r="U425" s="74" t="str">
        <f aca="false">IF($R425="","",IF(COUNTIF(店舗マスタ!$B$5:$B$304,$R425)&gt;0,"登録済","未登録→マスタに追加"))</f>
        <v/>
      </c>
    </row>
    <row r="426" customFormat="false" ht="15" hidden="false" customHeight="false" outlineLevel="0" collapsed="false">
      <c r="A426" s="74" t="n">
        <v>424</v>
      </c>
      <c r="B426" s="74" t="str">
        <f aca="false">IF(元データ_PB合計!$A$424="","",元データ_PB合計!$A$424)</f>
        <v/>
      </c>
      <c r="C426" s="74" t="str">
        <f aca="false">IF(LEFT(B426,1)="(",IFERROR(VALUE(MID(B426,2,FIND(")",B426)-2)),""),"")</f>
        <v/>
      </c>
      <c r="D426" s="75" t="str">
        <f aca="false">IF($C426="","",N(元データ_PB合計!$B$424))</f>
        <v/>
      </c>
      <c r="E426" s="75" t="str">
        <f aca="false">IF($C426="","",N(元データ_PB合計!$C$424))</f>
        <v/>
      </c>
      <c r="F426" s="75" t="str">
        <f aca="false">IF($C426="","",N(元データ_PB合計!$F$424))</f>
        <v/>
      </c>
      <c r="G426" s="74" t="str">
        <f aca="false">IF($C426="","",IF(COUNTIF(店舗マスタ!$B$5:$B$304,$C426)&gt;0,"登録済","未登録→マスタに追加"))</f>
        <v/>
      </c>
      <c r="I426" s="74" t="n">
        <v>424</v>
      </c>
      <c r="J426" s="74" t="str">
        <f aca="false">IF(元データ_P!$A$424="","",元データ_P!$A$424)</f>
        <v/>
      </c>
      <c r="K426" s="74" t="str">
        <f aca="false">IF(LEFT(J426,1)="(",IFERROR(VALUE(MID(J426,2,FIND(")",J426)-2)),""),"")</f>
        <v/>
      </c>
      <c r="L426" s="75" t="str">
        <f aca="false">IF($K426="","",N(元データ_P!$B$424))</f>
        <v/>
      </c>
      <c r="M426" s="75" t="str">
        <f aca="false">IF($K426="","",N(元データ_P!$F$424))</f>
        <v/>
      </c>
      <c r="N426" s="74" t="str">
        <f aca="false">IF($K426="","",IF(COUNTIF(店舗マスタ!$B$5:$B$304,$K426)&gt;0,"登録済","未登録→マスタに追加"))</f>
        <v/>
      </c>
      <c r="P426" s="74" t="n">
        <v>424</v>
      </c>
      <c r="Q426" s="74" t="str">
        <f aca="false">IF(元データ_B!$A$424="","",元データ_B!$A$424)</f>
        <v/>
      </c>
      <c r="R426" s="74" t="str">
        <f aca="false">IF(LEFT(Q426,1)="(",IFERROR(VALUE(MID(Q426,2,FIND(")",Q426)-2)),""),"")</f>
        <v/>
      </c>
      <c r="S426" s="75" t="str">
        <f aca="false">IF($R426="","",N(元データ_B!$B$424))</f>
        <v/>
      </c>
      <c r="T426" s="75" t="str">
        <f aca="false">IF($R426="","",N(元データ_B!$F$424))</f>
        <v/>
      </c>
      <c r="U426" s="74" t="str">
        <f aca="false">IF($R426="","",IF(COUNTIF(店舗マスタ!$B$5:$B$304,$R426)&gt;0,"登録済","未登録→マスタに追加"))</f>
        <v/>
      </c>
    </row>
    <row r="427" customFormat="false" ht="15" hidden="false" customHeight="false" outlineLevel="0" collapsed="false">
      <c r="A427" s="74" t="n">
        <v>425</v>
      </c>
      <c r="B427" s="74" t="str">
        <f aca="false">IF(元データ_PB合計!$A$425="","",元データ_PB合計!$A$425)</f>
        <v/>
      </c>
      <c r="C427" s="74" t="str">
        <f aca="false">IF(LEFT(B427,1)="(",IFERROR(VALUE(MID(B427,2,FIND(")",B427)-2)),""),"")</f>
        <v/>
      </c>
      <c r="D427" s="75" t="str">
        <f aca="false">IF($C427="","",N(元データ_PB合計!$B$425))</f>
        <v/>
      </c>
      <c r="E427" s="75" t="str">
        <f aca="false">IF($C427="","",N(元データ_PB合計!$C$425))</f>
        <v/>
      </c>
      <c r="F427" s="75" t="str">
        <f aca="false">IF($C427="","",N(元データ_PB合計!$F$425))</f>
        <v/>
      </c>
      <c r="G427" s="74" t="str">
        <f aca="false">IF($C427="","",IF(COUNTIF(店舗マスタ!$B$5:$B$304,$C427)&gt;0,"登録済","未登録→マスタに追加"))</f>
        <v/>
      </c>
      <c r="I427" s="74" t="n">
        <v>425</v>
      </c>
      <c r="J427" s="74" t="str">
        <f aca="false">IF(元データ_P!$A$425="","",元データ_P!$A$425)</f>
        <v/>
      </c>
      <c r="K427" s="74" t="str">
        <f aca="false">IF(LEFT(J427,1)="(",IFERROR(VALUE(MID(J427,2,FIND(")",J427)-2)),""),"")</f>
        <v/>
      </c>
      <c r="L427" s="75" t="str">
        <f aca="false">IF($K427="","",N(元データ_P!$B$425))</f>
        <v/>
      </c>
      <c r="M427" s="75" t="str">
        <f aca="false">IF($K427="","",N(元データ_P!$F$425))</f>
        <v/>
      </c>
      <c r="N427" s="74" t="str">
        <f aca="false">IF($K427="","",IF(COUNTIF(店舗マスタ!$B$5:$B$304,$K427)&gt;0,"登録済","未登録→マスタに追加"))</f>
        <v/>
      </c>
      <c r="P427" s="74" t="n">
        <v>425</v>
      </c>
      <c r="Q427" s="74" t="str">
        <f aca="false">IF(元データ_B!$A$425="","",元データ_B!$A$425)</f>
        <v/>
      </c>
      <c r="R427" s="74" t="str">
        <f aca="false">IF(LEFT(Q427,1)="(",IFERROR(VALUE(MID(Q427,2,FIND(")",Q427)-2)),""),"")</f>
        <v/>
      </c>
      <c r="S427" s="75" t="str">
        <f aca="false">IF($R427="","",N(元データ_B!$B$425))</f>
        <v/>
      </c>
      <c r="T427" s="75" t="str">
        <f aca="false">IF($R427="","",N(元データ_B!$F$425))</f>
        <v/>
      </c>
      <c r="U427" s="74" t="str">
        <f aca="false">IF($R427="","",IF(COUNTIF(店舗マスタ!$B$5:$B$304,$R427)&gt;0,"登録済","未登録→マスタに追加"))</f>
        <v/>
      </c>
    </row>
    <row r="428" customFormat="false" ht="15" hidden="false" customHeight="false" outlineLevel="0" collapsed="false">
      <c r="A428" s="74" t="n">
        <v>426</v>
      </c>
      <c r="B428" s="74" t="str">
        <f aca="false">IF(元データ_PB合計!$A$426="","",元データ_PB合計!$A$426)</f>
        <v/>
      </c>
      <c r="C428" s="74" t="str">
        <f aca="false">IF(LEFT(B428,1)="(",IFERROR(VALUE(MID(B428,2,FIND(")",B428)-2)),""),"")</f>
        <v/>
      </c>
      <c r="D428" s="75" t="str">
        <f aca="false">IF($C428="","",N(元データ_PB合計!$B$426))</f>
        <v/>
      </c>
      <c r="E428" s="75" t="str">
        <f aca="false">IF($C428="","",N(元データ_PB合計!$C$426))</f>
        <v/>
      </c>
      <c r="F428" s="75" t="str">
        <f aca="false">IF($C428="","",N(元データ_PB合計!$F$426))</f>
        <v/>
      </c>
      <c r="G428" s="74" t="str">
        <f aca="false">IF($C428="","",IF(COUNTIF(店舗マスタ!$B$5:$B$304,$C428)&gt;0,"登録済","未登録→マスタに追加"))</f>
        <v/>
      </c>
      <c r="I428" s="74" t="n">
        <v>426</v>
      </c>
      <c r="J428" s="74" t="str">
        <f aca="false">IF(元データ_P!$A$426="","",元データ_P!$A$426)</f>
        <v/>
      </c>
      <c r="K428" s="74" t="str">
        <f aca="false">IF(LEFT(J428,1)="(",IFERROR(VALUE(MID(J428,2,FIND(")",J428)-2)),""),"")</f>
        <v/>
      </c>
      <c r="L428" s="75" t="str">
        <f aca="false">IF($K428="","",N(元データ_P!$B$426))</f>
        <v/>
      </c>
      <c r="M428" s="75" t="str">
        <f aca="false">IF($K428="","",N(元データ_P!$F$426))</f>
        <v/>
      </c>
      <c r="N428" s="74" t="str">
        <f aca="false">IF($K428="","",IF(COUNTIF(店舗マスタ!$B$5:$B$304,$K428)&gt;0,"登録済","未登録→マスタに追加"))</f>
        <v/>
      </c>
      <c r="P428" s="74" t="n">
        <v>426</v>
      </c>
      <c r="Q428" s="74" t="str">
        <f aca="false">IF(元データ_B!$A$426="","",元データ_B!$A$426)</f>
        <v/>
      </c>
      <c r="R428" s="74" t="str">
        <f aca="false">IF(LEFT(Q428,1)="(",IFERROR(VALUE(MID(Q428,2,FIND(")",Q428)-2)),""),"")</f>
        <v/>
      </c>
      <c r="S428" s="75" t="str">
        <f aca="false">IF($R428="","",N(元データ_B!$B$426))</f>
        <v/>
      </c>
      <c r="T428" s="75" t="str">
        <f aca="false">IF($R428="","",N(元データ_B!$F$426))</f>
        <v/>
      </c>
      <c r="U428" s="74" t="str">
        <f aca="false">IF($R428="","",IF(COUNTIF(店舗マスタ!$B$5:$B$304,$R428)&gt;0,"登録済","未登録→マスタに追加"))</f>
        <v/>
      </c>
    </row>
    <row r="429" customFormat="false" ht="15" hidden="false" customHeight="false" outlineLevel="0" collapsed="false">
      <c r="A429" s="74" t="n">
        <v>427</v>
      </c>
      <c r="B429" s="74" t="str">
        <f aca="false">IF(元データ_PB合計!$A$427="","",元データ_PB合計!$A$427)</f>
        <v/>
      </c>
      <c r="C429" s="74" t="str">
        <f aca="false">IF(LEFT(B429,1)="(",IFERROR(VALUE(MID(B429,2,FIND(")",B429)-2)),""),"")</f>
        <v/>
      </c>
      <c r="D429" s="75" t="str">
        <f aca="false">IF($C429="","",N(元データ_PB合計!$B$427))</f>
        <v/>
      </c>
      <c r="E429" s="75" t="str">
        <f aca="false">IF($C429="","",N(元データ_PB合計!$C$427))</f>
        <v/>
      </c>
      <c r="F429" s="75" t="str">
        <f aca="false">IF($C429="","",N(元データ_PB合計!$F$427))</f>
        <v/>
      </c>
      <c r="G429" s="74" t="str">
        <f aca="false">IF($C429="","",IF(COUNTIF(店舗マスタ!$B$5:$B$304,$C429)&gt;0,"登録済","未登録→マスタに追加"))</f>
        <v/>
      </c>
      <c r="I429" s="74" t="n">
        <v>427</v>
      </c>
      <c r="J429" s="74" t="str">
        <f aca="false">IF(元データ_P!$A$427="","",元データ_P!$A$427)</f>
        <v/>
      </c>
      <c r="K429" s="74" t="str">
        <f aca="false">IF(LEFT(J429,1)="(",IFERROR(VALUE(MID(J429,2,FIND(")",J429)-2)),""),"")</f>
        <v/>
      </c>
      <c r="L429" s="75" t="str">
        <f aca="false">IF($K429="","",N(元データ_P!$B$427))</f>
        <v/>
      </c>
      <c r="M429" s="75" t="str">
        <f aca="false">IF($K429="","",N(元データ_P!$F$427))</f>
        <v/>
      </c>
      <c r="N429" s="74" t="str">
        <f aca="false">IF($K429="","",IF(COUNTIF(店舗マスタ!$B$5:$B$304,$K429)&gt;0,"登録済","未登録→マスタに追加"))</f>
        <v/>
      </c>
      <c r="P429" s="74" t="n">
        <v>427</v>
      </c>
      <c r="Q429" s="74" t="str">
        <f aca="false">IF(元データ_B!$A$427="","",元データ_B!$A$427)</f>
        <v/>
      </c>
      <c r="R429" s="74" t="str">
        <f aca="false">IF(LEFT(Q429,1)="(",IFERROR(VALUE(MID(Q429,2,FIND(")",Q429)-2)),""),"")</f>
        <v/>
      </c>
      <c r="S429" s="75" t="str">
        <f aca="false">IF($R429="","",N(元データ_B!$B$427))</f>
        <v/>
      </c>
      <c r="T429" s="75" t="str">
        <f aca="false">IF($R429="","",N(元データ_B!$F$427))</f>
        <v/>
      </c>
      <c r="U429" s="74" t="str">
        <f aca="false">IF($R429="","",IF(COUNTIF(店舗マスタ!$B$5:$B$304,$R429)&gt;0,"登録済","未登録→マスタに追加"))</f>
        <v/>
      </c>
    </row>
    <row r="430" customFormat="false" ht="15" hidden="false" customHeight="false" outlineLevel="0" collapsed="false">
      <c r="A430" s="74" t="n">
        <v>428</v>
      </c>
      <c r="B430" s="74" t="str">
        <f aca="false">IF(元データ_PB合計!$A$428="","",元データ_PB合計!$A$428)</f>
        <v/>
      </c>
      <c r="C430" s="74" t="str">
        <f aca="false">IF(LEFT(B430,1)="(",IFERROR(VALUE(MID(B430,2,FIND(")",B430)-2)),""),"")</f>
        <v/>
      </c>
      <c r="D430" s="75" t="str">
        <f aca="false">IF($C430="","",N(元データ_PB合計!$B$428))</f>
        <v/>
      </c>
      <c r="E430" s="75" t="str">
        <f aca="false">IF($C430="","",N(元データ_PB合計!$C$428))</f>
        <v/>
      </c>
      <c r="F430" s="75" t="str">
        <f aca="false">IF($C430="","",N(元データ_PB合計!$F$428))</f>
        <v/>
      </c>
      <c r="G430" s="74" t="str">
        <f aca="false">IF($C430="","",IF(COUNTIF(店舗マスタ!$B$5:$B$304,$C430)&gt;0,"登録済","未登録→マスタに追加"))</f>
        <v/>
      </c>
      <c r="I430" s="74" t="n">
        <v>428</v>
      </c>
      <c r="J430" s="74" t="str">
        <f aca="false">IF(元データ_P!$A$428="","",元データ_P!$A$428)</f>
        <v/>
      </c>
      <c r="K430" s="74" t="str">
        <f aca="false">IF(LEFT(J430,1)="(",IFERROR(VALUE(MID(J430,2,FIND(")",J430)-2)),""),"")</f>
        <v/>
      </c>
      <c r="L430" s="75" t="str">
        <f aca="false">IF($K430="","",N(元データ_P!$B$428))</f>
        <v/>
      </c>
      <c r="M430" s="75" t="str">
        <f aca="false">IF($K430="","",N(元データ_P!$F$428))</f>
        <v/>
      </c>
      <c r="N430" s="74" t="str">
        <f aca="false">IF($K430="","",IF(COUNTIF(店舗マスタ!$B$5:$B$304,$K430)&gt;0,"登録済","未登録→マスタに追加"))</f>
        <v/>
      </c>
      <c r="P430" s="74" t="n">
        <v>428</v>
      </c>
      <c r="Q430" s="74" t="str">
        <f aca="false">IF(元データ_B!$A$428="","",元データ_B!$A$428)</f>
        <v/>
      </c>
      <c r="R430" s="74" t="str">
        <f aca="false">IF(LEFT(Q430,1)="(",IFERROR(VALUE(MID(Q430,2,FIND(")",Q430)-2)),""),"")</f>
        <v/>
      </c>
      <c r="S430" s="75" t="str">
        <f aca="false">IF($R430="","",N(元データ_B!$B$428))</f>
        <v/>
      </c>
      <c r="T430" s="75" t="str">
        <f aca="false">IF($R430="","",N(元データ_B!$F$428))</f>
        <v/>
      </c>
      <c r="U430" s="74" t="str">
        <f aca="false">IF($R430="","",IF(COUNTIF(店舗マスタ!$B$5:$B$304,$R430)&gt;0,"登録済","未登録→マスタに追加"))</f>
        <v/>
      </c>
    </row>
    <row r="431" customFormat="false" ht="15" hidden="false" customHeight="false" outlineLevel="0" collapsed="false">
      <c r="A431" s="74" t="n">
        <v>429</v>
      </c>
      <c r="B431" s="74" t="str">
        <f aca="false">IF(元データ_PB合計!$A$429="","",元データ_PB合計!$A$429)</f>
        <v/>
      </c>
      <c r="C431" s="74" t="str">
        <f aca="false">IF(LEFT(B431,1)="(",IFERROR(VALUE(MID(B431,2,FIND(")",B431)-2)),""),"")</f>
        <v/>
      </c>
      <c r="D431" s="75" t="str">
        <f aca="false">IF($C431="","",N(元データ_PB合計!$B$429))</f>
        <v/>
      </c>
      <c r="E431" s="75" t="str">
        <f aca="false">IF($C431="","",N(元データ_PB合計!$C$429))</f>
        <v/>
      </c>
      <c r="F431" s="75" t="str">
        <f aca="false">IF($C431="","",N(元データ_PB合計!$F$429))</f>
        <v/>
      </c>
      <c r="G431" s="74" t="str">
        <f aca="false">IF($C431="","",IF(COUNTIF(店舗マスタ!$B$5:$B$304,$C431)&gt;0,"登録済","未登録→マスタに追加"))</f>
        <v/>
      </c>
      <c r="I431" s="74" t="n">
        <v>429</v>
      </c>
      <c r="J431" s="74" t="str">
        <f aca="false">IF(元データ_P!$A$429="","",元データ_P!$A$429)</f>
        <v/>
      </c>
      <c r="K431" s="74" t="str">
        <f aca="false">IF(LEFT(J431,1)="(",IFERROR(VALUE(MID(J431,2,FIND(")",J431)-2)),""),"")</f>
        <v/>
      </c>
      <c r="L431" s="75" t="str">
        <f aca="false">IF($K431="","",N(元データ_P!$B$429))</f>
        <v/>
      </c>
      <c r="M431" s="75" t="str">
        <f aca="false">IF($K431="","",N(元データ_P!$F$429))</f>
        <v/>
      </c>
      <c r="N431" s="74" t="str">
        <f aca="false">IF($K431="","",IF(COUNTIF(店舗マスタ!$B$5:$B$304,$K431)&gt;0,"登録済","未登録→マスタに追加"))</f>
        <v/>
      </c>
      <c r="P431" s="74" t="n">
        <v>429</v>
      </c>
      <c r="Q431" s="74" t="str">
        <f aca="false">IF(元データ_B!$A$429="","",元データ_B!$A$429)</f>
        <v/>
      </c>
      <c r="R431" s="74" t="str">
        <f aca="false">IF(LEFT(Q431,1)="(",IFERROR(VALUE(MID(Q431,2,FIND(")",Q431)-2)),""),"")</f>
        <v/>
      </c>
      <c r="S431" s="75" t="str">
        <f aca="false">IF($R431="","",N(元データ_B!$B$429))</f>
        <v/>
      </c>
      <c r="T431" s="75" t="str">
        <f aca="false">IF($R431="","",N(元データ_B!$F$429))</f>
        <v/>
      </c>
      <c r="U431" s="74" t="str">
        <f aca="false">IF($R431="","",IF(COUNTIF(店舗マスタ!$B$5:$B$304,$R431)&gt;0,"登録済","未登録→マスタに追加"))</f>
        <v/>
      </c>
    </row>
    <row r="432" customFormat="false" ht="15" hidden="false" customHeight="false" outlineLevel="0" collapsed="false">
      <c r="A432" s="74" t="n">
        <v>430</v>
      </c>
      <c r="B432" s="74" t="str">
        <f aca="false">IF(元データ_PB合計!$A$430="","",元データ_PB合計!$A$430)</f>
        <v/>
      </c>
      <c r="C432" s="74" t="str">
        <f aca="false">IF(LEFT(B432,1)="(",IFERROR(VALUE(MID(B432,2,FIND(")",B432)-2)),""),"")</f>
        <v/>
      </c>
      <c r="D432" s="75" t="str">
        <f aca="false">IF($C432="","",N(元データ_PB合計!$B$430))</f>
        <v/>
      </c>
      <c r="E432" s="75" t="str">
        <f aca="false">IF($C432="","",N(元データ_PB合計!$C$430))</f>
        <v/>
      </c>
      <c r="F432" s="75" t="str">
        <f aca="false">IF($C432="","",N(元データ_PB合計!$F$430))</f>
        <v/>
      </c>
      <c r="G432" s="74" t="str">
        <f aca="false">IF($C432="","",IF(COUNTIF(店舗マスタ!$B$5:$B$304,$C432)&gt;0,"登録済","未登録→マスタに追加"))</f>
        <v/>
      </c>
      <c r="I432" s="74" t="n">
        <v>430</v>
      </c>
      <c r="J432" s="74" t="str">
        <f aca="false">IF(元データ_P!$A$430="","",元データ_P!$A$430)</f>
        <v/>
      </c>
      <c r="K432" s="74" t="str">
        <f aca="false">IF(LEFT(J432,1)="(",IFERROR(VALUE(MID(J432,2,FIND(")",J432)-2)),""),"")</f>
        <v/>
      </c>
      <c r="L432" s="75" t="str">
        <f aca="false">IF($K432="","",N(元データ_P!$B$430))</f>
        <v/>
      </c>
      <c r="M432" s="75" t="str">
        <f aca="false">IF($K432="","",N(元データ_P!$F$430))</f>
        <v/>
      </c>
      <c r="N432" s="74" t="str">
        <f aca="false">IF($K432="","",IF(COUNTIF(店舗マスタ!$B$5:$B$304,$K432)&gt;0,"登録済","未登録→マスタに追加"))</f>
        <v/>
      </c>
      <c r="P432" s="74" t="n">
        <v>430</v>
      </c>
      <c r="Q432" s="74" t="str">
        <f aca="false">IF(元データ_B!$A$430="","",元データ_B!$A$430)</f>
        <v/>
      </c>
      <c r="R432" s="74" t="str">
        <f aca="false">IF(LEFT(Q432,1)="(",IFERROR(VALUE(MID(Q432,2,FIND(")",Q432)-2)),""),"")</f>
        <v/>
      </c>
      <c r="S432" s="75" t="str">
        <f aca="false">IF($R432="","",N(元データ_B!$B$430))</f>
        <v/>
      </c>
      <c r="T432" s="75" t="str">
        <f aca="false">IF($R432="","",N(元データ_B!$F$430))</f>
        <v/>
      </c>
      <c r="U432" s="74" t="str">
        <f aca="false">IF($R432="","",IF(COUNTIF(店舗マスタ!$B$5:$B$304,$R432)&gt;0,"登録済","未登録→マスタに追加"))</f>
        <v/>
      </c>
    </row>
    <row r="433" customFormat="false" ht="15" hidden="false" customHeight="false" outlineLevel="0" collapsed="false">
      <c r="A433" s="74" t="n">
        <v>431</v>
      </c>
      <c r="B433" s="74" t="str">
        <f aca="false">IF(元データ_PB合計!$A$431="","",元データ_PB合計!$A$431)</f>
        <v/>
      </c>
      <c r="C433" s="74" t="str">
        <f aca="false">IF(LEFT(B433,1)="(",IFERROR(VALUE(MID(B433,2,FIND(")",B433)-2)),""),"")</f>
        <v/>
      </c>
      <c r="D433" s="75" t="str">
        <f aca="false">IF($C433="","",N(元データ_PB合計!$B$431))</f>
        <v/>
      </c>
      <c r="E433" s="75" t="str">
        <f aca="false">IF($C433="","",N(元データ_PB合計!$C$431))</f>
        <v/>
      </c>
      <c r="F433" s="75" t="str">
        <f aca="false">IF($C433="","",N(元データ_PB合計!$F$431))</f>
        <v/>
      </c>
      <c r="G433" s="74" t="str">
        <f aca="false">IF($C433="","",IF(COUNTIF(店舗マスタ!$B$5:$B$304,$C433)&gt;0,"登録済","未登録→マスタに追加"))</f>
        <v/>
      </c>
      <c r="I433" s="74" t="n">
        <v>431</v>
      </c>
      <c r="J433" s="74" t="str">
        <f aca="false">IF(元データ_P!$A$431="","",元データ_P!$A$431)</f>
        <v/>
      </c>
      <c r="K433" s="74" t="str">
        <f aca="false">IF(LEFT(J433,1)="(",IFERROR(VALUE(MID(J433,2,FIND(")",J433)-2)),""),"")</f>
        <v/>
      </c>
      <c r="L433" s="75" t="str">
        <f aca="false">IF($K433="","",N(元データ_P!$B$431))</f>
        <v/>
      </c>
      <c r="M433" s="75" t="str">
        <f aca="false">IF($K433="","",N(元データ_P!$F$431))</f>
        <v/>
      </c>
      <c r="N433" s="74" t="str">
        <f aca="false">IF($K433="","",IF(COUNTIF(店舗マスタ!$B$5:$B$304,$K433)&gt;0,"登録済","未登録→マスタに追加"))</f>
        <v/>
      </c>
      <c r="P433" s="74" t="n">
        <v>431</v>
      </c>
      <c r="Q433" s="74" t="str">
        <f aca="false">IF(元データ_B!$A$431="","",元データ_B!$A$431)</f>
        <v/>
      </c>
      <c r="R433" s="74" t="str">
        <f aca="false">IF(LEFT(Q433,1)="(",IFERROR(VALUE(MID(Q433,2,FIND(")",Q433)-2)),""),"")</f>
        <v/>
      </c>
      <c r="S433" s="75" t="str">
        <f aca="false">IF($R433="","",N(元データ_B!$B$431))</f>
        <v/>
      </c>
      <c r="T433" s="75" t="str">
        <f aca="false">IF($R433="","",N(元データ_B!$F$431))</f>
        <v/>
      </c>
      <c r="U433" s="74" t="str">
        <f aca="false">IF($R433="","",IF(COUNTIF(店舗マスタ!$B$5:$B$304,$R433)&gt;0,"登録済","未登録→マスタに追加"))</f>
        <v/>
      </c>
    </row>
    <row r="434" customFormat="false" ht="15" hidden="false" customHeight="false" outlineLevel="0" collapsed="false">
      <c r="A434" s="74" t="n">
        <v>432</v>
      </c>
      <c r="B434" s="74" t="str">
        <f aca="false">IF(元データ_PB合計!$A$432="","",元データ_PB合計!$A$432)</f>
        <v/>
      </c>
      <c r="C434" s="74" t="str">
        <f aca="false">IF(LEFT(B434,1)="(",IFERROR(VALUE(MID(B434,2,FIND(")",B434)-2)),""),"")</f>
        <v/>
      </c>
      <c r="D434" s="75" t="str">
        <f aca="false">IF($C434="","",N(元データ_PB合計!$B$432))</f>
        <v/>
      </c>
      <c r="E434" s="75" t="str">
        <f aca="false">IF($C434="","",N(元データ_PB合計!$C$432))</f>
        <v/>
      </c>
      <c r="F434" s="75" t="str">
        <f aca="false">IF($C434="","",N(元データ_PB合計!$F$432))</f>
        <v/>
      </c>
      <c r="G434" s="74" t="str">
        <f aca="false">IF($C434="","",IF(COUNTIF(店舗マスタ!$B$5:$B$304,$C434)&gt;0,"登録済","未登録→マスタに追加"))</f>
        <v/>
      </c>
      <c r="I434" s="74" t="n">
        <v>432</v>
      </c>
      <c r="J434" s="74" t="str">
        <f aca="false">IF(元データ_P!$A$432="","",元データ_P!$A$432)</f>
        <v/>
      </c>
      <c r="K434" s="74" t="str">
        <f aca="false">IF(LEFT(J434,1)="(",IFERROR(VALUE(MID(J434,2,FIND(")",J434)-2)),""),"")</f>
        <v/>
      </c>
      <c r="L434" s="75" t="str">
        <f aca="false">IF($K434="","",N(元データ_P!$B$432))</f>
        <v/>
      </c>
      <c r="M434" s="75" t="str">
        <f aca="false">IF($K434="","",N(元データ_P!$F$432))</f>
        <v/>
      </c>
      <c r="N434" s="74" t="str">
        <f aca="false">IF($K434="","",IF(COUNTIF(店舗マスタ!$B$5:$B$304,$K434)&gt;0,"登録済","未登録→マスタに追加"))</f>
        <v/>
      </c>
      <c r="P434" s="74" t="n">
        <v>432</v>
      </c>
      <c r="Q434" s="74" t="str">
        <f aca="false">IF(元データ_B!$A$432="","",元データ_B!$A$432)</f>
        <v/>
      </c>
      <c r="R434" s="74" t="str">
        <f aca="false">IF(LEFT(Q434,1)="(",IFERROR(VALUE(MID(Q434,2,FIND(")",Q434)-2)),""),"")</f>
        <v/>
      </c>
      <c r="S434" s="75" t="str">
        <f aca="false">IF($R434="","",N(元データ_B!$B$432))</f>
        <v/>
      </c>
      <c r="T434" s="75" t="str">
        <f aca="false">IF($R434="","",N(元データ_B!$F$432))</f>
        <v/>
      </c>
      <c r="U434" s="74" t="str">
        <f aca="false">IF($R434="","",IF(COUNTIF(店舗マスタ!$B$5:$B$304,$R434)&gt;0,"登録済","未登録→マスタに追加"))</f>
        <v/>
      </c>
    </row>
    <row r="435" customFormat="false" ht="15" hidden="false" customHeight="false" outlineLevel="0" collapsed="false">
      <c r="A435" s="74" t="n">
        <v>433</v>
      </c>
      <c r="B435" s="74" t="str">
        <f aca="false">IF(元データ_PB合計!$A$433="","",元データ_PB合計!$A$433)</f>
        <v/>
      </c>
      <c r="C435" s="74" t="str">
        <f aca="false">IF(LEFT(B435,1)="(",IFERROR(VALUE(MID(B435,2,FIND(")",B435)-2)),""),"")</f>
        <v/>
      </c>
      <c r="D435" s="75" t="str">
        <f aca="false">IF($C435="","",N(元データ_PB合計!$B$433))</f>
        <v/>
      </c>
      <c r="E435" s="75" t="str">
        <f aca="false">IF($C435="","",N(元データ_PB合計!$C$433))</f>
        <v/>
      </c>
      <c r="F435" s="75" t="str">
        <f aca="false">IF($C435="","",N(元データ_PB合計!$F$433))</f>
        <v/>
      </c>
      <c r="G435" s="74" t="str">
        <f aca="false">IF($C435="","",IF(COUNTIF(店舗マスタ!$B$5:$B$304,$C435)&gt;0,"登録済","未登録→マスタに追加"))</f>
        <v/>
      </c>
      <c r="I435" s="74" t="n">
        <v>433</v>
      </c>
      <c r="J435" s="74" t="str">
        <f aca="false">IF(元データ_P!$A$433="","",元データ_P!$A$433)</f>
        <v/>
      </c>
      <c r="K435" s="74" t="str">
        <f aca="false">IF(LEFT(J435,1)="(",IFERROR(VALUE(MID(J435,2,FIND(")",J435)-2)),""),"")</f>
        <v/>
      </c>
      <c r="L435" s="75" t="str">
        <f aca="false">IF($K435="","",N(元データ_P!$B$433))</f>
        <v/>
      </c>
      <c r="M435" s="75" t="str">
        <f aca="false">IF($K435="","",N(元データ_P!$F$433))</f>
        <v/>
      </c>
      <c r="N435" s="74" t="str">
        <f aca="false">IF($K435="","",IF(COUNTIF(店舗マスタ!$B$5:$B$304,$K435)&gt;0,"登録済","未登録→マスタに追加"))</f>
        <v/>
      </c>
      <c r="P435" s="74" t="n">
        <v>433</v>
      </c>
      <c r="Q435" s="74" t="str">
        <f aca="false">IF(元データ_B!$A$433="","",元データ_B!$A$433)</f>
        <v/>
      </c>
      <c r="R435" s="74" t="str">
        <f aca="false">IF(LEFT(Q435,1)="(",IFERROR(VALUE(MID(Q435,2,FIND(")",Q435)-2)),""),"")</f>
        <v/>
      </c>
      <c r="S435" s="75" t="str">
        <f aca="false">IF($R435="","",N(元データ_B!$B$433))</f>
        <v/>
      </c>
      <c r="T435" s="75" t="str">
        <f aca="false">IF($R435="","",N(元データ_B!$F$433))</f>
        <v/>
      </c>
      <c r="U435" s="74" t="str">
        <f aca="false">IF($R435="","",IF(COUNTIF(店舗マスタ!$B$5:$B$304,$R435)&gt;0,"登録済","未登録→マスタに追加"))</f>
        <v/>
      </c>
    </row>
    <row r="436" customFormat="false" ht="15" hidden="false" customHeight="false" outlineLevel="0" collapsed="false">
      <c r="A436" s="74" t="n">
        <v>434</v>
      </c>
      <c r="B436" s="74" t="str">
        <f aca="false">IF(元データ_PB合計!$A$434="","",元データ_PB合計!$A$434)</f>
        <v/>
      </c>
      <c r="C436" s="74" t="str">
        <f aca="false">IF(LEFT(B436,1)="(",IFERROR(VALUE(MID(B436,2,FIND(")",B436)-2)),""),"")</f>
        <v/>
      </c>
      <c r="D436" s="75" t="str">
        <f aca="false">IF($C436="","",N(元データ_PB合計!$B$434))</f>
        <v/>
      </c>
      <c r="E436" s="75" t="str">
        <f aca="false">IF($C436="","",N(元データ_PB合計!$C$434))</f>
        <v/>
      </c>
      <c r="F436" s="75" t="str">
        <f aca="false">IF($C436="","",N(元データ_PB合計!$F$434))</f>
        <v/>
      </c>
      <c r="G436" s="74" t="str">
        <f aca="false">IF($C436="","",IF(COUNTIF(店舗マスタ!$B$5:$B$304,$C436)&gt;0,"登録済","未登録→マスタに追加"))</f>
        <v/>
      </c>
      <c r="I436" s="74" t="n">
        <v>434</v>
      </c>
      <c r="J436" s="74" t="str">
        <f aca="false">IF(元データ_P!$A$434="","",元データ_P!$A$434)</f>
        <v/>
      </c>
      <c r="K436" s="74" t="str">
        <f aca="false">IF(LEFT(J436,1)="(",IFERROR(VALUE(MID(J436,2,FIND(")",J436)-2)),""),"")</f>
        <v/>
      </c>
      <c r="L436" s="75" t="str">
        <f aca="false">IF($K436="","",N(元データ_P!$B$434))</f>
        <v/>
      </c>
      <c r="M436" s="75" t="str">
        <f aca="false">IF($K436="","",N(元データ_P!$F$434))</f>
        <v/>
      </c>
      <c r="N436" s="74" t="str">
        <f aca="false">IF($K436="","",IF(COUNTIF(店舗マスタ!$B$5:$B$304,$K436)&gt;0,"登録済","未登録→マスタに追加"))</f>
        <v/>
      </c>
      <c r="P436" s="74" t="n">
        <v>434</v>
      </c>
      <c r="Q436" s="74" t="str">
        <f aca="false">IF(元データ_B!$A$434="","",元データ_B!$A$434)</f>
        <v/>
      </c>
      <c r="R436" s="74" t="str">
        <f aca="false">IF(LEFT(Q436,1)="(",IFERROR(VALUE(MID(Q436,2,FIND(")",Q436)-2)),""),"")</f>
        <v/>
      </c>
      <c r="S436" s="75" t="str">
        <f aca="false">IF($R436="","",N(元データ_B!$B$434))</f>
        <v/>
      </c>
      <c r="T436" s="75" t="str">
        <f aca="false">IF($R436="","",N(元データ_B!$F$434))</f>
        <v/>
      </c>
      <c r="U436" s="74" t="str">
        <f aca="false">IF($R436="","",IF(COUNTIF(店舗マスタ!$B$5:$B$304,$R436)&gt;0,"登録済","未登録→マスタに追加"))</f>
        <v/>
      </c>
    </row>
    <row r="437" customFormat="false" ht="15" hidden="false" customHeight="false" outlineLevel="0" collapsed="false">
      <c r="A437" s="74" t="n">
        <v>435</v>
      </c>
      <c r="B437" s="74" t="str">
        <f aca="false">IF(元データ_PB合計!$A$435="","",元データ_PB合計!$A$435)</f>
        <v/>
      </c>
      <c r="C437" s="74" t="str">
        <f aca="false">IF(LEFT(B437,1)="(",IFERROR(VALUE(MID(B437,2,FIND(")",B437)-2)),""),"")</f>
        <v/>
      </c>
      <c r="D437" s="75" t="str">
        <f aca="false">IF($C437="","",N(元データ_PB合計!$B$435))</f>
        <v/>
      </c>
      <c r="E437" s="75" t="str">
        <f aca="false">IF($C437="","",N(元データ_PB合計!$C$435))</f>
        <v/>
      </c>
      <c r="F437" s="75" t="str">
        <f aca="false">IF($C437="","",N(元データ_PB合計!$F$435))</f>
        <v/>
      </c>
      <c r="G437" s="74" t="str">
        <f aca="false">IF($C437="","",IF(COUNTIF(店舗マスタ!$B$5:$B$304,$C437)&gt;0,"登録済","未登録→マスタに追加"))</f>
        <v/>
      </c>
      <c r="I437" s="74" t="n">
        <v>435</v>
      </c>
      <c r="J437" s="74" t="str">
        <f aca="false">IF(元データ_P!$A$435="","",元データ_P!$A$435)</f>
        <v/>
      </c>
      <c r="K437" s="74" t="str">
        <f aca="false">IF(LEFT(J437,1)="(",IFERROR(VALUE(MID(J437,2,FIND(")",J437)-2)),""),"")</f>
        <v/>
      </c>
      <c r="L437" s="75" t="str">
        <f aca="false">IF($K437="","",N(元データ_P!$B$435))</f>
        <v/>
      </c>
      <c r="M437" s="75" t="str">
        <f aca="false">IF($K437="","",N(元データ_P!$F$435))</f>
        <v/>
      </c>
      <c r="N437" s="74" t="str">
        <f aca="false">IF($K437="","",IF(COUNTIF(店舗マスタ!$B$5:$B$304,$K437)&gt;0,"登録済","未登録→マスタに追加"))</f>
        <v/>
      </c>
      <c r="P437" s="74" t="n">
        <v>435</v>
      </c>
      <c r="Q437" s="74" t="str">
        <f aca="false">IF(元データ_B!$A$435="","",元データ_B!$A$435)</f>
        <v/>
      </c>
      <c r="R437" s="74" t="str">
        <f aca="false">IF(LEFT(Q437,1)="(",IFERROR(VALUE(MID(Q437,2,FIND(")",Q437)-2)),""),"")</f>
        <v/>
      </c>
      <c r="S437" s="75" t="str">
        <f aca="false">IF($R437="","",N(元データ_B!$B$435))</f>
        <v/>
      </c>
      <c r="T437" s="75" t="str">
        <f aca="false">IF($R437="","",N(元データ_B!$F$435))</f>
        <v/>
      </c>
      <c r="U437" s="74" t="str">
        <f aca="false">IF($R437="","",IF(COUNTIF(店舗マスタ!$B$5:$B$304,$R437)&gt;0,"登録済","未登録→マスタに追加"))</f>
        <v/>
      </c>
    </row>
    <row r="438" customFormat="false" ht="15" hidden="false" customHeight="false" outlineLevel="0" collapsed="false">
      <c r="A438" s="74" t="n">
        <v>436</v>
      </c>
      <c r="B438" s="74" t="str">
        <f aca="false">IF(元データ_PB合計!$A$436="","",元データ_PB合計!$A$436)</f>
        <v/>
      </c>
      <c r="C438" s="74" t="str">
        <f aca="false">IF(LEFT(B438,1)="(",IFERROR(VALUE(MID(B438,2,FIND(")",B438)-2)),""),"")</f>
        <v/>
      </c>
      <c r="D438" s="75" t="str">
        <f aca="false">IF($C438="","",N(元データ_PB合計!$B$436))</f>
        <v/>
      </c>
      <c r="E438" s="75" t="str">
        <f aca="false">IF($C438="","",N(元データ_PB合計!$C$436))</f>
        <v/>
      </c>
      <c r="F438" s="75" t="str">
        <f aca="false">IF($C438="","",N(元データ_PB合計!$F$436))</f>
        <v/>
      </c>
      <c r="G438" s="74" t="str">
        <f aca="false">IF($C438="","",IF(COUNTIF(店舗マスタ!$B$5:$B$304,$C438)&gt;0,"登録済","未登録→マスタに追加"))</f>
        <v/>
      </c>
      <c r="I438" s="74" t="n">
        <v>436</v>
      </c>
      <c r="J438" s="74" t="str">
        <f aca="false">IF(元データ_P!$A$436="","",元データ_P!$A$436)</f>
        <v/>
      </c>
      <c r="K438" s="74" t="str">
        <f aca="false">IF(LEFT(J438,1)="(",IFERROR(VALUE(MID(J438,2,FIND(")",J438)-2)),""),"")</f>
        <v/>
      </c>
      <c r="L438" s="75" t="str">
        <f aca="false">IF($K438="","",N(元データ_P!$B$436))</f>
        <v/>
      </c>
      <c r="M438" s="75" t="str">
        <f aca="false">IF($K438="","",N(元データ_P!$F$436))</f>
        <v/>
      </c>
      <c r="N438" s="74" t="str">
        <f aca="false">IF($K438="","",IF(COUNTIF(店舗マスタ!$B$5:$B$304,$K438)&gt;0,"登録済","未登録→マスタに追加"))</f>
        <v/>
      </c>
      <c r="P438" s="74" t="n">
        <v>436</v>
      </c>
      <c r="Q438" s="74" t="str">
        <f aca="false">IF(元データ_B!$A$436="","",元データ_B!$A$436)</f>
        <v/>
      </c>
      <c r="R438" s="74" t="str">
        <f aca="false">IF(LEFT(Q438,1)="(",IFERROR(VALUE(MID(Q438,2,FIND(")",Q438)-2)),""),"")</f>
        <v/>
      </c>
      <c r="S438" s="75" t="str">
        <f aca="false">IF($R438="","",N(元データ_B!$B$436))</f>
        <v/>
      </c>
      <c r="T438" s="75" t="str">
        <f aca="false">IF($R438="","",N(元データ_B!$F$436))</f>
        <v/>
      </c>
      <c r="U438" s="74" t="str">
        <f aca="false">IF($R438="","",IF(COUNTIF(店舗マスタ!$B$5:$B$304,$R438)&gt;0,"登録済","未登録→マスタに追加"))</f>
        <v/>
      </c>
    </row>
    <row r="439" customFormat="false" ht="15" hidden="false" customHeight="false" outlineLevel="0" collapsed="false">
      <c r="A439" s="74" t="n">
        <v>437</v>
      </c>
      <c r="B439" s="74" t="str">
        <f aca="false">IF(元データ_PB合計!$A$437="","",元データ_PB合計!$A$437)</f>
        <v/>
      </c>
      <c r="C439" s="74" t="str">
        <f aca="false">IF(LEFT(B439,1)="(",IFERROR(VALUE(MID(B439,2,FIND(")",B439)-2)),""),"")</f>
        <v/>
      </c>
      <c r="D439" s="75" t="str">
        <f aca="false">IF($C439="","",N(元データ_PB合計!$B$437))</f>
        <v/>
      </c>
      <c r="E439" s="75" t="str">
        <f aca="false">IF($C439="","",N(元データ_PB合計!$C$437))</f>
        <v/>
      </c>
      <c r="F439" s="75" t="str">
        <f aca="false">IF($C439="","",N(元データ_PB合計!$F$437))</f>
        <v/>
      </c>
      <c r="G439" s="74" t="str">
        <f aca="false">IF($C439="","",IF(COUNTIF(店舗マスタ!$B$5:$B$304,$C439)&gt;0,"登録済","未登録→マスタに追加"))</f>
        <v/>
      </c>
      <c r="I439" s="74" t="n">
        <v>437</v>
      </c>
      <c r="J439" s="74" t="str">
        <f aca="false">IF(元データ_P!$A$437="","",元データ_P!$A$437)</f>
        <v/>
      </c>
      <c r="K439" s="74" t="str">
        <f aca="false">IF(LEFT(J439,1)="(",IFERROR(VALUE(MID(J439,2,FIND(")",J439)-2)),""),"")</f>
        <v/>
      </c>
      <c r="L439" s="75" t="str">
        <f aca="false">IF($K439="","",N(元データ_P!$B$437))</f>
        <v/>
      </c>
      <c r="M439" s="75" t="str">
        <f aca="false">IF($K439="","",N(元データ_P!$F$437))</f>
        <v/>
      </c>
      <c r="N439" s="74" t="str">
        <f aca="false">IF($K439="","",IF(COUNTIF(店舗マスタ!$B$5:$B$304,$K439)&gt;0,"登録済","未登録→マスタに追加"))</f>
        <v/>
      </c>
      <c r="P439" s="74" t="n">
        <v>437</v>
      </c>
      <c r="Q439" s="74" t="str">
        <f aca="false">IF(元データ_B!$A$437="","",元データ_B!$A$437)</f>
        <v/>
      </c>
      <c r="R439" s="74" t="str">
        <f aca="false">IF(LEFT(Q439,1)="(",IFERROR(VALUE(MID(Q439,2,FIND(")",Q439)-2)),""),"")</f>
        <v/>
      </c>
      <c r="S439" s="75" t="str">
        <f aca="false">IF($R439="","",N(元データ_B!$B$437))</f>
        <v/>
      </c>
      <c r="T439" s="75" t="str">
        <f aca="false">IF($R439="","",N(元データ_B!$F$437))</f>
        <v/>
      </c>
      <c r="U439" s="74" t="str">
        <f aca="false">IF($R439="","",IF(COUNTIF(店舗マスタ!$B$5:$B$304,$R439)&gt;0,"登録済","未登録→マスタに追加"))</f>
        <v/>
      </c>
    </row>
    <row r="440" customFormat="false" ht="15" hidden="false" customHeight="false" outlineLevel="0" collapsed="false">
      <c r="A440" s="74" t="n">
        <v>438</v>
      </c>
      <c r="B440" s="74" t="str">
        <f aca="false">IF(元データ_PB合計!$A$438="","",元データ_PB合計!$A$438)</f>
        <v/>
      </c>
      <c r="C440" s="74" t="str">
        <f aca="false">IF(LEFT(B440,1)="(",IFERROR(VALUE(MID(B440,2,FIND(")",B440)-2)),""),"")</f>
        <v/>
      </c>
      <c r="D440" s="75" t="str">
        <f aca="false">IF($C440="","",N(元データ_PB合計!$B$438))</f>
        <v/>
      </c>
      <c r="E440" s="75" t="str">
        <f aca="false">IF($C440="","",N(元データ_PB合計!$C$438))</f>
        <v/>
      </c>
      <c r="F440" s="75" t="str">
        <f aca="false">IF($C440="","",N(元データ_PB合計!$F$438))</f>
        <v/>
      </c>
      <c r="G440" s="74" t="str">
        <f aca="false">IF($C440="","",IF(COUNTIF(店舗マスタ!$B$5:$B$304,$C440)&gt;0,"登録済","未登録→マスタに追加"))</f>
        <v/>
      </c>
      <c r="I440" s="74" t="n">
        <v>438</v>
      </c>
      <c r="J440" s="74" t="str">
        <f aca="false">IF(元データ_P!$A$438="","",元データ_P!$A$438)</f>
        <v/>
      </c>
      <c r="K440" s="74" t="str">
        <f aca="false">IF(LEFT(J440,1)="(",IFERROR(VALUE(MID(J440,2,FIND(")",J440)-2)),""),"")</f>
        <v/>
      </c>
      <c r="L440" s="75" t="str">
        <f aca="false">IF($K440="","",N(元データ_P!$B$438))</f>
        <v/>
      </c>
      <c r="M440" s="75" t="str">
        <f aca="false">IF($K440="","",N(元データ_P!$F$438))</f>
        <v/>
      </c>
      <c r="N440" s="74" t="str">
        <f aca="false">IF($K440="","",IF(COUNTIF(店舗マスタ!$B$5:$B$304,$K440)&gt;0,"登録済","未登録→マスタに追加"))</f>
        <v/>
      </c>
      <c r="P440" s="74" t="n">
        <v>438</v>
      </c>
      <c r="Q440" s="74" t="str">
        <f aca="false">IF(元データ_B!$A$438="","",元データ_B!$A$438)</f>
        <v/>
      </c>
      <c r="R440" s="74" t="str">
        <f aca="false">IF(LEFT(Q440,1)="(",IFERROR(VALUE(MID(Q440,2,FIND(")",Q440)-2)),""),"")</f>
        <v/>
      </c>
      <c r="S440" s="75" t="str">
        <f aca="false">IF($R440="","",N(元データ_B!$B$438))</f>
        <v/>
      </c>
      <c r="T440" s="75" t="str">
        <f aca="false">IF($R440="","",N(元データ_B!$F$438))</f>
        <v/>
      </c>
      <c r="U440" s="74" t="str">
        <f aca="false">IF($R440="","",IF(COUNTIF(店舗マスタ!$B$5:$B$304,$R440)&gt;0,"登録済","未登録→マスタに追加"))</f>
        <v/>
      </c>
    </row>
    <row r="441" customFormat="false" ht="15" hidden="false" customHeight="false" outlineLevel="0" collapsed="false">
      <c r="A441" s="74" t="n">
        <v>439</v>
      </c>
      <c r="B441" s="74" t="str">
        <f aca="false">IF(元データ_PB合計!$A$439="","",元データ_PB合計!$A$439)</f>
        <v/>
      </c>
      <c r="C441" s="74" t="str">
        <f aca="false">IF(LEFT(B441,1)="(",IFERROR(VALUE(MID(B441,2,FIND(")",B441)-2)),""),"")</f>
        <v/>
      </c>
      <c r="D441" s="75" t="str">
        <f aca="false">IF($C441="","",N(元データ_PB合計!$B$439))</f>
        <v/>
      </c>
      <c r="E441" s="75" t="str">
        <f aca="false">IF($C441="","",N(元データ_PB合計!$C$439))</f>
        <v/>
      </c>
      <c r="F441" s="75" t="str">
        <f aca="false">IF($C441="","",N(元データ_PB合計!$F$439))</f>
        <v/>
      </c>
      <c r="G441" s="74" t="str">
        <f aca="false">IF($C441="","",IF(COUNTIF(店舗マスタ!$B$5:$B$304,$C441)&gt;0,"登録済","未登録→マスタに追加"))</f>
        <v/>
      </c>
      <c r="I441" s="74" t="n">
        <v>439</v>
      </c>
      <c r="J441" s="74" t="str">
        <f aca="false">IF(元データ_P!$A$439="","",元データ_P!$A$439)</f>
        <v/>
      </c>
      <c r="K441" s="74" t="str">
        <f aca="false">IF(LEFT(J441,1)="(",IFERROR(VALUE(MID(J441,2,FIND(")",J441)-2)),""),"")</f>
        <v/>
      </c>
      <c r="L441" s="75" t="str">
        <f aca="false">IF($K441="","",N(元データ_P!$B$439))</f>
        <v/>
      </c>
      <c r="M441" s="75" t="str">
        <f aca="false">IF($K441="","",N(元データ_P!$F$439))</f>
        <v/>
      </c>
      <c r="N441" s="74" t="str">
        <f aca="false">IF($K441="","",IF(COUNTIF(店舗マスタ!$B$5:$B$304,$K441)&gt;0,"登録済","未登録→マスタに追加"))</f>
        <v/>
      </c>
      <c r="P441" s="74" t="n">
        <v>439</v>
      </c>
      <c r="Q441" s="74" t="str">
        <f aca="false">IF(元データ_B!$A$439="","",元データ_B!$A$439)</f>
        <v/>
      </c>
      <c r="R441" s="74" t="str">
        <f aca="false">IF(LEFT(Q441,1)="(",IFERROR(VALUE(MID(Q441,2,FIND(")",Q441)-2)),""),"")</f>
        <v/>
      </c>
      <c r="S441" s="75" t="str">
        <f aca="false">IF($R441="","",N(元データ_B!$B$439))</f>
        <v/>
      </c>
      <c r="T441" s="75" t="str">
        <f aca="false">IF($R441="","",N(元データ_B!$F$439))</f>
        <v/>
      </c>
      <c r="U441" s="74" t="str">
        <f aca="false">IF($R441="","",IF(COUNTIF(店舗マスタ!$B$5:$B$304,$R441)&gt;0,"登録済","未登録→マスタに追加"))</f>
        <v/>
      </c>
    </row>
    <row r="442" customFormat="false" ht="15" hidden="false" customHeight="false" outlineLevel="0" collapsed="false">
      <c r="A442" s="74" t="n">
        <v>440</v>
      </c>
      <c r="B442" s="74" t="str">
        <f aca="false">IF(元データ_PB合計!$A$440="","",元データ_PB合計!$A$440)</f>
        <v/>
      </c>
      <c r="C442" s="74" t="str">
        <f aca="false">IF(LEFT(B442,1)="(",IFERROR(VALUE(MID(B442,2,FIND(")",B442)-2)),""),"")</f>
        <v/>
      </c>
      <c r="D442" s="75" t="str">
        <f aca="false">IF($C442="","",N(元データ_PB合計!$B$440))</f>
        <v/>
      </c>
      <c r="E442" s="75" t="str">
        <f aca="false">IF($C442="","",N(元データ_PB合計!$C$440))</f>
        <v/>
      </c>
      <c r="F442" s="75" t="str">
        <f aca="false">IF($C442="","",N(元データ_PB合計!$F$440))</f>
        <v/>
      </c>
      <c r="G442" s="74" t="str">
        <f aca="false">IF($C442="","",IF(COUNTIF(店舗マスタ!$B$5:$B$304,$C442)&gt;0,"登録済","未登録→マスタに追加"))</f>
        <v/>
      </c>
      <c r="I442" s="74" t="n">
        <v>440</v>
      </c>
      <c r="J442" s="74" t="str">
        <f aca="false">IF(元データ_P!$A$440="","",元データ_P!$A$440)</f>
        <v/>
      </c>
      <c r="K442" s="74" t="str">
        <f aca="false">IF(LEFT(J442,1)="(",IFERROR(VALUE(MID(J442,2,FIND(")",J442)-2)),""),"")</f>
        <v/>
      </c>
      <c r="L442" s="75" t="str">
        <f aca="false">IF($K442="","",N(元データ_P!$B$440))</f>
        <v/>
      </c>
      <c r="M442" s="75" t="str">
        <f aca="false">IF($K442="","",N(元データ_P!$F$440))</f>
        <v/>
      </c>
      <c r="N442" s="74" t="str">
        <f aca="false">IF($K442="","",IF(COUNTIF(店舗マスタ!$B$5:$B$304,$K442)&gt;0,"登録済","未登録→マスタに追加"))</f>
        <v/>
      </c>
      <c r="P442" s="74" t="n">
        <v>440</v>
      </c>
      <c r="Q442" s="74" t="str">
        <f aca="false">IF(元データ_B!$A$440="","",元データ_B!$A$440)</f>
        <v/>
      </c>
      <c r="R442" s="74" t="str">
        <f aca="false">IF(LEFT(Q442,1)="(",IFERROR(VALUE(MID(Q442,2,FIND(")",Q442)-2)),""),"")</f>
        <v/>
      </c>
      <c r="S442" s="75" t="str">
        <f aca="false">IF($R442="","",N(元データ_B!$B$440))</f>
        <v/>
      </c>
      <c r="T442" s="75" t="str">
        <f aca="false">IF($R442="","",N(元データ_B!$F$440))</f>
        <v/>
      </c>
      <c r="U442" s="74" t="str">
        <f aca="false">IF($R442="","",IF(COUNTIF(店舗マスタ!$B$5:$B$304,$R442)&gt;0,"登録済","未登録→マスタに追加"))</f>
        <v/>
      </c>
    </row>
    <row r="443" customFormat="false" ht="15" hidden="false" customHeight="false" outlineLevel="0" collapsed="false">
      <c r="A443" s="74" t="n">
        <v>441</v>
      </c>
      <c r="B443" s="74" t="str">
        <f aca="false">IF(元データ_PB合計!$A$441="","",元データ_PB合計!$A$441)</f>
        <v/>
      </c>
      <c r="C443" s="74" t="str">
        <f aca="false">IF(LEFT(B443,1)="(",IFERROR(VALUE(MID(B443,2,FIND(")",B443)-2)),""),"")</f>
        <v/>
      </c>
      <c r="D443" s="75" t="str">
        <f aca="false">IF($C443="","",N(元データ_PB合計!$B$441))</f>
        <v/>
      </c>
      <c r="E443" s="75" t="str">
        <f aca="false">IF($C443="","",N(元データ_PB合計!$C$441))</f>
        <v/>
      </c>
      <c r="F443" s="75" t="str">
        <f aca="false">IF($C443="","",N(元データ_PB合計!$F$441))</f>
        <v/>
      </c>
      <c r="G443" s="74" t="str">
        <f aca="false">IF($C443="","",IF(COUNTIF(店舗マスタ!$B$5:$B$304,$C443)&gt;0,"登録済","未登録→マスタに追加"))</f>
        <v/>
      </c>
      <c r="I443" s="74" t="n">
        <v>441</v>
      </c>
      <c r="J443" s="74" t="str">
        <f aca="false">IF(元データ_P!$A$441="","",元データ_P!$A$441)</f>
        <v/>
      </c>
      <c r="K443" s="74" t="str">
        <f aca="false">IF(LEFT(J443,1)="(",IFERROR(VALUE(MID(J443,2,FIND(")",J443)-2)),""),"")</f>
        <v/>
      </c>
      <c r="L443" s="75" t="str">
        <f aca="false">IF($K443="","",N(元データ_P!$B$441))</f>
        <v/>
      </c>
      <c r="M443" s="75" t="str">
        <f aca="false">IF($K443="","",N(元データ_P!$F$441))</f>
        <v/>
      </c>
      <c r="N443" s="74" t="str">
        <f aca="false">IF($K443="","",IF(COUNTIF(店舗マスタ!$B$5:$B$304,$K443)&gt;0,"登録済","未登録→マスタに追加"))</f>
        <v/>
      </c>
      <c r="P443" s="74" t="n">
        <v>441</v>
      </c>
      <c r="Q443" s="74" t="str">
        <f aca="false">IF(元データ_B!$A$441="","",元データ_B!$A$441)</f>
        <v/>
      </c>
      <c r="R443" s="74" t="str">
        <f aca="false">IF(LEFT(Q443,1)="(",IFERROR(VALUE(MID(Q443,2,FIND(")",Q443)-2)),""),"")</f>
        <v/>
      </c>
      <c r="S443" s="75" t="str">
        <f aca="false">IF($R443="","",N(元データ_B!$B$441))</f>
        <v/>
      </c>
      <c r="T443" s="75" t="str">
        <f aca="false">IF($R443="","",N(元データ_B!$F$441))</f>
        <v/>
      </c>
      <c r="U443" s="74" t="str">
        <f aca="false">IF($R443="","",IF(COUNTIF(店舗マスタ!$B$5:$B$304,$R443)&gt;0,"登録済","未登録→マスタに追加"))</f>
        <v/>
      </c>
    </row>
    <row r="444" customFormat="false" ht="15" hidden="false" customHeight="false" outlineLevel="0" collapsed="false">
      <c r="A444" s="74" t="n">
        <v>442</v>
      </c>
      <c r="B444" s="74" t="str">
        <f aca="false">IF(元データ_PB合計!$A$442="","",元データ_PB合計!$A$442)</f>
        <v/>
      </c>
      <c r="C444" s="74" t="str">
        <f aca="false">IF(LEFT(B444,1)="(",IFERROR(VALUE(MID(B444,2,FIND(")",B444)-2)),""),"")</f>
        <v/>
      </c>
      <c r="D444" s="75" t="str">
        <f aca="false">IF($C444="","",N(元データ_PB合計!$B$442))</f>
        <v/>
      </c>
      <c r="E444" s="75" t="str">
        <f aca="false">IF($C444="","",N(元データ_PB合計!$C$442))</f>
        <v/>
      </c>
      <c r="F444" s="75" t="str">
        <f aca="false">IF($C444="","",N(元データ_PB合計!$F$442))</f>
        <v/>
      </c>
      <c r="G444" s="74" t="str">
        <f aca="false">IF($C444="","",IF(COUNTIF(店舗マスタ!$B$5:$B$304,$C444)&gt;0,"登録済","未登録→マスタに追加"))</f>
        <v/>
      </c>
      <c r="I444" s="74" t="n">
        <v>442</v>
      </c>
      <c r="J444" s="74" t="str">
        <f aca="false">IF(元データ_P!$A$442="","",元データ_P!$A$442)</f>
        <v/>
      </c>
      <c r="K444" s="74" t="str">
        <f aca="false">IF(LEFT(J444,1)="(",IFERROR(VALUE(MID(J444,2,FIND(")",J444)-2)),""),"")</f>
        <v/>
      </c>
      <c r="L444" s="75" t="str">
        <f aca="false">IF($K444="","",N(元データ_P!$B$442))</f>
        <v/>
      </c>
      <c r="M444" s="75" t="str">
        <f aca="false">IF($K444="","",N(元データ_P!$F$442))</f>
        <v/>
      </c>
      <c r="N444" s="74" t="str">
        <f aca="false">IF($K444="","",IF(COUNTIF(店舗マスタ!$B$5:$B$304,$K444)&gt;0,"登録済","未登録→マスタに追加"))</f>
        <v/>
      </c>
      <c r="P444" s="74" t="n">
        <v>442</v>
      </c>
      <c r="Q444" s="74" t="str">
        <f aca="false">IF(元データ_B!$A$442="","",元データ_B!$A$442)</f>
        <v/>
      </c>
      <c r="R444" s="74" t="str">
        <f aca="false">IF(LEFT(Q444,1)="(",IFERROR(VALUE(MID(Q444,2,FIND(")",Q444)-2)),""),"")</f>
        <v/>
      </c>
      <c r="S444" s="75" t="str">
        <f aca="false">IF($R444="","",N(元データ_B!$B$442))</f>
        <v/>
      </c>
      <c r="T444" s="75" t="str">
        <f aca="false">IF($R444="","",N(元データ_B!$F$442))</f>
        <v/>
      </c>
      <c r="U444" s="74" t="str">
        <f aca="false">IF($R444="","",IF(COUNTIF(店舗マスタ!$B$5:$B$304,$R444)&gt;0,"登録済","未登録→マスタに追加"))</f>
        <v/>
      </c>
    </row>
    <row r="445" customFormat="false" ht="15" hidden="false" customHeight="false" outlineLevel="0" collapsed="false">
      <c r="A445" s="74" t="n">
        <v>443</v>
      </c>
      <c r="B445" s="74" t="str">
        <f aca="false">IF(元データ_PB合計!$A$443="","",元データ_PB合計!$A$443)</f>
        <v/>
      </c>
      <c r="C445" s="74" t="str">
        <f aca="false">IF(LEFT(B445,1)="(",IFERROR(VALUE(MID(B445,2,FIND(")",B445)-2)),""),"")</f>
        <v/>
      </c>
      <c r="D445" s="75" t="str">
        <f aca="false">IF($C445="","",N(元データ_PB合計!$B$443))</f>
        <v/>
      </c>
      <c r="E445" s="75" t="str">
        <f aca="false">IF($C445="","",N(元データ_PB合計!$C$443))</f>
        <v/>
      </c>
      <c r="F445" s="75" t="str">
        <f aca="false">IF($C445="","",N(元データ_PB合計!$F$443))</f>
        <v/>
      </c>
      <c r="G445" s="74" t="str">
        <f aca="false">IF($C445="","",IF(COUNTIF(店舗マスタ!$B$5:$B$304,$C445)&gt;0,"登録済","未登録→マスタに追加"))</f>
        <v/>
      </c>
      <c r="I445" s="74" t="n">
        <v>443</v>
      </c>
      <c r="J445" s="74" t="str">
        <f aca="false">IF(元データ_P!$A$443="","",元データ_P!$A$443)</f>
        <v/>
      </c>
      <c r="K445" s="74" t="str">
        <f aca="false">IF(LEFT(J445,1)="(",IFERROR(VALUE(MID(J445,2,FIND(")",J445)-2)),""),"")</f>
        <v/>
      </c>
      <c r="L445" s="75" t="str">
        <f aca="false">IF($K445="","",N(元データ_P!$B$443))</f>
        <v/>
      </c>
      <c r="M445" s="75" t="str">
        <f aca="false">IF($K445="","",N(元データ_P!$F$443))</f>
        <v/>
      </c>
      <c r="N445" s="74" t="str">
        <f aca="false">IF($K445="","",IF(COUNTIF(店舗マスタ!$B$5:$B$304,$K445)&gt;0,"登録済","未登録→マスタに追加"))</f>
        <v/>
      </c>
      <c r="P445" s="74" t="n">
        <v>443</v>
      </c>
      <c r="Q445" s="74" t="str">
        <f aca="false">IF(元データ_B!$A$443="","",元データ_B!$A$443)</f>
        <v/>
      </c>
      <c r="R445" s="74" t="str">
        <f aca="false">IF(LEFT(Q445,1)="(",IFERROR(VALUE(MID(Q445,2,FIND(")",Q445)-2)),""),"")</f>
        <v/>
      </c>
      <c r="S445" s="75" t="str">
        <f aca="false">IF($R445="","",N(元データ_B!$B$443))</f>
        <v/>
      </c>
      <c r="T445" s="75" t="str">
        <f aca="false">IF($R445="","",N(元データ_B!$F$443))</f>
        <v/>
      </c>
      <c r="U445" s="74" t="str">
        <f aca="false">IF($R445="","",IF(COUNTIF(店舗マスタ!$B$5:$B$304,$R445)&gt;0,"登録済","未登録→マスタに追加"))</f>
        <v/>
      </c>
    </row>
    <row r="446" customFormat="false" ht="15" hidden="false" customHeight="false" outlineLevel="0" collapsed="false">
      <c r="A446" s="74" t="n">
        <v>444</v>
      </c>
      <c r="B446" s="74" t="str">
        <f aca="false">IF(元データ_PB合計!$A$444="","",元データ_PB合計!$A$444)</f>
        <v/>
      </c>
      <c r="C446" s="74" t="str">
        <f aca="false">IF(LEFT(B446,1)="(",IFERROR(VALUE(MID(B446,2,FIND(")",B446)-2)),""),"")</f>
        <v/>
      </c>
      <c r="D446" s="75" t="str">
        <f aca="false">IF($C446="","",N(元データ_PB合計!$B$444))</f>
        <v/>
      </c>
      <c r="E446" s="75" t="str">
        <f aca="false">IF($C446="","",N(元データ_PB合計!$C$444))</f>
        <v/>
      </c>
      <c r="F446" s="75" t="str">
        <f aca="false">IF($C446="","",N(元データ_PB合計!$F$444))</f>
        <v/>
      </c>
      <c r="G446" s="74" t="str">
        <f aca="false">IF($C446="","",IF(COUNTIF(店舗マスタ!$B$5:$B$304,$C446)&gt;0,"登録済","未登録→マスタに追加"))</f>
        <v/>
      </c>
      <c r="I446" s="74" t="n">
        <v>444</v>
      </c>
      <c r="J446" s="74" t="str">
        <f aca="false">IF(元データ_P!$A$444="","",元データ_P!$A$444)</f>
        <v/>
      </c>
      <c r="K446" s="74" t="str">
        <f aca="false">IF(LEFT(J446,1)="(",IFERROR(VALUE(MID(J446,2,FIND(")",J446)-2)),""),"")</f>
        <v/>
      </c>
      <c r="L446" s="75" t="str">
        <f aca="false">IF($K446="","",N(元データ_P!$B$444))</f>
        <v/>
      </c>
      <c r="M446" s="75" t="str">
        <f aca="false">IF($K446="","",N(元データ_P!$F$444))</f>
        <v/>
      </c>
      <c r="N446" s="74" t="str">
        <f aca="false">IF($K446="","",IF(COUNTIF(店舗マスタ!$B$5:$B$304,$K446)&gt;0,"登録済","未登録→マスタに追加"))</f>
        <v/>
      </c>
      <c r="P446" s="74" t="n">
        <v>444</v>
      </c>
      <c r="Q446" s="74" t="str">
        <f aca="false">IF(元データ_B!$A$444="","",元データ_B!$A$444)</f>
        <v/>
      </c>
      <c r="R446" s="74" t="str">
        <f aca="false">IF(LEFT(Q446,1)="(",IFERROR(VALUE(MID(Q446,2,FIND(")",Q446)-2)),""),"")</f>
        <v/>
      </c>
      <c r="S446" s="75" t="str">
        <f aca="false">IF($R446="","",N(元データ_B!$B$444))</f>
        <v/>
      </c>
      <c r="T446" s="75" t="str">
        <f aca="false">IF($R446="","",N(元データ_B!$F$444))</f>
        <v/>
      </c>
      <c r="U446" s="74" t="str">
        <f aca="false">IF($R446="","",IF(COUNTIF(店舗マスタ!$B$5:$B$304,$R446)&gt;0,"登録済","未登録→マスタに追加"))</f>
        <v/>
      </c>
    </row>
    <row r="447" customFormat="false" ht="15" hidden="false" customHeight="false" outlineLevel="0" collapsed="false">
      <c r="A447" s="74" t="n">
        <v>445</v>
      </c>
      <c r="B447" s="74" t="str">
        <f aca="false">IF(元データ_PB合計!$A$445="","",元データ_PB合計!$A$445)</f>
        <v/>
      </c>
      <c r="C447" s="74" t="str">
        <f aca="false">IF(LEFT(B447,1)="(",IFERROR(VALUE(MID(B447,2,FIND(")",B447)-2)),""),"")</f>
        <v/>
      </c>
      <c r="D447" s="75" t="str">
        <f aca="false">IF($C447="","",N(元データ_PB合計!$B$445))</f>
        <v/>
      </c>
      <c r="E447" s="75" t="str">
        <f aca="false">IF($C447="","",N(元データ_PB合計!$C$445))</f>
        <v/>
      </c>
      <c r="F447" s="75" t="str">
        <f aca="false">IF($C447="","",N(元データ_PB合計!$F$445))</f>
        <v/>
      </c>
      <c r="G447" s="74" t="str">
        <f aca="false">IF($C447="","",IF(COUNTIF(店舗マスタ!$B$5:$B$304,$C447)&gt;0,"登録済","未登録→マスタに追加"))</f>
        <v/>
      </c>
      <c r="I447" s="74" t="n">
        <v>445</v>
      </c>
      <c r="J447" s="74" t="str">
        <f aca="false">IF(元データ_P!$A$445="","",元データ_P!$A$445)</f>
        <v/>
      </c>
      <c r="K447" s="74" t="str">
        <f aca="false">IF(LEFT(J447,1)="(",IFERROR(VALUE(MID(J447,2,FIND(")",J447)-2)),""),"")</f>
        <v/>
      </c>
      <c r="L447" s="75" t="str">
        <f aca="false">IF($K447="","",N(元データ_P!$B$445))</f>
        <v/>
      </c>
      <c r="M447" s="75" t="str">
        <f aca="false">IF($K447="","",N(元データ_P!$F$445))</f>
        <v/>
      </c>
      <c r="N447" s="74" t="str">
        <f aca="false">IF($K447="","",IF(COUNTIF(店舗マスタ!$B$5:$B$304,$K447)&gt;0,"登録済","未登録→マスタに追加"))</f>
        <v/>
      </c>
      <c r="P447" s="74" t="n">
        <v>445</v>
      </c>
      <c r="Q447" s="74" t="str">
        <f aca="false">IF(元データ_B!$A$445="","",元データ_B!$A$445)</f>
        <v/>
      </c>
      <c r="R447" s="74" t="str">
        <f aca="false">IF(LEFT(Q447,1)="(",IFERROR(VALUE(MID(Q447,2,FIND(")",Q447)-2)),""),"")</f>
        <v/>
      </c>
      <c r="S447" s="75" t="str">
        <f aca="false">IF($R447="","",N(元データ_B!$B$445))</f>
        <v/>
      </c>
      <c r="T447" s="75" t="str">
        <f aca="false">IF($R447="","",N(元データ_B!$F$445))</f>
        <v/>
      </c>
      <c r="U447" s="74" t="str">
        <f aca="false">IF($R447="","",IF(COUNTIF(店舗マスタ!$B$5:$B$304,$R447)&gt;0,"登録済","未登録→マスタに追加"))</f>
        <v/>
      </c>
    </row>
    <row r="448" customFormat="false" ht="15" hidden="false" customHeight="false" outlineLevel="0" collapsed="false">
      <c r="A448" s="74" t="n">
        <v>446</v>
      </c>
      <c r="B448" s="74" t="str">
        <f aca="false">IF(元データ_PB合計!$A$446="","",元データ_PB合計!$A$446)</f>
        <v/>
      </c>
      <c r="C448" s="74" t="str">
        <f aca="false">IF(LEFT(B448,1)="(",IFERROR(VALUE(MID(B448,2,FIND(")",B448)-2)),""),"")</f>
        <v/>
      </c>
      <c r="D448" s="75" t="str">
        <f aca="false">IF($C448="","",N(元データ_PB合計!$B$446))</f>
        <v/>
      </c>
      <c r="E448" s="75" t="str">
        <f aca="false">IF($C448="","",N(元データ_PB合計!$C$446))</f>
        <v/>
      </c>
      <c r="F448" s="75" t="str">
        <f aca="false">IF($C448="","",N(元データ_PB合計!$F$446))</f>
        <v/>
      </c>
      <c r="G448" s="74" t="str">
        <f aca="false">IF($C448="","",IF(COUNTIF(店舗マスタ!$B$5:$B$304,$C448)&gt;0,"登録済","未登録→マスタに追加"))</f>
        <v/>
      </c>
      <c r="I448" s="74" t="n">
        <v>446</v>
      </c>
      <c r="J448" s="74" t="str">
        <f aca="false">IF(元データ_P!$A$446="","",元データ_P!$A$446)</f>
        <v/>
      </c>
      <c r="K448" s="74" t="str">
        <f aca="false">IF(LEFT(J448,1)="(",IFERROR(VALUE(MID(J448,2,FIND(")",J448)-2)),""),"")</f>
        <v/>
      </c>
      <c r="L448" s="75" t="str">
        <f aca="false">IF($K448="","",N(元データ_P!$B$446))</f>
        <v/>
      </c>
      <c r="M448" s="75" t="str">
        <f aca="false">IF($K448="","",N(元データ_P!$F$446))</f>
        <v/>
      </c>
      <c r="N448" s="74" t="str">
        <f aca="false">IF($K448="","",IF(COUNTIF(店舗マスタ!$B$5:$B$304,$K448)&gt;0,"登録済","未登録→マスタに追加"))</f>
        <v/>
      </c>
      <c r="P448" s="74" t="n">
        <v>446</v>
      </c>
      <c r="Q448" s="74" t="str">
        <f aca="false">IF(元データ_B!$A$446="","",元データ_B!$A$446)</f>
        <v/>
      </c>
      <c r="R448" s="74" t="str">
        <f aca="false">IF(LEFT(Q448,1)="(",IFERROR(VALUE(MID(Q448,2,FIND(")",Q448)-2)),""),"")</f>
        <v/>
      </c>
      <c r="S448" s="75" t="str">
        <f aca="false">IF($R448="","",N(元データ_B!$B$446))</f>
        <v/>
      </c>
      <c r="T448" s="75" t="str">
        <f aca="false">IF($R448="","",N(元データ_B!$F$446))</f>
        <v/>
      </c>
      <c r="U448" s="74" t="str">
        <f aca="false">IF($R448="","",IF(COUNTIF(店舗マスタ!$B$5:$B$304,$R448)&gt;0,"登録済","未登録→マスタに追加"))</f>
        <v/>
      </c>
    </row>
    <row r="449" customFormat="false" ht="15" hidden="false" customHeight="false" outlineLevel="0" collapsed="false">
      <c r="A449" s="74" t="n">
        <v>447</v>
      </c>
      <c r="B449" s="74" t="str">
        <f aca="false">IF(元データ_PB合計!$A$447="","",元データ_PB合計!$A$447)</f>
        <v/>
      </c>
      <c r="C449" s="74" t="str">
        <f aca="false">IF(LEFT(B449,1)="(",IFERROR(VALUE(MID(B449,2,FIND(")",B449)-2)),""),"")</f>
        <v/>
      </c>
      <c r="D449" s="75" t="str">
        <f aca="false">IF($C449="","",N(元データ_PB合計!$B$447))</f>
        <v/>
      </c>
      <c r="E449" s="75" t="str">
        <f aca="false">IF($C449="","",N(元データ_PB合計!$C$447))</f>
        <v/>
      </c>
      <c r="F449" s="75" t="str">
        <f aca="false">IF($C449="","",N(元データ_PB合計!$F$447))</f>
        <v/>
      </c>
      <c r="G449" s="74" t="str">
        <f aca="false">IF($C449="","",IF(COUNTIF(店舗マスタ!$B$5:$B$304,$C449)&gt;0,"登録済","未登録→マスタに追加"))</f>
        <v/>
      </c>
      <c r="I449" s="74" t="n">
        <v>447</v>
      </c>
      <c r="J449" s="74" t="str">
        <f aca="false">IF(元データ_P!$A$447="","",元データ_P!$A$447)</f>
        <v/>
      </c>
      <c r="K449" s="74" t="str">
        <f aca="false">IF(LEFT(J449,1)="(",IFERROR(VALUE(MID(J449,2,FIND(")",J449)-2)),""),"")</f>
        <v/>
      </c>
      <c r="L449" s="75" t="str">
        <f aca="false">IF($K449="","",N(元データ_P!$B$447))</f>
        <v/>
      </c>
      <c r="M449" s="75" t="str">
        <f aca="false">IF($K449="","",N(元データ_P!$F$447))</f>
        <v/>
      </c>
      <c r="N449" s="74" t="str">
        <f aca="false">IF($K449="","",IF(COUNTIF(店舗マスタ!$B$5:$B$304,$K449)&gt;0,"登録済","未登録→マスタに追加"))</f>
        <v/>
      </c>
      <c r="P449" s="74" t="n">
        <v>447</v>
      </c>
      <c r="Q449" s="74" t="str">
        <f aca="false">IF(元データ_B!$A$447="","",元データ_B!$A$447)</f>
        <v/>
      </c>
      <c r="R449" s="74" t="str">
        <f aca="false">IF(LEFT(Q449,1)="(",IFERROR(VALUE(MID(Q449,2,FIND(")",Q449)-2)),""),"")</f>
        <v/>
      </c>
      <c r="S449" s="75" t="str">
        <f aca="false">IF($R449="","",N(元データ_B!$B$447))</f>
        <v/>
      </c>
      <c r="T449" s="75" t="str">
        <f aca="false">IF($R449="","",N(元データ_B!$F$447))</f>
        <v/>
      </c>
      <c r="U449" s="74" t="str">
        <f aca="false">IF($R449="","",IF(COUNTIF(店舗マスタ!$B$5:$B$304,$R449)&gt;0,"登録済","未登録→マスタに追加"))</f>
        <v/>
      </c>
    </row>
    <row r="450" customFormat="false" ht="15" hidden="false" customHeight="false" outlineLevel="0" collapsed="false">
      <c r="A450" s="74" t="n">
        <v>448</v>
      </c>
      <c r="B450" s="74" t="str">
        <f aca="false">IF(元データ_PB合計!$A$448="","",元データ_PB合計!$A$448)</f>
        <v/>
      </c>
      <c r="C450" s="74" t="str">
        <f aca="false">IF(LEFT(B450,1)="(",IFERROR(VALUE(MID(B450,2,FIND(")",B450)-2)),""),"")</f>
        <v/>
      </c>
      <c r="D450" s="75" t="str">
        <f aca="false">IF($C450="","",N(元データ_PB合計!$B$448))</f>
        <v/>
      </c>
      <c r="E450" s="75" t="str">
        <f aca="false">IF($C450="","",N(元データ_PB合計!$C$448))</f>
        <v/>
      </c>
      <c r="F450" s="75" t="str">
        <f aca="false">IF($C450="","",N(元データ_PB合計!$F$448))</f>
        <v/>
      </c>
      <c r="G450" s="74" t="str">
        <f aca="false">IF($C450="","",IF(COUNTIF(店舗マスタ!$B$5:$B$304,$C450)&gt;0,"登録済","未登録→マスタに追加"))</f>
        <v/>
      </c>
      <c r="I450" s="74" t="n">
        <v>448</v>
      </c>
      <c r="J450" s="74" t="str">
        <f aca="false">IF(元データ_P!$A$448="","",元データ_P!$A$448)</f>
        <v/>
      </c>
      <c r="K450" s="74" t="str">
        <f aca="false">IF(LEFT(J450,1)="(",IFERROR(VALUE(MID(J450,2,FIND(")",J450)-2)),""),"")</f>
        <v/>
      </c>
      <c r="L450" s="75" t="str">
        <f aca="false">IF($K450="","",N(元データ_P!$B$448))</f>
        <v/>
      </c>
      <c r="M450" s="75" t="str">
        <f aca="false">IF($K450="","",N(元データ_P!$F$448))</f>
        <v/>
      </c>
      <c r="N450" s="74" t="str">
        <f aca="false">IF($K450="","",IF(COUNTIF(店舗マスタ!$B$5:$B$304,$K450)&gt;0,"登録済","未登録→マスタに追加"))</f>
        <v/>
      </c>
      <c r="P450" s="74" t="n">
        <v>448</v>
      </c>
      <c r="Q450" s="74" t="str">
        <f aca="false">IF(元データ_B!$A$448="","",元データ_B!$A$448)</f>
        <v/>
      </c>
      <c r="R450" s="74" t="str">
        <f aca="false">IF(LEFT(Q450,1)="(",IFERROR(VALUE(MID(Q450,2,FIND(")",Q450)-2)),""),"")</f>
        <v/>
      </c>
      <c r="S450" s="75" t="str">
        <f aca="false">IF($R450="","",N(元データ_B!$B$448))</f>
        <v/>
      </c>
      <c r="T450" s="75" t="str">
        <f aca="false">IF($R450="","",N(元データ_B!$F$448))</f>
        <v/>
      </c>
      <c r="U450" s="74" t="str">
        <f aca="false">IF($R450="","",IF(COUNTIF(店舗マスタ!$B$5:$B$304,$R450)&gt;0,"登録済","未登録→マスタに追加"))</f>
        <v/>
      </c>
    </row>
    <row r="451" customFormat="false" ht="15" hidden="false" customHeight="false" outlineLevel="0" collapsed="false">
      <c r="A451" s="74" t="n">
        <v>449</v>
      </c>
      <c r="B451" s="74" t="str">
        <f aca="false">IF(元データ_PB合計!$A$449="","",元データ_PB合計!$A$449)</f>
        <v/>
      </c>
      <c r="C451" s="74" t="str">
        <f aca="false">IF(LEFT(B451,1)="(",IFERROR(VALUE(MID(B451,2,FIND(")",B451)-2)),""),"")</f>
        <v/>
      </c>
      <c r="D451" s="75" t="str">
        <f aca="false">IF($C451="","",N(元データ_PB合計!$B$449))</f>
        <v/>
      </c>
      <c r="E451" s="75" t="str">
        <f aca="false">IF($C451="","",N(元データ_PB合計!$C$449))</f>
        <v/>
      </c>
      <c r="F451" s="75" t="str">
        <f aca="false">IF($C451="","",N(元データ_PB合計!$F$449))</f>
        <v/>
      </c>
      <c r="G451" s="74" t="str">
        <f aca="false">IF($C451="","",IF(COUNTIF(店舗マスタ!$B$5:$B$304,$C451)&gt;0,"登録済","未登録→マスタに追加"))</f>
        <v/>
      </c>
      <c r="I451" s="74" t="n">
        <v>449</v>
      </c>
      <c r="J451" s="74" t="str">
        <f aca="false">IF(元データ_P!$A$449="","",元データ_P!$A$449)</f>
        <v/>
      </c>
      <c r="K451" s="74" t="str">
        <f aca="false">IF(LEFT(J451,1)="(",IFERROR(VALUE(MID(J451,2,FIND(")",J451)-2)),""),"")</f>
        <v/>
      </c>
      <c r="L451" s="75" t="str">
        <f aca="false">IF($K451="","",N(元データ_P!$B$449))</f>
        <v/>
      </c>
      <c r="M451" s="75" t="str">
        <f aca="false">IF($K451="","",N(元データ_P!$F$449))</f>
        <v/>
      </c>
      <c r="N451" s="74" t="str">
        <f aca="false">IF($K451="","",IF(COUNTIF(店舗マスタ!$B$5:$B$304,$K451)&gt;0,"登録済","未登録→マスタに追加"))</f>
        <v/>
      </c>
      <c r="P451" s="74" t="n">
        <v>449</v>
      </c>
      <c r="Q451" s="74" t="str">
        <f aca="false">IF(元データ_B!$A$449="","",元データ_B!$A$449)</f>
        <v/>
      </c>
      <c r="R451" s="74" t="str">
        <f aca="false">IF(LEFT(Q451,1)="(",IFERROR(VALUE(MID(Q451,2,FIND(")",Q451)-2)),""),"")</f>
        <v/>
      </c>
      <c r="S451" s="75" t="str">
        <f aca="false">IF($R451="","",N(元データ_B!$B$449))</f>
        <v/>
      </c>
      <c r="T451" s="75" t="str">
        <f aca="false">IF($R451="","",N(元データ_B!$F$449))</f>
        <v/>
      </c>
      <c r="U451" s="74" t="str">
        <f aca="false">IF($R451="","",IF(COUNTIF(店舗マスタ!$B$5:$B$304,$R451)&gt;0,"登録済","未登録→マスタに追加"))</f>
        <v/>
      </c>
    </row>
    <row r="452" customFormat="false" ht="15" hidden="false" customHeight="false" outlineLevel="0" collapsed="false">
      <c r="A452" s="74" t="n">
        <v>450</v>
      </c>
      <c r="B452" s="74" t="str">
        <f aca="false">IF(元データ_PB合計!$A$450="","",元データ_PB合計!$A$450)</f>
        <v/>
      </c>
      <c r="C452" s="74" t="str">
        <f aca="false">IF(LEFT(B452,1)="(",IFERROR(VALUE(MID(B452,2,FIND(")",B452)-2)),""),"")</f>
        <v/>
      </c>
      <c r="D452" s="75" t="str">
        <f aca="false">IF($C452="","",N(元データ_PB合計!$B$450))</f>
        <v/>
      </c>
      <c r="E452" s="75" t="str">
        <f aca="false">IF($C452="","",N(元データ_PB合計!$C$450))</f>
        <v/>
      </c>
      <c r="F452" s="75" t="str">
        <f aca="false">IF($C452="","",N(元データ_PB合計!$F$450))</f>
        <v/>
      </c>
      <c r="G452" s="74" t="str">
        <f aca="false">IF($C452="","",IF(COUNTIF(店舗マスタ!$B$5:$B$304,$C452)&gt;0,"登録済","未登録→マスタに追加"))</f>
        <v/>
      </c>
      <c r="I452" s="74" t="n">
        <v>450</v>
      </c>
      <c r="J452" s="74" t="str">
        <f aca="false">IF(元データ_P!$A$450="","",元データ_P!$A$450)</f>
        <v/>
      </c>
      <c r="K452" s="74" t="str">
        <f aca="false">IF(LEFT(J452,1)="(",IFERROR(VALUE(MID(J452,2,FIND(")",J452)-2)),""),"")</f>
        <v/>
      </c>
      <c r="L452" s="75" t="str">
        <f aca="false">IF($K452="","",N(元データ_P!$B$450))</f>
        <v/>
      </c>
      <c r="M452" s="75" t="str">
        <f aca="false">IF($K452="","",N(元データ_P!$F$450))</f>
        <v/>
      </c>
      <c r="N452" s="74" t="str">
        <f aca="false">IF($K452="","",IF(COUNTIF(店舗マスタ!$B$5:$B$304,$K452)&gt;0,"登録済","未登録→マスタに追加"))</f>
        <v/>
      </c>
      <c r="P452" s="74" t="n">
        <v>450</v>
      </c>
      <c r="Q452" s="74" t="str">
        <f aca="false">IF(元データ_B!$A$450="","",元データ_B!$A$450)</f>
        <v/>
      </c>
      <c r="R452" s="74" t="str">
        <f aca="false">IF(LEFT(Q452,1)="(",IFERROR(VALUE(MID(Q452,2,FIND(")",Q452)-2)),""),"")</f>
        <v/>
      </c>
      <c r="S452" s="75" t="str">
        <f aca="false">IF($R452="","",N(元データ_B!$B$450))</f>
        <v/>
      </c>
      <c r="T452" s="75" t="str">
        <f aca="false">IF($R452="","",N(元データ_B!$F$450))</f>
        <v/>
      </c>
      <c r="U452" s="74" t="str">
        <f aca="false">IF($R452="","",IF(COUNTIF(店舗マスタ!$B$5:$B$304,$R452)&gt;0,"登録済","未登録→マスタに追加"))</f>
        <v/>
      </c>
    </row>
    <row r="453" customFormat="false" ht="15" hidden="false" customHeight="false" outlineLevel="0" collapsed="false">
      <c r="A453" s="74" t="n">
        <v>451</v>
      </c>
      <c r="B453" s="74" t="str">
        <f aca="false">IF(元データ_PB合計!$A$451="","",元データ_PB合計!$A$451)</f>
        <v/>
      </c>
      <c r="C453" s="74" t="str">
        <f aca="false">IF(LEFT(B453,1)="(",IFERROR(VALUE(MID(B453,2,FIND(")",B453)-2)),""),"")</f>
        <v/>
      </c>
      <c r="D453" s="75" t="str">
        <f aca="false">IF($C453="","",N(元データ_PB合計!$B$451))</f>
        <v/>
      </c>
      <c r="E453" s="75" t="str">
        <f aca="false">IF($C453="","",N(元データ_PB合計!$C$451))</f>
        <v/>
      </c>
      <c r="F453" s="75" t="str">
        <f aca="false">IF($C453="","",N(元データ_PB合計!$F$451))</f>
        <v/>
      </c>
      <c r="G453" s="74" t="str">
        <f aca="false">IF($C453="","",IF(COUNTIF(店舗マスタ!$B$5:$B$304,$C453)&gt;0,"登録済","未登録→マスタに追加"))</f>
        <v/>
      </c>
      <c r="I453" s="74" t="n">
        <v>451</v>
      </c>
      <c r="J453" s="74" t="str">
        <f aca="false">IF(元データ_P!$A$451="","",元データ_P!$A$451)</f>
        <v/>
      </c>
      <c r="K453" s="74" t="str">
        <f aca="false">IF(LEFT(J453,1)="(",IFERROR(VALUE(MID(J453,2,FIND(")",J453)-2)),""),"")</f>
        <v/>
      </c>
      <c r="L453" s="75" t="str">
        <f aca="false">IF($K453="","",N(元データ_P!$B$451))</f>
        <v/>
      </c>
      <c r="M453" s="75" t="str">
        <f aca="false">IF($K453="","",N(元データ_P!$F$451))</f>
        <v/>
      </c>
      <c r="N453" s="74" t="str">
        <f aca="false">IF($K453="","",IF(COUNTIF(店舗マスタ!$B$5:$B$304,$K453)&gt;0,"登録済","未登録→マスタに追加"))</f>
        <v/>
      </c>
      <c r="P453" s="74" t="n">
        <v>451</v>
      </c>
      <c r="Q453" s="74" t="str">
        <f aca="false">IF(元データ_B!$A$451="","",元データ_B!$A$451)</f>
        <v/>
      </c>
      <c r="R453" s="74" t="str">
        <f aca="false">IF(LEFT(Q453,1)="(",IFERROR(VALUE(MID(Q453,2,FIND(")",Q453)-2)),""),"")</f>
        <v/>
      </c>
      <c r="S453" s="75" t="str">
        <f aca="false">IF($R453="","",N(元データ_B!$B$451))</f>
        <v/>
      </c>
      <c r="T453" s="75" t="str">
        <f aca="false">IF($R453="","",N(元データ_B!$F$451))</f>
        <v/>
      </c>
      <c r="U453" s="74" t="str">
        <f aca="false">IF($R453="","",IF(COUNTIF(店舗マスタ!$B$5:$B$304,$R453)&gt;0,"登録済","未登録→マスタに追加"))</f>
        <v/>
      </c>
    </row>
    <row r="454" customFormat="false" ht="15" hidden="false" customHeight="false" outlineLevel="0" collapsed="false">
      <c r="A454" s="74" t="n">
        <v>452</v>
      </c>
      <c r="B454" s="74" t="str">
        <f aca="false">IF(元データ_PB合計!$A$452="","",元データ_PB合計!$A$452)</f>
        <v/>
      </c>
      <c r="C454" s="74" t="str">
        <f aca="false">IF(LEFT(B454,1)="(",IFERROR(VALUE(MID(B454,2,FIND(")",B454)-2)),""),"")</f>
        <v/>
      </c>
      <c r="D454" s="75" t="str">
        <f aca="false">IF($C454="","",N(元データ_PB合計!$B$452))</f>
        <v/>
      </c>
      <c r="E454" s="75" t="str">
        <f aca="false">IF($C454="","",N(元データ_PB合計!$C$452))</f>
        <v/>
      </c>
      <c r="F454" s="75" t="str">
        <f aca="false">IF($C454="","",N(元データ_PB合計!$F$452))</f>
        <v/>
      </c>
      <c r="G454" s="74" t="str">
        <f aca="false">IF($C454="","",IF(COUNTIF(店舗マスタ!$B$5:$B$304,$C454)&gt;0,"登録済","未登録→マスタに追加"))</f>
        <v/>
      </c>
      <c r="I454" s="74" t="n">
        <v>452</v>
      </c>
      <c r="J454" s="74" t="str">
        <f aca="false">IF(元データ_P!$A$452="","",元データ_P!$A$452)</f>
        <v/>
      </c>
      <c r="K454" s="74" t="str">
        <f aca="false">IF(LEFT(J454,1)="(",IFERROR(VALUE(MID(J454,2,FIND(")",J454)-2)),""),"")</f>
        <v/>
      </c>
      <c r="L454" s="75" t="str">
        <f aca="false">IF($K454="","",N(元データ_P!$B$452))</f>
        <v/>
      </c>
      <c r="M454" s="75" t="str">
        <f aca="false">IF($K454="","",N(元データ_P!$F$452))</f>
        <v/>
      </c>
      <c r="N454" s="74" t="str">
        <f aca="false">IF($K454="","",IF(COUNTIF(店舗マスタ!$B$5:$B$304,$K454)&gt;0,"登録済","未登録→マスタに追加"))</f>
        <v/>
      </c>
      <c r="P454" s="74" t="n">
        <v>452</v>
      </c>
      <c r="Q454" s="74" t="str">
        <f aca="false">IF(元データ_B!$A$452="","",元データ_B!$A$452)</f>
        <v/>
      </c>
      <c r="R454" s="74" t="str">
        <f aca="false">IF(LEFT(Q454,1)="(",IFERROR(VALUE(MID(Q454,2,FIND(")",Q454)-2)),""),"")</f>
        <v/>
      </c>
      <c r="S454" s="75" t="str">
        <f aca="false">IF($R454="","",N(元データ_B!$B$452))</f>
        <v/>
      </c>
      <c r="T454" s="75" t="str">
        <f aca="false">IF($R454="","",N(元データ_B!$F$452))</f>
        <v/>
      </c>
      <c r="U454" s="74" t="str">
        <f aca="false">IF($R454="","",IF(COUNTIF(店舗マスタ!$B$5:$B$304,$R454)&gt;0,"登録済","未登録→マスタに追加"))</f>
        <v/>
      </c>
    </row>
    <row r="455" customFormat="false" ht="15" hidden="false" customHeight="false" outlineLevel="0" collapsed="false">
      <c r="A455" s="74" t="n">
        <v>453</v>
      </c>
      <c r="B455" s="74" t="str">
        <f aca="false">IF(元データ_PB合計!$A$453="","",元データ_PB合計!$A$453)</f>
        <v/>
      </c>
      <c r="C455" s="74" t="str">
        <f aca="false">IF(LEFT(B455,1)="(",IFERROR(VALUE(MID(B455,2,FIND(")",B455)-2)),""),"")</f>
        <v/>
      </c>
      <c r="D455" s="75" t="str">
        <f aca="false">IF($C455="","",N(元データ_PB合計!$B$453))</f>
        <v/>
      </c>
      <c r="E455" s="75" t="str">
        <f aca="false">IF($C455="","",N(元データ_PB合計!$C$453))</f>
        <v/>
      </c>
      <c r="F455" s="75" t="str">
        <f aca="false">IF($C455="","",N(元データ_PB合計!$F$453))</f>
        <v/>
      </c>
      <c r="G455" s="74" t="str">
        <f aca="false">IF($C455="","",IF(COUNTIF(店舗マスタ!$B$5:$B$304,$C455)&gt;0,"登録済","未登録→マスタに追加"))</f>
        <v/>
      </c>
      <c r="I455" s="74" t="n">
        <v>453</v>
      </c>
      <c r="J455" s="74" t="str">
        <f aca="false">IF(元データ_P!$A$453="","",元データ_P!$A$453)</f>
        <v/>
      </c>
      <c r="K455" s="74" t="str">
        <f aca="false">IF(LEFT(J455,1)="(",IFERROR(VALUE(MID(J455,2,FIND(")",J455)-2)),""),"")</f>
        <v/>
      </c>
      <c r="L455" s="75" t="str">
        <f aca="false">IF($K455="","",N(元データ_P!$B$453))</f>
        <v/>
      </c>
      <c r="M455" s="75" t="str">
        <f aca="false">IF($K455="","",N(元データ_P!$F$453))</f>
        <v/>
      </c>
      <c r="N455" s="74" t="str">
        <f aca="false">IF($K455="","",IF(COUNTIF(店舗マスタ!$B$5:$B$304,$K455)&gt;0,"登録済","未登録→マスタに追加"))</f>
        <v/>
      </c>
      <c r="P455" s="74" t="n">
        <v>453</v>
      </c>
      <c r="Q455" s="74" t="str">
        <f aca="false">IF(元データ_B!$A$453="","",元データ_B!$A$453)</f>
        <v/>
      </c>
      <c r="R455" s="74" t="str">
        <f aca="false">IF(LEFT(Q455,1)="(",IFERROR(VALUE(MID(Q455,2,FIND(")",Q455)-2)),""),"")</f>
        <v/>
      </c>
      <c r="S455" s="75" t="str">
        <f aca="false">IF($R455="","",N(元データ_B!$B$453))</f>
        <v/>
      </c>
      <c r="T455" s="75" t="str">
        <f aca="false">IF($R455="","",N(元データ_B!$F$453))</f>
        <v/>
      </c>
      <c r="U455" s="74" t="str">
        <f aca="false">IF($R455="","",IF(COUNTIF(店舗マスタ!$B$5:$B$304,$R455)&gt;0,"登録済","未登録→マスタに追加"))</f>
        <v/>
      </c>
    </row>
    <row r="456" customFormat="false" ht="15" hidden="false" customHeight="false" outlineLevel="0" collapsed="false">
      <c r="A456" s="74" t="n">
        <v>454</v>
      </c>
      <c r="B456" s="74" t="str">
        <f aca="false">IF(元データ_PB合計!$A$454="","",元データ_PB合計!$A$454)</f>
        <v/>
      </c>
      <c r="C456" s="74" t="str">
        <f aca="false">IF(LEFT(B456,1)="(",IFERROR(VALUE(MID(B456,2,FIND(")",B456)-2)),""),"")</f>
        <v/>
      </c>
      <c r="D456" s="75" t="str">
        <f aca="false">IF($C456="","",N(元データ_PB合計!$B$454))</f>
        <v/>
      </c>
      <c r="E456" s="75" t="str">
        <f aca="false">IF($C456="","",N(元データ_PB合計!$C$454))</f>
        <v/>
      </c>
      <c r="F456" s="75" t="str">
        <f aca="false">IF($C456="","",N(元データ_PB合計!$F$454))</f>
        <v/>
      </c>
      <c r="G456" s="74" t="str">
        <f aca="false">IF($C456="","",IF(COUNTIF(店舗マスタ!$B$5:$B$304,$C456)&gt;0,"登録済","未登録→マスタに追加"))</f>
        <v/>
      </c>
      <c r="I456" s="74" t="n">
        <v>454</v>
      </c>
      <c r="J456" s="74" t="str">
        <f aca="false">IF(元データ_P!$A$454="","",元データ_P!$A$454)</f>
        <v/>
      </c>
      <c r="K456" s="74" t="str">
        <f aca="false">IF(LEFT(J456,1)="(",IFERROR(VALUE(MID(J456,2,FIND(")",J456)-2)),""),"")</f>
        <v/>
      </c>
      <c r="L456" s="75" t="str">
        <f aca="false">IF($K456="","",N(元データ_P!$B$454))</f>
        <v/>
      </c>
      <c r="M456" s="75" t="str">
        <f aca="false">IF($K456="","",N(元データ_P!$F$454))</f>
        <v/>
      </c>
      <c r="N456" s="74" t="str">
        <f aca="false">IF($K456="","",IF(COUNTIF(店舗マスタ!$B$5:$B$304,$K456)&gt;0,"登録済","未登録→マスタに追加"))</f>
        <v/>
      </c>
      <c r="P456" s="74" t="n">
        <v>454</v>
      </c>
      <c r="Q456" s="74" t="str">
        <f aca="false">IF(元データ_B!$A$454="","",元データ_B!$A$454)</f>
        <v/>
      </c>
      <c r="R456" s="74" t="str">
        <f aca="false">IF(LEFT(Q456,1)="(",IFERROR(VALUE(MID(Q456,2,FIND(")",Q456)-2)),""),"")</f>
        <v/>
      </c>
      <c r="S456" s="75" t="str">
        <f aca="false">IF($R456="","",N(元データ_B!$B$454))</f>
        <v/>
      </c>
      <c r="T456" s="75" t="str">
        <f aca="false">IF($R456="","",N(元データ_B!$F$454))</f>
        <v/>
      </c>
      <c r="U456" s="74" t="str">
        <f aca="false">IF($R456="","",IF(COUNTIF(店舗マスタ!$B$5:$B$304,$R456)&gt;0,"登録済","未登録→マスタに追加"))</f>
        <v/>
      </c>
    </row>
    <row r="457" customFormat="false" ht="15" hidden="false" customHeight="false" outlineLevel="0" collapsed="false">
      <c r="A457" s="74" t="n">
        <v>455</v>
      </c>
      <c r="B457" s="74" t="str">
        <f aca="false">IF(元データ_PB合計!$A$455="","",元データ_PB合計!$A$455)</f>
        <v/>
      </c>
      <c r="C457" s="74" t="str">
        <f aca="false">IF(LEFT(B457,1)="(",IFERROR(VALUE(MID(B457,2,FIND(")",B457)-2)),""),"")</f>
        <v/>
      </c>
      <c r="D457" s="75" t="str">
        <f aca="false">IF($C457="","",N(元データ_PB合計!$B$455))</f>
        <v/>
      </c>
      <c r="E457" s="75" t="str">
        <f aca="false">IF($C457="","",N(元データ_PB合計!$C$455))</f>
        <v/>
      </c>
      <c r="F457" s="75" t="str">
        <f aca="false">IF($C457="","",N(元データ_PB合計!$F$455))</f>
        <v/>
      </c>
      <c r="G457" s="74" t="str">
        <f aca="false">IF($C457="","",IF(COUNTIF(店舗マスタ!$B$5:$B$304,$C457)&gt;0,"登録済","未登録→マスタに追加"))</f>
        <v/>
      </c>
      <c r="I457" s="74" t="n">
        <v>455</v>
      </c>
      <c r="J457" s="74" t="str">
        <f aca="false">IF(元データ_P!$A$455="","",元データ_P!$A$455)</f>
        <v/>
      </c>
      <c r="K457" s="74" t="str">
        <f aca="false">IF(LEFT(J457,1)="(",IFERROR(VALUE(MID(J457,2,FIND(")",J457)-2)),""),"")</f>
        <v/>
      </c>
      <c r="L457" s="75" t="str">
        <f aca="false">IF($K457="","",N(元データ_P!$B$455))</f>
        <v/>
      </c>
      <c r="M457" s="75" t="str">
        <f aca="false">IF($K457="","",N(元データ_P!$F$455))</f>
        <v/>
      </c>
      <c r="N457" s="74" t="str">
        <f aca="false">IF($K457="","",IF(COUNTIF(店舗マスタ!$B$5:$B$304,$K457)&gt;0,"登録済","未登録→マスタに追加"))</f>
        <v/>
      </c>
      <c r="P457" s="74" t="n">
        <v>455</v>
      </c>
      <c r="Q457" s="74" t="str">
        <f aca="false">IF(元データ_B!$A$455="","",元データ_B!$A$455)</f>
        <v/>
      </c>
      <c r="R457" s="74" t="str">
        <f aca="false">IF(LEFT(Q457,1)="(",IFERROR(VALUE(MID(Q457,2,FIND(")",Q457)-2)),""),"")</f>
        <v/>
      </c>
      <c r="S457" s="75" t="str">
        <f aca="false">IF($R457="","",N(元データ_B!$B$455))</f>
        <v/>
      </c>
      <c r="T457" s="75" t="str">
        <f aca="false">IF($R457="","",N(元データ_B!$F$455))</f>
        <v/>
      </c>
      <c r="U457" s="74" t="str">
        <f aca="false">IF($R457="","",IF(COUNTIF(店舗マスタ!$B$5:$B$304,$R457)&gt;0,"登録済","未登録→マスタに追加"))</f>
        <v/>
      </c>
    </row>
    <row r="458" customFormat="false" ht="15" hidden="false" customHeight="false" outlineLevel="0" collapsed="false">
      <c r="A458" s="74" t="n">
        <v>456</v>
      </c>
      <c r="B458" s="74" t="str">
        <f aca="false">IF(元データ_PB合計!$A$456="","",元データ_PB合計!$A$456)</f>
        <v/>
      </c>
      <c r="C458" s="74" t="str">
        <f aca="false">IF(LEFT(B458,1)="(",IFERROR(VALUE(MID(B458,2,FIND(")",B458)-2)),""),"")</f>
        <v/>
      </c>
      <c r="D458" s="75" t="str">
        <f aca="false">IF($C458="","",N(元データ_PB合計!$B$456))</f>
        <v/>
      </c>
      <c r="E458" s="75" t="str">
        <f aca="false">IF($C458="","",N(元データ_PB合計!$C$456))</f>
        <v/>
      </c>
      <c r="F458" s="75" t="str">
        <f aca="false">IF($C458="","",N(元データ_PB合計!$F$456))</f>
        <v/>
      </c>
      <c r="G458" s="74" t="str">
        <f aca="false">IF($C458="","",IF(COUNTIF(店舗マスタ!$B$5:$B$304,$C458)&gt;0,"登録済","未登録→マスタに追加"))</f>
        <v/>
      </c>
      <c r="I458" s="74" t="n">
        <v>456</v>
      </c>
      <c r="J458" s="74" t="str">
        <f aca="false">IF(元データ_P!$A$456="","",元データ_P!$A$456)</f>
        <v/>
      </c>
      <c r="K458" s="74" t="str">
        <f aca="false">IF(LEFT(J458,1)="(",IFERROR(VALUE(MID(J458,2,FIND(")",J458)-2)),""),"")</f>
        <v/>
      </c>
      <c r="L458" s="75" t="str">
        <f aca="false">IF($K458="","",N(元データ_P!$B$456))</f>
        <v/>
      </c>
      <c r="M458" s="75" t="str">
        <f aca="false">IF($K458="","",N(元データ_P!$F$456))</f>
        <v/>
      </c>
      <c r="N458" s="74" t="str">
        <f aca="false">IF($K458="","",IF(COUNTIF(店舗マスタ!$B$5:$B$304,$K458)&gt;0,"登録済","未登録→マスタに追加"))</f>
        <v/>
      </c>
      <c r="P458" s="74" t="n">
        <v>456</v>
      </c>
      <c r="Q458" s="74" t="str">
        <f aca="false">IF(元データ_B!$A$456="","",元データ_B!$A$456)</f>
        <v/>
      </c>
      <c r="R458" s="74" t="str">
        <f aca="false">IF(LEFT(Q458,1)="(",IFERROR(VALUE(MID(Q458,2,FIND(")",Q458)-2)),""),"")</f>
        <v/>
      </c>
      <c r="S458" s="75" t="str">
        <f aca="false">IF($R458="","",N(元データ_B!$B$456))</f>
        <v/>
      </c>
      <c r="T458" s="75" t="str">
        <f aca="false">IF($R458="","",N(元データ_B!$F$456))</f>
        <v/>
      </c>
      <c r="U458" s="74" t="str">
        <f aca="false">IF($R458="","",IF(COUNTIF(店舗マスタ!$B$5:$B$304,$R458)&gt;0,"登録済","未登録→マスタに追加"))</f>
        <v/>
      </c>
    </row>
    <row r="459" customFormat="false" ht="15" hidden="false" customHeight="false" outlineLevel="0" collapsed="false">
      <c r="A459" s="74" t="n">
        <v>457</v>
      </c>
      <c r="B459" s="74" t="str">
        <f aca="false">IF(元データ_PB合計!$A$457="","",元データ_PB合計!$A$457)</f>
        <v/>
      </c>
      <c r="C459" s="74" t="str">
        <f aca="false">IF(LEFT(B459,1)="(",IFERROR(VALUE(MID(B459,2,FIND(")",B459)-2)),""),"")</f>
        <v/>
      </c>
      <c r="D459" s="75" t="str">
        <f aca="false">IF($C459="","",N(元データ_PB合計!$B$457))</f>
        <v/>
      </c>
      <c r="E459" s="75" t="str">
        <f aca="false">IF($C459="","",N(元データ_PB合計!$C$457))</f>
        <v/>
      </c>
      <c r="F459" s="75" t="str">
        <f aca="false">IF($C459="","",N(元データ_PB合計!$F$457))</f>
        <v/>
      </c>
      <c r="G459" s="74" t="str">
        <f aca="false">IF($C459="","",IF(COUNTIF(店舗マスタ!$B$5:$B$304,$C459)&gt;0,"登録済","未登録→マスタに追加"))</f>
        <v/>
      </c>
      <c r="I459" s="74" t="n">
        <v>457</v>
      </c>
      <c r="J459" s="74" t="str">
        <f aca="false">IF(元データ_P!$A$457="","",元データ_P!$A$457)</f>
        <v/>
      </c>
      <c r="K459" s="74" t="str">
        <f aca="false">IF(LEFT(J459,1)="(",IFERROR(VALUE(MID(J459,2,FIND(")",J459)-2)),""),"")</f>
        <v/>
      </c>
      <c r="L459" s="75" t="str">
        <f aca="false">IF($K459="","",N(元データ_P!$B$457))</f>
        <v/>
      </c>
      <c r="M459" s="75" t="str">
        <f aca="false">IF($K459="","",N(元データ_P!$F$457))</f>
        <v/>
      </c>
      <c r="N459" s="74" t="str">
        <f aca="false">IF($K459="","",IF(COUNTIF(店舗マスタ!$B$5:$B$304,$K459)&gt;0,"登録済","未登録→マスタに追加"))</f>
        <v/>
      </c>
      <c r="P459" s="74" t="n">
        <v>457</v>
      </c>
      <c r="Q459" s="74" t="str">
        <f aca="false">IF(元データ_B!$A$457="","",元データ_B!$A$457)</f>
        <v/>
      </c>
      <c r="R459" s="74" t="str">
        <f aca="false">IF(LEFT(Q459,1)="(",IFERROR(VALUE(MID(Q459,2,FIND(")",Q459)-2)),""),"")</f>
        <v/>
      </c>
      <c r="S459" s="75" t="str">
        <f aca="false">IF($R459="","",N(元データ_B!$B$457))</f>
        <v/>
      </c>
      <c r="T459" s="75" t="str">
        <f aca="false">IF($R459="","",N(元データ_B!$F$457))</f>
        <v/>
      </c>
      <c r="U459" s="74" t="str">
        <f aca="false">IF($R459="","",IF(COUNTIF(店舗マスタ!$B$5:$B$304,$R459)&gt;0,"登録済","未登録→マスタに追加"))</f>
        <v/>
      </c>
    </row>
    <row r="460" customFormat="false" ht="15" hidden="false" customHeight="false" outlineLevel="0" collapsed="false">
      <c r="A460" s="74" t="n">
        <v>458</v>
      </c>
      <c r="B460" s="74" t="str">
        <f aca="false">IF(元データ_PB合計!$A$458="","",元データ_PB合計!$A$458)</f>
        <v/>
      </c>
      <c r="C460" s="74" t="str">
        <f aca="false">IF(LEFT(B460,1)="(",IFERROR(VALUE(MID(B460,2,FIND(")",B460)-2)),""),"")</f>
        <v/>
      </c>
      <c r="D460" s="75" t="str">
        <f aca="false">IF($C460="","",N(元データ_PB合計!$B$458))</f>
        <v/>
      </c>
      <c r="E460" s="75" t="str">
        <f aca="false">IF($C460="","",N(元データ_PB合計!$C$458))</f>
        <v/>
      </c>
      <c r="F460" s="75" t="str">
        <f aca="false">IF($C460="","",N(元データ_PB合計!$F$458))</f>
        <v/>
      </c>
      <c r="G460" s="74" t="str">
        <f aca="false">IF($C460="","",IF(COUNTIF(店舗マスタ!$B$5:$B$304,$C460)&gt;0,"登録済","未登録→マスタに追加"))</f>
        <v/>
      </c>
      <c r="I460" s="74" t="n">
        <v>458</v>
      </c>
      <c r="J460" s="74" t="str">
        <f aca="false">IF(元データ_P!$A$458="","",元データ_P!$A$458)</f>
        <v/>
      </c>
      <c r="K460" s="74" t="str">
        <f aca="false">IF(LEFT(J460,1)="(",IFERROR(VALUE(MID(J460,2,FIND(")",J460)-2)),""),"")</f>
        <v/>
      </c>
      <c r="L460" s="75" t="str">
        <f aca="false">IF($K460="","",N(元データ_P!$B$458))</f>
        <v/>
      </c>
      <c r="M460" s="75" t="str">
        <f aca="false">IF($K460="","",N(元データ_P!$F$458))</f>
        <v/>
      </c>
      <c r="N460" s="74" t="str">
        <f aca="false">IF($K460="","",IF(COUNTIF(店舗マスタ!$B$5:$B$304,$K460)&gt;0,"登録済","未登録→マスタに追加"))</f>
        <v/>
      </c>
      <c r="P460" s="74" t="n">
        <v>458</v>
      </c>
      <c r="Q460" s="74" t="str">
        <f aca="false">IF(元データ_B!$A$458="","",元データ_B!$A$458)</f>
        <v/>
      </c>
      <c r="R460" s="74" t="str">
        <f aca="false">IF(LEFT(Q460,1)="(",IFERROR(VALUE(MID(Q460,2,FIND(")",Q460)-2)),""),"")</f>
        <v/>
      </c>
      <c r="S460" s="75" t="str">
        <f aca="false">IF($R460="","",N(元データ_B!$B$458))</f>
        <v/>
      </c>
      <c r="T460" s="75" t="str">
        <f aca="false">IF($R460="","",N(元データ_B!$F$458))</f>
        <v/>
      </c>
      <c r="U460" s="74" t="str">
        <f aca="false">IF($R460="","",IF(COUNTIF(店舗マスタ!$B$5:$B$304,$R460)&gt;0,"登録済","未登録→マスタに追加"))</f>
        <v/>
      </c>
    </row>
    <row r="461" customFormat="false" ht="15" hidden="false" customHeight="false" outlineLevel="0" collapsed="false">
      <c r="A461" s="74" t="n">
        <v>459</v>
      </c>
      <c r="B461" s="74" t="str">
        <f aca="false">IF(元データ_PB合計!$A$459="","",元データ_PB合計!$A$459)</f>
        <v/>
      </c>
      <c r="C461" s="74" t="str">
        <f aca="false">IF(LEFT(B461,1)="(",IFERROR(VALUE(MID(B461,2,FIND(")",B461)-2)),""),"")</f>
        <v/>
      </c>
      <c r="D461" s="75" t="str">
        <f aca="false">IF($C461="","",N(元データ_PB合計!$B$459))</f>
        <v/>
      </c>
      <c r="E461" s="75" t="str">
        <f aca="false">IF($C461="","",N(元データ_PB合計!$C$459))</f>
        <v/>
      </c>
      <c r="F461" s="75" t="str">
        <f aca="false">IF($C461="","",N(元データ_PB合計!$F$459))</f>
        <v/>
      </c>
      <c r="G461" s="74" t="str">
        <f aca="false">IF($C461="","",IF(COUNTIF(店舗マスタ!$B$5:$B$304,$C461)&gt;0,"登録済","未登録→マスタに追加"))</f>
        <v/>
      </c>
      <c r="I461" s="74" t="n">
        <v>459</v>
      </c>
      <c r="J461" s="74" t="str">
        <f aca="false">IF(元データ_P!$A$459="","",元データ_P!$A$459)</f>
        <v/>
      </c>
      <c r="K461" s="74" t="str">
        <f aca="false">IF(LEFT(J461,1)="(",IFERROR(VALUE(MID(J461,2,FIND(")",J461)-2)),""),"")</f>
        <v/>
      </c>
      <c r="L461" s="75" t="str">
        <f aca="false">IF($K461="","",N(元データ_P!$B$459))</f>
        <v/>
      </c>
      <c r="M461" s="75" t="str">
        <f aca="false">IF($K461="","",N(元データ_P!$F$459))</f>
        <v/>
      </c>
      <c r="N461" s="74" t="str">
        <f aca="false">IF($K461="","",IF(COUNTIF(店舗マスタ!$B$5:$B$304,$K461)&gt;0,"登録済","未登録→マスタに追加"))</f>
        <v/>
      </c>
      <c r="P461" s="74" t="n">
        <v>459</v>
      </c>
      <c r="Q461" s="74" t="str">
        <f aca="false">IF(元データ_B!$A$459="","",元データ_B!$A$459)</f>
        <v/>
      </c>
      <c r="R461" s="74" t="str">
        <f aca="false">IF(LEFT(Q461,1)="(",IFERROR(VALUE(MID(Q461,2,FIND(")",Q461)-2)),""),"")</f>
        <v/>
      </c>
      <c r="S461" s="75" t="str">
        <f aca="false">IF($R461="","",N(元データ_B!$B$459))</f>
        <v/>
      </c>
      <c r="T461" s="75" t="str">
        <f aca="false">IF($R461="","",N(元データ_B!$F$459))</f>
        <v/>
      </c>
      <c r="U461" s="74" t="str">
        <f aca="false">IF($R461="","",IF(COUNTIF(店舗マスタ!$B$5:$B$304,$R461)&gt;0,"登録済","未登録→マスタに追加"))</f>
        <v/>
      </c>
    </row>
    <row r="462" customFormat="false" ht="15" hidden="false" customHeight="false" outlineLevel="0" collapsed="false">
      <c r="A462" s="74" t="n">
        <v>460</v>
      </c>
      <c r="B462" s="74" t="str">
        <f aca="false">IF(元データ_PB合計!$A$460="","",元データ_PB合計!$A$460)</f>
        <v/>
      </c>
      <c r="C462" s="74" t="str">
        <f aca="false">IF(LEFT(B462,1)="(",IFERROR(VALUE(MID(B462,2,FIND(")",B462)-2)),""),"")</f>
        <v/>
      </c>
      <c r="D462" s="75" t="str">
        <f aca="false">IF($C462="","",N(元データ_PB合計!$B$460))</f>
        <v/>
      </c>
      <c r="E462" s="75" t="str">
        <f aca="false">IF($C462="","",N(元データ_PB合計!$C$460))</f>
        <v/>
      </c>
      <c r="F462" s="75" t="str">
        <f aca="false">IF($C462="","",N(元データ_PB合計!$F$460))</f>
        <v/>
      </c>
      <c r="G462" s="74" t="str">
        <f aca="false">IF($C462="","",IF(COUNTIF(店舗マスタ!$B$5:$B$304,$C462)&gt;0,"登録済","未登録→マスタに追加"))</f>
        <v/>
      </c>
      <c r="I462" s="74" t="n">
        <v>460</v>
      </c>
      <c r="J462" s="74" t="str">
        <f aca="false">IF(元データ_P!$A$460="","",元データ_P!$A$460)</f>
        <v/>
      </c>
      <c r="K462" s="74" t="str">
        <f aca="false">IF(LEFT(J462,1)="(",IFERROR(VALUE(MID(J462,2,FIND(")",J462)-2)),""),"")</f>
        <v/>
      </c>
      <c r="L462" s="75" t="str">
        <f aca="false">IF($K462="","",N(元データ_P!$B$460))</f>
        <v/>
      </c>
      <c r="M462" s="75" t="str">
        <f aca="false">IF($K462="","",N(元データ_P!$F$460))</f>
        <v/>
      </c>
      <c r="N462" s="74" t="str">
        <f aca="false">IF($K462="","",IF(COUNTIF(店舗マスタ!$B$5:$B$304,$K462)&gt;0,"登録済","未登録→マスタに追加"))</f>
        <v/>
      </c>
      <c r="P462" s="74" t="n">
        <v>460</v>
      </c>
      <c r="Q462" s="74" t="str">
        <f aca="false">IF(元データ_B!$A$460="","",元データ_B!$A$460)</f>
        <v/>
      </c>
      <c r="R462" s="74" t="str">
        <f aca="false">IF(LEFT(Q462,1)="(",IFERROR(VALUE(MID(Q462,2,FIND(")",Q462)-2)),""),"")</f>
        <v/>
      </c>
      <c r="S462" s="75" t="str">
        <f aca="false">IF($R462="","",N(元データ_B!$B$460))</f>
        <v/>
      </c>
      <c r="T462" s="75" t="str">
        <f aca="false">IF($R462="","",N(元データ_B!$F$460))</f>
        <v/>
      </c>
      <c r="U462" s="74" t="str">
        <f aca="false">IF($R462="","",IF(COUNTIF(店舗マスタ!$B$5:$B$304,$R462)&gt;0,"登録済","未登録→マスタに追加"))</f>
        <v/>
      </c>
    </row>
    <row r="463" customFormat="false" ht="15" hidden="false" customHeight="false" outlineLevel="0" collapsed="false">
      <c r="A463" s="74" t="n">
        <v>461</v>
      </c>
      <c r="B463" s="74" t="str">
        <f aca="false">IF(元データ_PB合計!$A$461="","",元データ_PB合計!$A$461)</f>
        <v/>
      </c>
      <c r="C463" s="74" t="str">
        <f aca="false">IF(LEFT(B463,1)="(",IFERROR(VALUE(MID(B463,2,FIND(")",B463)-2)),""),"")</f>
        <v/>
      </c>
      <c r="D463" s="75" t="str">
        <f aca="false">IF($C463="","",N(元データ_PB合計!$B$461))</f>
        <v/>
      </c>
      <c r="E463" s="75" t="str">
        <f aca="false">IF($C463="","",N(元データ_PB合計!$C$461))</f>
        <v/>
      </c>
      <c r="F463" s="75" t="str">
        <f aca="false">IF($C463="","",N(元データ_PB合計!$F$461))</f>
        <v/>
      </c>
      <c r="G463" s="74" t="str">
        <f aca="false">IF($C463="","",IF(COUNTIF(店舗マスタ!$B$5:$B$304,$C463)&gt;0,"登録済","未登録→マスタに追加"))</f>
        <v/>
      </c>
      <c r="I463" s="74" t="n">
        <v>461</v>
      </c>
      <c r="J463" s="74" t="str">
        <f aca="false">IF(元データ_P!$A$461="","",元データ_P!$A$461)</f>
        <v/>
      </c>
      <c r="K463" s="74" t="str">
        <f aca="false">IF(LEFT(J463,1)="(",IFERROR(VALUE(MID(J463,2,FIND(")",J463)-2)),""),"")</f>
        <v/>
      </c>
      <c r="L463" s="75" t="str">
        <f aca="false">IF($K463="","",N(元データ_P!$B$461))</f>
        <v/>
      </c>
      <c r="M463" s="75" t="str">
        <f aca="false">IF($K463="","",N(元データ_P!$F$461))</f>
        <v/>
      </c>
      <c r="N463" s="74" t="str">
        <f aca="false">IF($K463="","",IF(COUNTIF(店舗マスタ!$B$5:$B$304,$K463)&gt;0,"登録済","未登録→マスタに追加"))</f>
        <v/>
      </c>
      <c r="P463" s="74" t="n">
        <v>461</v>
      </c>
      <c r="Q463" s="74" t="str">
        <f aca="false">IF(元データ_B!$A$461="","",元データ_B!$A$461)</f>
        <v/>
      </c>
      <c r="R463" s="74" t="str">
        <f aca="false">IF(LEFT(Q463,1)="(",IFERROR(VALUE(MID(Q463,2,FIND(")",Q463)-2)),""),"")</f>
        <v/>
      </c>
      <c r="S463" s="75" t="str">
        <f aca="false">IF($R463="","",N(元データ_B!$B$461))</f>
        <v/>
      </c>
      <c r="T463" s="75" t="str">
        <f aca="false">IF($R463="","",N(元データ_B!$F$461))</f>
        <v/>
      </c>
      <c r="U463" s="74" t="str">
        <f aca="false">IF($R463="","",IF(COUNTIF(店舗マスタ!$B$5:$B$304,$R463)&gt;0,"登録済","未登録→マスタに追加"))</f>
        <v/>
      </c>
    </row>
    <row r="464" customFormat="false" ht="15" hidden="false" customHeight="false" outlineLevel="0" collapsed="false">
      <c r="A464" s="74" t="n">
        <v>462</v>
      </c>
      <c r="B464" s="74" t="str">
        <f aca="false">IF(元データ_PB合計!$A$462="","",元データ_PB合計!$A$462)</f>
        <v/>
      </c>
      <c r="C464" s="74" t="str">
        <f aca="false">IF(LEFT(B464,1)="(",IFERROR(VALUE(MID(B464,2,FIND(")",B464)-2)),""),"")</f>
        <v/>
      </c>
      <c r="D464" s="75" t="str">
        <f aca="false">IF($C464="","",N(元データ_PB合計!$B$462))</f>
        <v/>
      </c>
      <c r="E464" s="75" t="str">
        <f aca="false">IF($C464="","",N(元データ_PB合計!$C$462))</f>
        <v/>
      </c>
      <c r="F464" s="75" t="str">
        <f aca="false">IF($C464="","",N(元データ_PB合計!$F$462))</f>
        <v/>
      </c>
      <c r="G464" s="74" t="str">
        <f aca="false">IF($C464="","",IF(COUNTIF(店舗マスタ!$B$5:$B$304,$C464)&gt;0,"登録済","未登録→マスタに追加"))</f>
        <v/>
      </c>
      <c r="I464" s="74" t="n">
        <v>462</v>
      </c>
      <c r="J464" s="74" t="str">
        <f aca="false">IF(元データ_P!$A$462="","",元データ_P!$A$462)</f>
        <v/>
      </c>
      <c r="K464" s="74" t="str">
        <f aca="false">IF(LEFT(J464,1)="(",IFERROR(VALUE(MID(J464,2,FIND(")",J464)-2)),""),"")</f>
        <v/>
      </c>
      <c r="L464" s="75" t="str">
        <f aca="false">IF($K464="","",N(元データ_P!$B$462))</f>
        <v/>
      </c>
      <c r="M464" s="75" t="str">
        <f aca="false">IF($K464="","",N(元データ_P!$F$462))</f>
        <v/>
      </c>
      <c r="N464" s="74" t="str">
        <f aca="false">IF($K464="","",IF(COUNTIF(店舗マスタ!$B$5:$B$304,$K464)&gt;0,"登録済","未登録→マスタに追加"))</f>
        <v/>
      </c>
      <c r="P464" s="74" t="n">
        <v>462</v>
      </c>
      <c r="Q464" s="74" t="str">
        <f aca="false">IF(元データ_B!$A$462="","",元データ_B!$A$462)</f>
        <v/>
      </c>
      <c r="R464" s="74" t="str">
        <f aca="false">IF(LEFT(Q464,1)="(",IFERROR(VALUE(MID(Q464,2,FIND(")",Q464)-2)),""),"")</f>
        <v/>
      </c>
      <c r="S464" s="75" t="str">
        <f aca="false">IF($R464="","",N(元データ_B!$B$462))</f>
        <v/>
      </c>
      <c r="T464" s="75" t="str">
        <f aca="false">IF($R464="","",N(元データ_B!$F$462))</f>
        <v/>
      </c>
      <c r="U464" s="74" t="str">
        <f aca="false">IF($R464="","",IF(COUNTIF(店舗マスタ!$B$5:$B$304,$R464)&gt;0,"登録済","未登録→マスタに追加"))</f>
        <v/>
      </c>
    </row>
    <row r="465" customFormat="false" ht="15" hidden="false" customHeight="false" outlineLevel="0" collapsed="false">
      <c r="A465" s="74" t="n">
        <v>463</v>
      </c>
      <c r="B465" s="74" t="str">
        <f aca="false">IF(元データ_PB合計!$A$463="","",元データ_PB合計!$A$463)</f>
        <v/>
      </c>
      <c r="C465" s="74" t="str">
        <f aca="false">IF(LEFT(B465,1)="(",IFERROR(VALUE(MID(B465,2,FIND(")",B465)-2)),""),"")</f>
        <v/>
      </c>
      <c r="D465" s="75" t="str">
        <f aca="false">IF($C465="","",N(元データ_PB合計!$B$463))</f>
        <v/>
      </c>
      <c r="E465" s="75" t="str">
        <f aca="false">IF($C465="","",N(元データ_PB合計!$C$463))</f>
        <v/>
      </c>
      <c r="F465" s="75" t="str">
        <f aca="false">IF($C465="","",N(元データ_PB合計!$F$463))</f>
        <v/>
      </c>
      <c r="G465" s="74" t="str">
        <f aca="false">IF($C465="","",IF(COUNTIF(店舗マスタ!$B$5:$B$304,$C465)&gt;0,"登録済","未登録→マスタに追加"))</f>
        <v/>
      </c>
      <c r="I465" s="74" t="n">
        <v>463</v>
      </c>
      <c r="J465" s="74" t="str">
        <f aca="false">IF(元データ_P!$A$463="","",元データ_P!$A$463)</f>
        <v/>
      </c>
      <c r="K465" s="74" t="str">
        <f aca="false">IF(LEFT(J465,1)="(",IFERROR(VALUE(MID(J465,2,FIND(")",J465)-2)),""),"")</f>
        <v/>
      </c>
      <c r="L465" s="75" t="str">
        <f aca="false">IF($K465="","",N(元データ_P!$B$463))</f>
        <v/>
      </c>
      <c r="M465" s="75" t="str">
        <f aca="false">IF($K465="","",N(元データ_P!$F$463))</f>
        <v/>
      </c>
      <c r="N465" s="74" t="str">
        <f aca="false">IF($K465="","",IF(COUNTIF(店舗マスタ!$B$5:$B$304,$K465)&gt;0,"登録済","未登録→マスタに追加"))</f>
        <v/>
      </c>
      <c r="P465" s="74" t="n">
        <v>463</v>
      </c>
      <c r="Q465" s="74" t="str">
        <f aca="false">IF(元データ_B!$A$463="","",元データ_B!$A$463)</f>
        <v/>
      </c>
      <c r="R465" s="74" t="str">
        <f aca="false">IF(LEFT(Q465,1)="(",IFERROR(VALUE(MID(Q465,2,FIND(")",Q465)-2)),""),"")</f>
        <v/>
      </c>
      <c r="S465" s="75" t="str">
        <f aca="false">IF($R465="","",N(元データ_B!$B$463))</f>
        <v/>
      </c>
      <c r="T465" s="75" t="str">
        <f aca="false">IF($R465="","",N(元データ_B!$F$463))</f>
        <v/>
      </c>
      <c r="U465" s="74" t="str">
        <f aca="false">IF($R465="","",IF(COUNTIF(店舗マスタ!$B$5:$B$304,$R465)&gt;0,"登録済","未登録→マスタに追加"))</f>
        <v/>
      </c>
    </row>
    <row r="466" customFormat="false" ht="15" hidden="false" customHeight="false" outlineLevel="0" collapsed="false">
      <c r="A466" s="74" t="n">
        <v>464</v>
      </c>
      <c r="B466" s="74" t="str">
        <f aca="false">IF(元データ_PB合計!$A$464="","",元データ_PB合計!$A$464)</f>
        <v/>
      </c>
      <c r="C466" s="74" t="str">
        <f aca="false">IF(LEFT(B466,1)="(",IFERROR(VALUE(MID(B466,2,FIND(")",B466)-2)),""),"")</f>
        <v/>
      </c>
      <c r="D466" s="75" t="str">
        <f aca="false">IF($C466="","",N(元データ_PB合計!$B$464))</f>
        <v/>
      </c>
      <c r="E466" s="75" t="str">
        <f aca="false">IF($C466="","",N(元データ_PB合計!$C$464))</f>
        <v/>
      </c>
      <c r="F466" s="75" t="str">
        <f aca="false">IF($C466="","",N(元データ_PB合計!$F$464))</f>
        <v/>
      </c>
      <c r="G466" s="74" t="str">
        <f aca="false">IF($C466="","",IF(COUNTIF(店舗マスタ!$B$5:$B$304,$C466)&gt;0,"登録済","未登録→マスタに追加"))</f>
        <v/>
      </c>
      <c r="I466" s="74" t="n">
        <v>464</v>
      </c>
      <c r="J466" s="74" t="str">
        <f aca="false">IF(元データ_P!$A$464="","",元データ_P!$A$464)</f>
        <v/>
      </c>
      <c r="K466" s="74" t="str">
        <f aca="false">IF(LEFT(J466,1)="(",IFERROR(VALUE(MID(J466,2,FIND(")",J466)-2)),""),"")</f>
        <v/>
      </c>
      <c r="L466" s="75" t="str">
        <f aca="false">IF($K466="","",N(元データ_P!$B$464))</f>
        <v/>
      </c>
      <c r="M466" s="75" t="str">
        <f aca="false">IF($K466="","",N(元データ_P!$F$464))</f>
        <v/>
      </c>
      <c r="N466" s="74" t="str">
        <f aca="false">IF($K466="","",IF(COUNTIF(店舗マスタ!$B$5:$B$304,$K466)&gt;0,"登録済","未登録→マスタに追加"))</f>
        <v/>
      </c>
      <c r="P466" s="74" t="n">
        <v>464</v>
      </c>
      <c r="Q466" s="74" t="str">
        <f aca="false">IF(元データ_B!$A$464="","",元データ_B!$A$464)</f>
        <v/>
      </c>
      <c r="R466" s="74" t="str">
        <f aca="false">IF(LEFT(Q466,1)="(",IFERROR(VALUE(MID(Q466,2,FIND(")",Q466)-2)),""),"")</f>
        <v/>
      </c>
      <c r="S466" s="75" t="str">
        <f aca="false">IF($R466="","",N(元データ_B!$B$464))</f>
        <v/>
      </c>
      <c r="T466" s="75" t="str">
        <f aca="false">IF($R466="","",N(元データ_B!$F$464))</f>
        <v/>
      </c>
      <c r="U466" s="74" t="str">
        <f aca="false">IF($R466="","",IF(COUNTIF(店舗マスタ!$B$5:$B$304,$R466)&gt;0,"登録済","未登録→マスタに追加"))</f>
        <v/>
      </c>
    </row>
    <row r="467" customFormat="false" ht="15" hidden="false" customHeight="false" outlineLevel="0" collapsed="false">
      <c r="A467" s="74" t="n">
        <v>465</v>
      </c>
      <c r="B467" s="74" t="str">
        <f aca="false">IF(元データ_PB合計!$A$465="","",元データ_PB合計!$A$465)</f>
        <v/>
      </c>
      <c r="C467" s="74" t="str">
        <f aca="false">IF(LEFT(B467,1)="(",IFERROR(VALUE(MID(B467,2,FIND(")",B467)-2)),""),"")</f>
        <v/>
      </c>
      <c r="D467" s="75" t="str">
        <f aca="false">IF($C467="","",N(元データ_PB合計!$B$465))</f>
        <v/>
      </c>
      <c r="E467" s="75" t="str">
        <f aca="false">IF($C467="","",N(元データ_PB合計!$C$465))</f>
        <v/>
      </c>
      <c r="F467" s="75" t="str">
        <f aca="false">IF($C467="","",N(元データ_PB合計!$F$465))</f>
        <v/>
      </c>
      <c r="G467" s="74" t="str">
        <f aca="false">IF($C467="","",IF(COUNTIF(店舗マスタ!$B$5:$B$304,$C467)&gt;0,"登録済","未登録→マスタに追加"))</f>
        <v/>
      </c>
      <c r="I467" s="74" t="n">
        <v>465</v>
      </c>
      <c r="J467" s="74" t="str">
        <f aca="false">IF(元データ_P!$A$465="","",元データ_P!$A$465)</f>
        <v/>
      </c>
      <c r="K467" s="74" t="str">
        <f aca="false">IF(LEFT(J467,1)="(",IFERROR(VALUE(MID(J467,2,FIND(")",J467)-2)),""),"")</f>
        <v/>
      </c>
      <c r="L467" s="75" t="str">
        <f aca="false">IF($K467="","",N(元データ_P!$B$465))</f>
        <v/>
      </c>
      <c r="M467" s="75" t="str">
        <f aca="false">IF($K467="","",N(元データ_P!$F$465))</f>
        <v/>
      </c>
      <c r="N467" s="74" t="str">
        <f aca="false">IF($K467="","",IF(COUNTIF(店舗マスタ!$B$5:$B$304,$K467)&gt;0,"登録済","未登録→マスタに追加"))</f>
        <v/>
      </c>
      <c r="P467" s="74" t="n">
        <v>465</v>
      </c>
      <c r="Q467" s="74" t="str">
        <f aca="false">IF(元データ_B!$A$465="","",元データ_B!$A$465)</f>
        <v/>
      </c>
      <c r="R467" s="74" t="str">
        <f aca="false">IF(LEFT(Q467,1)="(",IFERROR(VALUE(MID(Q467,2,FIND(")",Q467)-2)),""),"")</f>
        <v/>
      </c>
      <c r="S467" s="75" t="str">
        <f aca="false">IF($R467="","",N(元データ_B!$B$465))</f>
        <v/>
      </c>
      <c r="T467" s="75" t="str">
        <f aca="false">IF($R467="","",N(元データ_B!$F$465))</f>
        <v/>
      </c>
      <c r="U467" s="74" t="str">
        <f aca="false">IF($R467="","",IF(COUNTIF(店舗マスタ!$B$5:$B$304,$R467)&gt;0,"登録済","未登録→マスタに追加"))</f>
        <v/>
      </c>
    </row>
    <row r="468" customFormat="false" ht="15" hidden="false" customHeight="false" outlineLevel="0" collapsed="false">
      <c r="A468" s="74" t="n">
        <v>466</v>
      </c>
      <c r="B468" s="74" t="str">
        <f aca="false">IF(元データ_PB合計!$A$466="","",元データ_PB合計!$A$466)</f>
        <v/>
      </c>
      <c r="C468" s="74" t="str">
        <f aca="false">IF(LEFT(B468,1)="(",IFERROR(VALUE(MID(B468,2,FIND(")",B468)-2)),""),"")</f>
        <v/>
      </c>
      <c r="D468" s="75" t="str">
        <f aca="false">IF($C468="","",N(元データ_PB合計!$B$466))</f>
        <v/>
      </c>
      <c r="E468" s="75" t="str">
        <f aca="false">IF($C468="","",N(元データ_PB合計!$C$466))</f>
        <v/>
      </c>
      <c r="F468" s="75" t="str">
        <f aca="false">IF($C468="","",N(元データ_PB合計!$F$466))</f>
        <v/>
      </c>
      <c r="G468" s="74" t="str">
        <f aca="false">IF($C468="","",IF(COUNTIF(店舗マスタ!$B$5:$B$304,$C468)&gt;0,"登録済","未登録→マスタに追加"))</f>
        <v/>
      </c>
      <c r="I468" s="74" t="n">
        <v>466</v>
      </c>
      <c r="J468" s="74" t="str">
        <f aca="false">IF(元データ_P!$A$466="","",元データ_P!$A$466)</f>
        <v/>
      </c>
      <c r="K468" s="74" t="str">
        <f aca="false">IF(LEFT(J468,1)="(",IFERROR(VALUE(MID(J468,2,FIND(")",J468)-2)),""),"")</f>
        <v/>
      </c>
      <c r="L468" s="75" t="str">
        <f aca="false">IF($K468="","",N(元データ_P!$B$466))</f>
        <v/>
      </c>
      <c r="M468" s="75" t="str">
        <f aca="false">IF($K468="","",N(元データ_P!$F$466))</f>
        <v/>
      </c>
      <c r="N468" s="74" t="str">
        <f aca="false">IF($K468="","",IF(COUNTIF(店舗マスタ!$B$5:$B$304,$K468)&gt;0,"登録済","未登録→マスタに追加"))</f>
        <v/>
      </c>
      <c r="P468" s="74" t="n">
        <v>466</v>
      </c>
      <c r="Q468" s="74" t="str">
        <f aca="false">IF(元データ_B!$A$466="","",元データ_B!$A$466)</f>
        <v/>
      </c>
      <c r="R468" s="74" t="str">
        <f aca="false">IF(LEFT(Q468,1)="(",IFERROR(VALUE(MID(Q468,2,FIND(")",Q468)-2)),""),"")</f>
        <v/>
      </c>
      <c r="S468" s="75" t="str">
        <f aca="false">IF($R468="","",N(元データ_B!$B$466))</f>
        <v/>
      </c>
      <c r="T468" s="75" t="str">
        <f aca="false">IF($R468="","",N(元データ_B!$F$466))</f>
        <v/>
      </c>
      <c r="U468" s="74" t="str">
        <f aca="false">IF($R468="","",IF(COUNTIF(店舗マスタ!$B$5:$B$304,$R468)&gt;0,"登録済","未登録→マスタに追加"))</f>
        <v/>
      </c>
    </row>
    <row r="469" customFormat="false" ht="15" hidden="false" customHeight="false" outlineLevel="0" collapsed="false">
      <c r="A469" s="74" t="n">
        <v>467</v>
      </c>
      <c r="B469" s="74" t="str">
        <f aca="false">IF(元データ_PB合計!$A$467="","",元データ_PB合計!$A$467)</f>
        <v/>
      </c>
      <c r="C469" s="74" t="str">
        <f aca="false">IF(LEFT(B469,1)="(",IFERROR(VALUE(MID(B469,2,FIND(")",B469)-2)),""),"")</f>
        <v/>
      </c>
      <c r="D469" s="75" t="str">
        <f aca="false">IF($C469="","",N(元データ_PB合計!$B$467))</f>
        <v/>
      </c>
      <c r="E469" s="75" t="str">
        <f aca="false">IF($C469="","",N(元データ_PB合計!$C$467))</f>
        <v/>
      </c>
      <c r="F469" s="75" t="str">
        <f aca="false">IF($C469="","",N(元データ_PB合計!$F$467))</f>
        <v/>
      </c>
      <c r="G469" s="74" t="str">
        <f aca="false">IF($C469="","",IF(COUNTIF(店舗マスタ!$B$5:$B$304,$C469)&gt;0,"登録済","未登録→マスタに追加"))</f>
        <v/>
      </c>
      <c r="I469" s="74" t="n">
        <v>467</v>
      </c>
      <c r="J469" s="74" t="str">
        <f aca="false">IF(元データ_P!$A$467="","",元データ_P!$A$467)</f>
        <v/>
      </c>
      <c r="K469" s="74" t="str">
        <f aca="false">IF(LEFT(J469,1)="(",IFERROR(VALUE(MID(J469,2,FIND(")",J469)-2)),""),"")</f>
        <v/>
      </c>
      <c r="L469" s="75" t="str">
        <f aca="false">IF($K469="","",N(元データ_P!$B$467))</f>
        <v/>
      </c>
      <c r="M469" s="75" t="str">
        <f aca="false">IF($K469="","",N(元データ_P!$F$467))</f>
        <v/>
      </c>
      <c r="N469" s="74" t="str">
        <f aca="false">IF($K469="","",IF(COUNTIF(店舗マスタ!$B$5:$B$304,$K469)&gt;0,"登録済","未登録→マスタに追加"))</f>
        <v/>
      </c>
      <c r="P469" s="74" t="n">
        <v>467</v>
      </c>
      <c r="Q469" s="74" t="str">
        <f aca="false">IF(元データ_B!$A$467="","",元データ_B!$A$467)</f>
        <v/>
      </c>
      <c r="R469" s="74" t="str">
        <f aca="false">IF(LEFT(Q469,1)="(",IFERROR(VALUE(MID(Q469,2,FIND(")",Q469)-2)),""),"")</f>
        <v/>
      </c>
      <c r="S469" s="75" t="str">
        <f aca="false">IF($R469="","",N(元データ_B!$B$467))</f>
        <v/>
      </c>
      <c r="T469" s="75" t="str">
        <f aca="false">IF($R469="","",N(元データ_B!$F$467))</f>
        <v/>
      </c>
      <c r="U469" s="74" t="str">
        <f aca="false">IF($R469="","",IF(COUNTIF(店舗マスタ!$B$5:$B$304,$R469)&gt;0,"登録済","未登録→マスタに追加"))</f>
        <v/>
      </c>
    </row>
    <row r="470" customFormat="false" ht="15" hidden="false" customHeight="false" outlineLevel="0" collapsed="false">
      <c r="A470" s="74" t="n">
        <v>468</v>
      </c>
      <c r="B470" s="74" t="str">
        <f aca="false">IF(元データ_PB合計!$A$468="","",元データ_PB合計!$A$468)</f>
        <v/>
      </c>
      <c r="C470" s="74" t="str">
        <f aca="false">IF(LEFT(B470,1)="(",IFERROR(VALUE(MID(B470,2,FIND(")",B470)-2)),""),"")</f>
        <v/>
      </c>
      <c r="D470" s="75" t="str">
        <f aca="false">IF($C470="","",N(元データ_PB合計!$B$468))</f>
        <v/>
      </c>
      <c r="E470" s="75" t="str">
        <f aca="false">IF($C470="","",N(元データ_PB合計!$C$468))</f>
        <v/>
      </c>
      <c r="F470" s="75" t="str">
        <f aca="false">IF($C470="","",N(元データ_PB合計!$F$468))</f>
        <v/>
      </c>
      <c r="G470" s="74" t="str">
        <f aca="false">IF($C470="","",IF(COUNTIF(店舗マスタ!$B$5:$B$304,$C470)&gt;0,"登録済","未登録→マスタに追加"))</f>
        <v/>
      </c>
      <c r="I470" s="74" t="n">
        <v>468</v>
      </c>
      <c r="J470" s="74" t="str">
        <f aca="false">IF(元データ_P!$A$468="","",元データ_P!$A$468)</f>
        <v/>
      </c>
      <c r="K470" s="74" t="str">
        <f aca="false">IF(LEFT(J470,1)="(",IFERROR(VALUE(MID(J470,2,FIND(")",J470)-2)),""),"")</f>
        <v/>
      </c>
      <c r="L470" s="75" t="str">
        <f aca="false">IF($K470="","",N(元データ_P!$B$468))</f>
        <v/>
      </c>
      <c r="M470" s="75" t="str">
        <f aca="false">IF($K470="","",N(元データ_P!$F$468))</f>
        <v/>
      </c>
      <c r="N470" s="74" t="str">
        <f aca="false">IF($K470="","",IF(COUNTIF(店舗マスタ!$B$5:$B$304,$K470)&gt;0,"登録済","未登録→マスタに追加"))</f>
        <v/>
      </c>
      <c r="P470" s="74" t="n">
        <v>468</v>
      </c>
      <c r="Q470" s="74" t="str">
        <f aca="false">IF(元データ_B!$A$468="","",元データ_B!$A$468)</f>
        <v/>
      </c>
      <c r="R470" s="74" t="str">
        <f aca="false">IF(LEFT(Q470,1)="(",IFERROR(VALUE(MID(Q470,2,FIND(")",Q470)-2)),""),"")</f>
        <v/>
      </c>
      <c r="S470" s="75" t="str">
        <f aca="false">IF($R470="","",N(元データ_B!$B$468))</f>
        <v/>
      </c>
      <c r="T470" s="75" t="str">
        <f aca="false">IF($R470="","",N(元データ_B!$F$468))</f>
        <v/>
      </c>
      <c r="U470" s="74" t="str">
        <f aca="false">IF($R470="","",IF(COUNTIF(店舗マスタ!$B$5:$B$304,$R470)&gt;0,"登録済","未登録→マスタに追加"))</f>
        <v/>
      </c>
    </row>
    <row r="471" customFormat="false" ht="15" hidden="false" customHeight="false" outlineLevel="0" collapsed="false">
      <c r="A471" s="74" t="n">
        <v>469</v>
      </c>
      <c r="B471" s="74" t="str">
        <f aca="false">IF(元データ_PB合計!$A$469="","",元データ_PB合計!$A$469)</f>
        <v/>
      </c>
      <c r="C471" s="74" t="str">
        <f aca="false">IF(LEFT(B471,1)="(",IFERROR(VALUE(MID(B471,2,FIND(")",B471)-2)),""),"")</f>
        <v/>
      </c>
      <c r="D471" s="75" t="str">
        <f aca="false">IF($C471="","",N(元データ_PB合計!$B$469))</f>
        <v/>
      </c>
      <c r="E471" s="75" t="str">
        <f aca="false">IF($C471="","",N(元データ_PB合計!$C$469))</f>
        <v/>
      </c>
      <c r="F471" s="75" t="str">
        <f aca="false">IF($C471="","",N(元データ_PB合計!$F$469))</f>
        <v/>
      </c>
      <c r="G471" s="74" t="str">
        <f aca="false">IF($C471="","",IF(COUNTIF(店舗マスタ!$B$5:$B$304,$C471)&gt;0,"登録済","未登録→マスタに追加"))</f>
        <v/>
      </c>
      <c r="I471" s="74" t="n">
        <v>469</v>
      </c>
      <c r="J471" s="74" t="str">
        <f aca="false">IF(元データ_P!$A$469="","",元データ_P!$A$469)</f>
        <v/>
      </c>
      <c r="K471" s="74" t="str">
        <f aca="false">IF(LEFT(J471,1)="(",IFERROR(VALUE(MID(J471,2,FIND(")",J471)-2)),""),"")</f>
        <v/>
      </c>
      <c r="L471" s="75" t="str">
        <f aca="false">IF($K471="","",N(元データ_P!$B$469))</f>
        <v/>
      </c>
      <c r="M471" s="75" t="str">
        <f aca="false">IF($K471="","",N(元データ_P!$F$469))</f>
        <v/>
      </c>
      <c r="N471" s="74" t="str">
        <f aca="false">IF($K471="","",IF(COUNTIF(店舗マスタ!$B$5:$B$304,$K471)&gt;0,"登録済","未登録→マスタに追加"))</f>
        <v/>
      </c>
      <c r="P471" s="74" t="n">
        <v>469</v>
      </c>
      <c r="Q471" s="74" t="str">
        <f aca="false">IF(元データ_B!$A$469="","",元データ_B!$A$469)</f>
        <v/>
      </c>
      <c r="R471" s="74" t="str">
        <f aca="false">IF(LEFT(Q471,1)="(",IFERROR(VALUE(MID(Q471,2,FIND(")",Q471)-2)),""),"")</f>
        <v/>
      </c>
      <c r="S471" s="75" t="str">
        <f aca="false">IF($R471="","",N(元データ_B!$B$469))</f>
        <v/>
      </c>
      <c r="T471" s="75" t="str">
        <f aca="false">IF($R471="","",N(元データ_B!$F$469))</f>
        <v/>
      </c>
      <c r="U471" s="74" t="str">
        <f aca="false">IF($R471="","",IF(COUNTIF(店舗マスタ!$B$5:$B$304,$R471)&gt;0,"登録済","未登録→マスタに追加"))</f>
        <v/>
      </c>
    </row>
    <row r="472" customFormat="false" ht="15" hidden="false" customHeight="false" outlineLevel="0" collapsed="false">
      <c r="A472" s="74" t="n">
        <v>470</v>
      </c>
      <c r="B472" s="74" t="str">
        <f aca="false">IF(元データ_PB合計!$A$470="","",元データ_PB合計!$A$470)</f>
        <v/>
      </c>
      <c r="C472" s="74" t="str">
        <f aca="false">IF(LEFT(B472,1)="(",IFERROR(VALUE(MID(B472,2,FIND(")",B472)-2)),""),"")</f>
        <v/>
      </c>
      <c r="D472" s="75" t="str">
        <f aca="false">IF($C472="","",N(元データ_PB合計!$B$470))</f>
        <v/>
      </c>
      <c r="E472" s="75" t="str">
        <f aca="false">IF($C472="","",N(元データ_PB合計!$C$470))</f>
        <v/>
      </c>
      <c r="F472" s="75" t="str">
        <f aca="false">IF($C472="","",N(元データ_PB合計!$F$470))</f>
        <v/>
      </c>
      <c r="G472" s="74" t="str">
        <f aca="false">IF($C472="","",IF(COUNTIF(店舗マスタ!$B$5:$B$304,$C472)&gt;0,"登録済","未登録→マスタに追加"))</f>
        <v/>
      </c>
      <c r="I472" s="74" t="n">
        <v>470</v>
      </c>
      <c r="J472" s="74" t="str">
        <f aca="false">IF(元データ_P!$A$470="","",元データ_P!$A$470)</f>
        <v/>
      </c>
      <c r="K472" s="74" t="str">
        <f aca="false">IF(LEFT(J472,1)="(",IFERROR(VALUE(MID(J472,2,FIND(")",J472)-2)),""),"")</f>
        <v/>
      </c>
      <c r="L472" s="75" t="str">
        <f aca="false">IF($K472="","",N(元データ_P!$B$470))</f>
        <v/>
      </c>
      <c r="M472" s="75" t="str">
        <f aca="false">IF($K472="","",N(元データ_P!$F$470))</f>
        <v/>
      </c>
      <c r="N472" s="74" t="str">
        <f aca="false">IF($K472="","",IF(COUNTIF(店舗マスタ!$B$5:$B$304,$K472)&gt;0,"登録済","未登録→マスタに追加"))</f>
        <v/>
      </c>
      <c r="P472" s="74" t="n">
        <v>470</v>
      </c>
      <c r="Q472" s="74" t="str">
        <f aca="false">IF(元データ_B!$A$470="","",元データ_B!$A$470)</f>
        <v/>
      </c>
      <c r="R472" s="74" t="str">
        <f aca="false">IF(LEFT(Q472,1)="(",IFERROR(VALUE(MID(Q472,2,FIND(")",Q472)-2)),""),"")</f>
        <v/>
      </c>
      <c r="S472" s="75" t="str">
        <f aca="false">IF($R472="","",N(元データ_B!$B$470))</f>
        <v/>
      </c>
      <c r="T472" s="75" t="str">
        <f aca="false">IF($R472="","",N(元データ_B!$F$470))</f>
        <v/>
      </c>
      <c r="U472" s="74" t="str">
        <f aca="false">IF($R472="","",IF(COUNTIF(店舗マスタ!$B$5:$B$304,$R472)&gt;0,"登録済","未登録→マスタに追加"))</f>
        <v/>
      </c>
    </row>
    <row r="473" customFormat="false" ht="15" hidden="false" customHeight="false" outlineLevel="0" collapsed="false">
      <c r="A473" s="74" t="n">
        <v>471</v>
      </c>
      <c r="B473" s="74" t="str">
        <f aca="false">IF(元データ_PB合計!$A$471="","",元データ_PB合計!$A$471)</f>
        <v/>
      </c>
      <c r="C473" s="74" t="str">
        <f aca="false">IF(LEFT(B473,1)="(",IFERROR(VALUE(MID(B473,2,FIND(")",B473)-2)),""),"")</f>
        <v/>
      </c>
      <c r="D473" s="75" t="str">
        <f aca="false">IF($C473="","",N(元データ_PB合計!$B$471))</f>
        <v/>
      </c>
      <c r="E473" s="75" t="str">
        <f aca="false">IF($C473="","",N(元データ_PB合計!$C$471))</f>
        <v/>
      </c>
      <c r="F473" s="75" t="str">
        <f aca="false">IF($C473="","",N(元データ_PB合計!$F$471))</f>
        <v/>
      </c>
      <c r="G473" s="74" t="str">
        <f aca="false">IF($C473="","",IF(COUNTIF(店舗マスタ!$B$5:$B$304,$C473)&gt;0,"登録済","未登録→マスタに追加"))</f>
        <v/>
      </c>
      <c r="I473" s="74" t="n">
        <v>471</v>
      </c>
      <c r="J473" s="74" t="str">
        <f aca="false">IF(元データ_P!$A$471="","",元データ_P!$A$471)</f>
        <v/>
      </c>
      <c r="K473" s="74" t="str">
        <f aca="false">IF(LEFT(J473,1)="(",IFERROR(VALUE(MID(J473,2,FIND(")",J473)-2)),""),"")</f>
        <v/>
      </c>
      <c r="L473" s="75" t="str">
        <f aca="false">IF($K473="","",N(元データ_P!$B$471))</f>
        <v/>
      </c>
      <c r="M473" s="75" t="str">
        <f aca="false">IF($K473="","",N(元データ_P!$F$471))</f>
        <v/>
      </c>
      <c r="N473" s="74" t="str">
        <f aca="false">IF($K473="","",IF(COUNTIF(店舗マスタ!$B$5:$B$304,$K473)&gt;0,"登録済","未登録→マスタに追加"))</f>
        <v/>
      </c>
      <c r="P473" s="74" t="n">
        <v>471</v>
      </c>
      <c r="Q473" s="74" t="str">
        <f aca="false">IF(元データ_B!$A$471="","",元データ_B!$A$471)</f>
        <v/>
      </c>
      <c r="R473" s="74" t="str">
        <f aca="false">IF(LEFT(Q473,1)="(",IFERROR(VALUE(MID(Q473,2,FIND(")",Q473)-2)),""),"")</f>
        <v/>
      </c>
      <c r="S473" s="75" t="str">
        <f aca="false">IF($R473="","",N(元データ_B!$B$471))</f>
        <v/>
      </c>
      <c r="T473" s="75" t="str">
        <f aca="false">IF($R473="","",N(元データ_B!$F$471))</f>
        <v/>
      </c>
      <c r="U473" s="74" t="str">
        <f aca="false">IF($R473="","",IF(COUNTIF(店舗マスタ!$B$5:$B$304,$R473)&gt;0,"登録済","未登録→マスタに追加"))</f>
        <v/>
      </c>
    </row>
    <row r="474" customFormat="false" ht="15" hidden="false" customHeight="false" outlineLevel="0" collapsed="false">
      <c r="A474" s="74" t="n">
        <v>472</v>
      </c>
      <c r="B474" s="74" t="str">
        <f aca="false">IF(元データ_PB合計!$A$472="","",元データ_PB合計!$A$472)</f>
        <v/>
      </c>
      <c r="C474" s="74" t="str">
        <f aca="false">IF(LEFT(B474,1)="(",IFERROR(VALUE(MID(B474,2,FIND(")",B474)-2)),""),"")</f>
        <v/>
      </c>
      <c r="D474" s="75" t="str">
        <f aca="false">IF($C474="","",N(元データ_PB合計!$B$472))</f>
        <v/>
      </c>
      <c r="E474" s="75" t="str">
        <f aca="false">IF($C474="","",N(元データ_PB合計!$C$472))</f>
        <v/>
      </c>
      <c r="F474" s="75" t="str">
        <f aca="false">IF($C474="","",N(元データ_PB合計!$F$472))</f>
        <v/>
      </c>
      <c r="G474" s="74" t="str">
        <f aca="false">IF($C474="","",IF(COUNTIF(店舗マスタ!$B$5:$B$304,$C474)&gt;0,"登録済","未登録→マスタに追加"))</f>
        <v/>
      </c>
      <c r="I474" s="74" t="n">
        <v>472</v>
      </c>
      <c r="J474" s="74" t="str">
        <f aca="false">IF(元データ_P!$A$472="","",元データ_P!$A$472)</f>
        <v/>
      </c>
      <c r="K474" s="74" t="str">
        <f aca="false">IF(LEFT(J474,1)="(",IFERROR(VALUE(MID(J474,2,FIND(")",J474)-2)),""),"")</f>
        <v/>
      </c>
      <c r="L474" s="75" t="str">
        <f aca="false">IF($K474="","",N(元データ_P!$B$472))</f>
        <v/>
      </c>
      <c r="M474" s="75" t="str">
        <f aca="false">IF($K474="","",N(元データ_P!$F$472))</f>
        <v/>
      </c>
      <c r="N474" s="74" t="str">
        <f aca="false">IF($K474="","",IF(COUNTIF(店舗マスタ!$B$5:$B$304,$K474)&gt;0,"登録済","未登録→マスタに追加"))</f>
        <v/>
      </c>
      <c r="P474" s="74" t="n">
        <v>472</v>
      </c>
      <c r="Q474" s="74" t="str">
        <f aca="false">IF(元データ_B!$A$472="","",元データ_B!$A$472)</f>
        <v/>
      </c>
      <c r="R474" s="74" t="str">
        <f aca="false">IF(LEFT(Q474,1)="(",IFERROR(VALUE(MID(Q474,2,FIND(")",Q474)-2)),""),"")</f>
        <v/>
      </c>
      <c r="S474" s="75" t="str">
        <f aca="false">IF($R474="","",N(元データ_B!$B$472))</f>
        <v/>
      </c>
      <c r="T474" s="75" t="str">
        <f aca="false">IF($R474="","",N(元データ_B!$F$472))</f>
        <v/>
      </c>
      <c r="U474" s="74" t="str">
        <f aca="false">IF($R474="","",IF(COUNTIF(店舗マスタ!$B$5:$B$304,$R474)&gt;0,"登録済","未登録→マスタに追加"))</f>
        <v/>
      </c>
    </row>
    <row r="475" customFormat="false" ht="15" hidden="false" customHeight="false" outlineLevel="0" collapsed="false">
      <c r="A475" s="74" t="n">
        <v>473</v>
      </c>
      <c r="B475" s="74" t="str">
        <f aca="false">IF(元データ_PB合計!$A$473="","",元データ_PB合計!$A$473)</f>
        <v/>
      </c>
      <c r="C475" s="74" t="str">
        <f aca="false">IF(LEFT(B475,1)="(",IFERROR(VALUE(MID(B475,2,FIND(")",B475)-2)),""),"")</f>
        <v/>
      </c>
      <c r="D475" s="75" t="str">
        <f aca="false">IF($C475="","",N(元データ_PB合計!$B$473))</f>
        <v/>
      </c>
      <c r="E475" s="75" t="str">
        <f aca="false">IF($C475="","",N(元データ_PB合計!$C$473))</f>
        <v/>
      </c>
      <c r="F475" s="75" t="str">
        <f aca="false">IF($C475="","",N(元データ_PB合計!$F$473))</f>
        <v/>
      </c>
      <c r="G475" s="74" t="str">
        <f aca="false">IF($C475="","",IF(COUNTIF(店舗マスタ!$B$5:$B$304,$C475)&gt;0,"登録済","未登録→マスタに追加"))</f>
        <v/>
      </c>
      <c r="I475" s="74" t="n">
        <v>473</v>
      </c>
      <c r="J475" s="74" t="str">
        <f aca="false">IF(元データ_P!$A$473="","",元データ_P!$A$473)</f>
        <v/>
      </c>
      <c r="K475" s="74" t="str">
        <f aca="false">IF(LEFT(J475,1)="(",IFERROR(VALUE(MID(J475,2,FIND(")",J475)-2)),""),"")</f>
        <v/>
      </c>
      <c r="L475" s="75" t="str">
        <f aca="false">IF($K475="","",N(元データ_P!$B$473))</f>
        <v/>
      </c>
      <c r="M475" s="75" t="str">
        <f aca="false">IF($K475="","",N(元データ_P!$F$473))</f>
        <v/>
      </c>
      <c r="N475" s="74" t="str">
        <f aca="false">IF($K475="","",IF(COUNTIF(店舗マスタ!$B$5:$B$304,$K475)&gt;0,"登録済","未登録→マスタに追加"))</f>
        <v/>
      </c>
      <c r="P475" s="74" t="n">
        <v>473</v>
      </c>
      <c r="Q475" s="74" t="str">
        <f aca="false">IF(元データ_B!$A$473="","",元データ_B!$A$473)</f>
        <v/>
      </c>
      <c r="R475" s="74" t="str">
        <f aca="false">IF(LEFT(Q475,1)="(",IFERROR(VALUE(MID(Q475,2,FIND(")",Q475)-2)),""),"")</f>
        <v/>
      </c>
      <c r="S475" s="75" t="str">
        <f aca="false">IF($R475="","",N(元データ_B!$B$473))</f>
        <v/>
      </c>
      <c r="T475" s="75" t="str">
        <f aca="false">IF($R475="","",N(元データ_B!$F$473))</f>
        <v/>
      </c>
      <c r="U475" s="74" t="str">
        <f aca="false">IF($R475="","",IF(COUNTIF(店舗マスタ!$B$5:$B$304,$R475)&gt;0,"登録済","未登録→マスタに追加"))</f>
        <v/>
      </c>
    </row>
    <row r="476" customFormat="false" ht="15" hidden="false" customHeight="false" outlineLevel="0" collapsed="false">
      <c r="A476" s="74" t="n">
        <v>474</v>
      </c>
      <c r="B476" s="74" t="str">
        <f aca="false">IF(元データ_PB合計!$A$474="","",元データ_PB合計!$A$474)</f>
        <v/>
      </c>
      <c r="C476" s="74" t="str">
        <f aca="false">IF(LEFT(B476,1)="(",IFERROR(VALUE(MID(B476,2,FIND(")",B476)-2)),""),"")</f>
        <v/>
      </c>
      <c r="D476" s="75" t="str">
        <f aca="false">IF($C476="","",N(元データ_PB合計!$B$474))</f>
        <v/>
      </c>
      <c r="E476" s="75" t="str">
        <f aca="false">IF($C476="","",N(元データ_PB合計!$C$474))</f>
        <v/>
      </c>
      <c r="F476" s="75" t="str">
        <f aca="false">IF($C476="","",N(元データ_PB合計!$F$474))</f>
        <v/>
      </c>
      <c r="G476" s="74" t="str">
        <f aca="false">IF($C476="","",IF(COUNTIF(店舗マスタ!$B$5:$B$304,$C476)&gt;0,"登録済","未登録→マスタに追加"))</f>
        <v/>
      </c>
      <c r="I476" s="74" t="n">
        <v>474</v>
      </c>
      <c r="J476" s="74" t="str">
        <f aca="false">IF(元データ_P!$A$474="","",元データ_P!$A$474)</f>
        <v/>
      </c>
      <c r="K476" s="74" t="str">
        <f aca="false">IF(LEFT(J476,1)="(",IFERROR(VALUE(MID(J476,2,FIND(")",J476)-2)),""),"")</f>
        <v/>
      </c>
      <c r="L476" s="75" t="str">
        <f aca="false">IF($K476="","",N(元データ_P!$B$474))</f>
        <v/>
      </c>
      <c r="M476" s="75" t="str">
        <f aca="false">IF($K476="","",N(元データ_P!$F$474))</f>
        <v/>
      </c>
      <c r="N476" s="74" t="str">
        <f aca="false">IF($K476="","",IF(COUNTIF(店舗マスタ!$B$5:$B$304,$K476)&gt;0,"登録済","未登録→マスタに追加"))</f>
        <v/>
      </c>
      <c r="P476" s="74" t="n">
        <v>474</v>
      </c>
      <c r="Q476" s="74" t="str">
        <f aca="false">IF(元データ_B!$A$474="","",元データ_B!$A$474)</f>
        <v/>
      </c>
      <c r="R476" s="74" t="str">
        <f aca="false">IF(LEFT(Q476,1)="(",IFERROR(VALUE(MID(Q476,2,FIND(")",Q476)-2)),""),"")</f>
        <v/>
      </c>
      <c r="S476" s="75" t="str">
        <f aca="false">IF($R476="","",N(元データ_B!$B$474))</f>
        <v/>
      </c>
      <c r="T476" s="75" t="str">
        <f aca="false">IF($R476="","",N(元データ_B!$F$474))</f>
        <v/>
      </c>
      <c r="U476" s="74" t="str">
        <f aca="false">IF($R476="","",IF(COUNTIF(店舗マスタ!$B$5:$B$304,$R476)&gt;0,"登録済","未登録→マスタに追加"))</f>
        <v/>
      </c>
    </row>
    <row r="477" customFormat="false" ht="15" hidden="false" customHeight="false" outlineLevel="0" collapsed="false">
      <c r="A477" s="74" t="n">
        <v>475</v>
      </c>
      <c r="B477" s="74" t="str">
        <f aca="false">IF(元データ_PB合計!$A$475="","",元データ_PB合計!$A$475)</f>
        <v/>
      </c>
      <c r="C477" s="74" t="str">
        <f aca="false">IF(LEFT(B477,1)="(",IFERROR(VALUE(MID(B477,2,FIND(")",B477)-2)),""),"")</f>
        <v/>
      </c>
      <c r="D477" s="75" t="str">
        <f aca="false">IF($C477="","",N(元データ_PB合計!$B$475))</f>
        <v/>
      </c>
      <c r="E477" s="75" t="str">
        <f aca="false">IF($C477="","",N(元データ_PB合計!$C$475))</f>
        <v/>
      </c>
      <c r="F477" s="75" t="str">
        <f aca="false">IF($C477="","",N(元データ_PB合計!$F$475))</f>
        <v/>
      </c>
      <c r="G477" s="74" t="str">
        <f aca="false">IF($C477="","",IF(COUNTIF(店舗マスタ!$B$5:$B$304,$C477)&gt;0,"登録済","未登録→マスタに追加"))</f>
        <v/>
      </c>
      <c r="I477" s="74" t="n">
        <v>475</v>
      </c>
      <c r="J477" s="74" t="str">
        <f aca="false">IF(元データ_P!$A$475="","",元データ_P!$A$475)</f>
        <v/>
      </c>
      <c r="K477" s="74" t="str">
        <f aca="false">IF(LEFT(J477,1)="(",IFERROR(VALUE(MID(J477,2,FIND(")",J477)-2)),""),"")</f>
        <v/>
      </c>
      <c r="L477" s="75" t="str">
        <f aca="false">IF($K477="","",N(元データ_P!$B$475))</f>
        <v/>
      </c>
      <c r="M477" s="75" t="str">
        <f aca="false">IF($K477="","",N(元データ_P!$F$475))</f>
        <v/>
      </c>
      <c r="N477" s="74" t="str">
        <f aca="false">IF($K477="","",IF(COUNTIF(店舗マスタ!$B$5:$B$304,$K477)&gt;0,"登録済","未登録→マスタに追加"))</f>
        <v/>
      </c>
      <c r="P477" s="74" t="n">
        <v>475</v>
      </c>
      <c r="Q477" s="74" t="str">
        <f aca="false">IF(元データ_B!$A$475="","",元データ_B!$A$475)</f>
        <v/>
      </c>
      <c r="R477" s="74" t="str">
        <f aca="false">IF(LEFT(Q477,1)="(",IFERROR(VALUE(MID(Q477,2,FIND(")",Q477)-2)),""),"")</f>
        <v/>
      </c>
      <c r="S477" s="75" t="str">
        <f aca="false">IF($R477="","",N(元データ_B!$B$475))</f>
        <v/>
      </c>
      <c r="T477" s="75" t="str">
        <f aca="false">IF($R477="","",N(元データ_B!$F$475))</f>
        <v/>
      </c>
      <c r="U477" s="74" t="str">
        <f aca="false">IF($R477="","",IF(COUNTIF(店舗マスタ!$B$5:$B$304,$R477)&gt;0,"登録済","未登録→マスタに追加"))</f>
        <v/>
      </c>
    </row>
    <row r="478" customFormat="false" ht="15" hidden="false" customHeight="false" outlineLevel="0" collapsed="false">
      <c r="A478" s="74" t="n">
        <v>476</v>
      </c>
      <c r="B478" s="74" t="str">
        <f aca="false">IF(元データ_PB合計!$A$476="","",元データ_PB合計!$A$476)</f>
        <v/>
      </c>
      <c r="C478" s="74" t="str">
        <f aca="false">IF(LEFT(B478,1)="(",IFERROR(VALUE(MID(B478,2,FIND(")",B478)-2)),""),"")</f>
        <v/>
      </c>
      <c r="D478" s="75" t="str">
        <f aca="false">IF($C478="","",N(元データ_PB合計!$B$476))</f>
        <v/>
      </c>
      <c r="E478" s="75" t="str">
        <f aca="false">IF($C478="","",N(元データ_PB合計!$C$476))</f>
        <v/>
      </c>
      <c r="F478" s="75" t="str">
        <f aca="false">IF($C478="","",N(元データ_PB合計!$F$476))</f>
        <v/>
      </c>
      <c r="G478" s="74" t="str">
        <f aca="false">IF($C478="","",IF(COUNTIF(店舗マスタ!$B$5:$B$304,$C478)&gt;0,"登録済","未登録→マスタに追加"))</f>
        <v/>
      </c>
      <c r="I478" s="74" t="n">
        <v>476</v>
      </c>
      <c r="J478" s="74" t="str">
        <f aca="false">IF(元データ_P!$A$476="","",元データ_P!$A$476)</f>
        <v/>
      </c>
      <c r="K478" s="74" t="str">
        <f aca="false">IF(LEFT(J478,1)="(",IFERROR(VALUE(MID(J478,2,FIND(")",J478)-2)),""),"")</f>
        <v/>
      </c>
      <c r="L478" s="75" t="str">
        <f aca="false">IF($K478="","",N(元データ_P!$B$476))</f>
        <v/>
      </c>
      <c r="M478" s="75" t="str">
        <f aca="false">IF($K478="","",N(元データ_P!$F$476))</f>
        <v/>
      </c>
      <c r="N478" s="74" t="str">
        <f aca="false">IF($K478="","",IF(COUNTIF(店舗マスタ!$B$5:$B$304,$K478)&gt;0,"登録済","未登録→マスタに追加"))</f>
        <v/>
      </c>
      <c r="P478" s="74" t="n">
        <v>476</v>
      </c>
      <c r="Q478" s="74" t="str">
        <f aca="false">IF(元データ_B!$A$476="","",元データ_B!$A$476)</f>
        <v/>
      </c>
      <c r="R478" s="74" t="str">
        <f aca="false">IF(LEFT(Q478,1)="(",IFERROR(VALUE(MID(Q478,2,FIND(")",Q478)-2)),""),"")</f>
        <v/>
      </c>
      <c r="S478" s="75" t="str">
        <f aca="false">IF($R478="","",N(元データ_B!$B$476))</f>
        <v/>
      </c>
      <c r="T478" s="75" t="str">
        <f aca="false">IF($R478="","",N(元データ_B!$F$476))</f>
        <v/>
      </c>
      <c r="U478" s="74" t="str">
        <f aca="false">IF($R478="","",IF(COUNTIF(店舗マスタ!$B$5:$B$304,$R478)&gt;0,"登録済","未登録→マスタに追加"))</f>
        <v/>
      </c>
    </row>
    <row r="479" customFormat="false" ht="15" hidden="false" customHeight="false" outlineLevel="0" collapsed="false">
      <c r="A479" s="74" t="n">
        <v>477</v>
      </c>
      <c r="B479" s="74" t="str">
        <f aca="false">IF(元データ_PB合計!$A$477="","",元データ_PB合計!$A$477)</f>
        <v/>
      </c>
      <c r="C479" s="74" t="str">
        <f aca="false">IF(LEFT(B479,1)="(",IFERROR(VALUE(MID(B479,2,FIND(")",B479)-2)),""),"")</f>
        <v/>
      </c>
      <c r="D479" s="75" t="str">
        <f aca="false">IF($C479="","",N(元データ_PB合計!$B$477))</f>
        <v/>
      </c>
      <c r="E479" s="75" t="str">
        <f aca="false">IF($C479="","",N(元データ_PB合計!$C$477))</f>
        <v/>
      </c>
      <c r="F479" s="75" t="str">
        <f aca="false">IF($C479="","",N(元データ_PB合計!$F$477))</f>
        <v/>
      </c>
      <c r="G479" s="74" t="str">
        <f aca="false">IF($C479="","",IF(COUNTIF(店舗マスタ!$B$5:$B$304,$C479)&gt;0,"登録済","未登録→マスタに追加"))</f>
        <v/>
      </c>
      <c r="I479" s="74" t="n">
        <v>477</v>
      </c>
      <c r="J479" s="74" t="str">
        <f aca="false">IF(元データ_P!$A$477="","",元データ_P!$A$477)</f>
        <v/>
      </c>
      <c r="K479" s="74" t="str">
        <f aca="false">IF(LEFT(J479,1)="(",IFERROR(VALUE(MID(J479,2,FIND(")",J479)-2)),""),"")</f>
        <v/>
      </c>
      <c r="L479" s="75" t="str">
        <f aca="false">IF($K479="","",N(元データ_P!$B$477))</f>
        <v/>
      </c>
      <c r="M479" s="75" t="str">
        <f aca="false">IF($K479="","",N(元データ_P!$F$477))</f>
        <v/>
      </c>
      <c r="N479" s="74" t="str">
        <f aca="false">IF($K479="","",IF(COUNTIF(店舗マスタ!$B$5:$B$304,$K479)&gt;0,"登録済","未登録→マスタに追加"))</f>
        <v/>
      </c>
      <c r="P479" s="74" t="n">
        <v>477</v>
      </c>
      <c r="Q479" s="74" t="str">
        <f aca="false">IF(元データ_B!$A$477="","",元データ_B!$A$477)</f>
        <v/>
      </c>
      <c r="R479" s="74" t="str">
        <f aca="false">IF(LEFT(Q479,1)="(",IFERROR(VALUE(MID(Q479,2,FIND(")",Q479)-2)),""),"")</f>
        <v/>
      </c>
      <c r="S479" s="75" t="str">
        <f aca="false">IF($R479="","",N(元データ_B!$B$477))</f>
        <v/>
      </c>
      <c r="T479" s="75" t="str">
        <f aca="false">IF($R479="","",N(元データ_B!$F$477))</f>
        <v/>
      </c>
      <c r="U479" s="74" t="str">
        <f aca="false">IF($R479="","",IF(COUNTIF(店舗マスタ!$B$5:$B$304,$R479)&gt;0,"登録済","未登録→マスタに追加"))</f>
        <v/>
      </c>
    </row>
    <row r="480" customFormat="false" ht="15" hidden="false" customHeight="false" outlineLevel="0" collapsed="false">
      <c r="A480" s="74" t="n">
        <v>478</v>
      </c>
      <c r="B480" s="74" t="str">
        <f aca="false">IF(元データ_PB合計!$A$478="","",元データ_PB合計!$A$478)</f>
        <v/>
      </c>
      <c r="C480" s="74" t="str">
        <f aca="false">IF(LEFT(B480,1)="(",IFERROR(VALUE(MID(B480,2,FIND(")",B480)-2)),""),"")</f>
        <v/>
      </c>
      <c r="D480" s="75" t="str">
        <f aca="false">IF($C480="","",N(元データ_PB合計!$B$478))</f>
        <v/>
      </c>
      <c r="E480" s="75" t="str">
        <f aca="false">IF($C480="","",N(元データ_PB合計!$C$478))</f>
        <v/>
      </c>
      <c r="F480" s="75" t="str">
        <f aca="false">IF($C480="","",N(元データ_PB合計!$F$478))</f>
        <v/>
      </c>
      <c r="G480" s="74" t="str">
        <f aca="false">IF($C480="","",IF(COUNTIF(店舗マスタ!$B$5:$B$304,$C480)&gt;0,"登録済","未登録→マスタに追加"))</f>
        <v/>
      </c>
      <c r="I480" s="74" t="n">
        <v>478</v>
      </c>
      <c r="J480" s="74" t="str">
        <f aca="false">IF(元データ_P!$A$478="","",元データ_P!$A$478)</f>
        <v/>
      </c>
      <c r="K480" s="74" t="str">
        <f aca="false">IF(LEFT(J480,1)="(",IFERROR(VALUE(MID(J480,2,FIND(")",J480)-2)),""),"")</f>
        <v/>
      </c>
      <c r="L480" s="75" t="str">
        <f aca="false">IF($K480="","",N(元データ_P!$B$478))</f>
        <v/>
      </c>
      <c r="M480" s="75" t="str">
        <f aca="false">IF($K480="","",N(元データ_P!$F$478))</f>
        <v/>
      </c>
      <c r="N480" s="74" t="str">
        <f aca="false">IF($K480="","",IF(COUNTIF(店舗マスタ!$B$5:$B$304,$K480)&gt;0,"登録済","未登録→マスタに追加"))</f>
        <v/>
      </c>
      <c r="P480" s="74" t="n">
        <v>478</v>
      </c>
      <c r="Q480" s="74" t="str">
        <f aca="false">IF(元データ_B!$A$478="","",元データ_B!$A$478)</f>
        <v/>
      </c>
      <c r="R480" s="74" t="str">
        <f aca="false">IF(LEFT(Q480,1)="(",IFERROR(VALUE(MID(Q480,2,FIND(")",Q480)-2)),""),"")</f>
        <v/>
      </c>
      <c r="S480" s="75" t="str">
        <f aca="false">IF($R480="","",N(元データ_B!$B$478))</f>
        <v/>
      </c>
      <c r="T480" s="75" t="str">
        <f aca="false">IF($R480="","",N(元データ_B!$F$478))</f>
        <v/>
      </c>
      <c r="U480" s="74" t="str">
        <f aca="false">IF($R480="","",IF(COUNTIF(店舗マスタ!$B$5:$B$304,$R480)&gt;0,"登録済","未登録→マスタに追加"))</f>
        <v/>
      </c>
    </row>
    <row r="481" customFormat="false" ht="15" hidden="false" customHeight="false" outlineLevel="0" collapsed="false">
      <c r="A481" s="74" t="n">
        <v>479</v>
      </c>
      <c r="B481" s="74" t="str">
        <f aca="false">IF(元データ_PB合計!$A$479="","",元データ_PB合計!$A$479)</f>
        <v/>
      </c>
      <c r="C481" s="74" t="str">
        <f aca="false">IF(LEFT(B481,1)="(",IFERROR(VALUE(MID(B481,2,FIND(")",B481)-2)),""),"")</f>
        <v/>
      </c>
      <c r="D481" s="75" t="str">
        <f aca="false">IF($C481="","",N(元データ_PB合計!$B$479))</f>
        <v/>
      </c>
      <c r="E481" s="75" t="str">
        <f aca="false">IF($C481="","",N(元データ_PB合計!$C$479))</f>
        <v/>
      </c>
      <c r="F481" s="75" t="str">
        <f aca="false">IF($C481="","",N(元データ_PB合計!$F$479))</f>
        <v/>
      </c>
      <c r="G481" s="74" t="str">
        <f aca="false">IF($C481="","",IF(COUNTIF(店舗マスタ!$B$5:$B$304,$C481)&gt;0,"登録済","未登録→マスタに追加"))</f>
        <v/>
      </c>
      <c r="I481" s="74" t="n">
        <v>479</v>
      </c>
      <c r="J481" s="74" t="str">
        <f aca="false">IF(元データ_P!$A$479="","",元データ_P!$A$479)</f>
        <v/>
      </c>
      <c r="K481" s="74" t="str">
        <f aca="false">IF(LEFT(J481,1)="(",IFERROR(VALUE(MID(J481,2,FIND(")",J481)-2)),""),"")</f>
        <v/>
      </c>
      <c r="L481" s="75" t="str">
        <f aca="false">IF($K481="","",N(元データ_P!$B$479))</f>
        <v/>
      </c>
      <c r="M481" s="75" t="str">
        <f aca="false">IF($K481="","",N(元データ_P!$F$479))</f>
        <v/>
      </c>
      <c r="N481" s="74" t="str">
        <f aca="false">IF($K481="","",IF(COUNTIF(店舗マスタ!$B$5:$B$304,$K481)&gt;0,"登録済","未登録→マスタに追加"))</f>
        <v/>
      </c>
      <c r="P481" s="74" t="n">
        <v>479</v>
      </c>
      <c r="Q481" s="74" t="str">
        <f aca="false">IF(元データ_B!$A$479="","",元データ_B!$A$479)</f>
        <v/>
      </c>
      <c r="R481" s="74" t="str">
        <f aca="false">IF(LEFT(Q481,1)="(",IFERROR(VALUE(MID(Q481,2,FIND(")",Q481)-2)),""),"")</f>
        <v/>
      </c>
      <c r="S481" s="75" t="str">
        <f aca="false">IF($R481="","",N(元データ_B!$B$479))</f>
        <v/>
      </c>
      <c r="T481" s="75" t="str">
        <f aca="false">IF($R481="","",N(元データ_B!$F$479))</f>
        <v/>
      </c>
      <c r="U481" s="74" t="str">
        <f aca="false">IF($R481="","",IF(COUNTIF(店舗マスタ!$B$5:$B$304,$R481)&gt;0,"登録済","未登録→マスタに追加"))</f>
        <v/>
      </c>
    </row>
    <row r="482" customFormat="false" ht="15" hidden="false" customHeight="false" outlineLevel="0" collapsed="false">
      <c r="A482" s="74" t="n">
        <v>480</v>
      </c>
      <c r="B482" s="74" t="str">
        <f aca="false">IF(元データ_PB合計!$A$480="","",元データ_PB合計!$A$480)</f>
        <v/>
      </c>
      <c r="C482" s="74" t="str">
        <f aca="false">IF(LEFT(B482,1)="(",IFERROR(VALUE(MID(B482,2,FIND(")",B482)-2)),""),"")</f>
        <v/>
      </c>
      <c r="D482" s="75" t="str">
        <f aca="false">IF($C482="","",N(元データ_PB合計!$B$480))</f>
        <v/>
      </c>
      <c r="E482" s="75" t="str">
        <f aca="false">IF($C482="","",N(元データ_PB合計!$C$480))</f>
        <v/>
      </c>
      <c r="F482" s="75" t="str">
        <f aca="false">IF($C482="","",N(元データ_PB合計!$F$480))</f>
        <v/>
      </c>
      <c r="G482" s="74" t="str">
        <f aca="false">IF($C482="","",IF(COUNTIF(店舗マスタ!$B$5:$B$304,$C482)&gt;0,"登録済","未登録→マスタに追加"))</f>
        <v/>
      </c>
      <c r="I482" s="74" t="n">
        <v>480</v>
      </c>
      <c r="J482" s="74" t="str">
        <f aca="false">IF(元データ_P!$A$480="","",元データ_P!$A$480)</f>
        <v/>
      </c>
      <c r="K482" s="74" t="str">
        <f aca="false">IF(LEFT(J482,1)="(",IFERROR(VALUE(MID(J482,2,FIND(")",J482)-2)),""),"")</f>
        <v/>
      </c>
      <c r="L482" s="75" t="str">
        <f aca="false">IF($K482="","",N(元データ_P!$B$480))</f>
        <v/>
      </c>
      <c r="M482" s="75" t="str">
        <f aca="false">IF($K482="","",N(元データ_P!$F$480))</f>
        <v/>
      </c>
      <c r="N482" s="74" t="str">
        <f aca="false">IF($K482="","",IF(COUNTIF(店舗マスタ!$B$5:$B$304,$K482)&gt;0,"登録済","未登録→マスタに追加"))</f>
        <v/>
      </c>
      <c r="P482" s="74" t="n">
        <v>480</v>
      </c>
      <c r="Q482" s="74" t="str">
        <f aca="false">IF(元データ_B!$A$480="","",元データ_B!$A$480)</f>
        <v/>
      </c>
      <c r="R482" s="74" t="str">
        <f aca="false">IF(LEFT(Q482,1)="(",IFERROR(VALUE(MID(Q482,2,FIND(")",Q482)-2)),""),"")</f>
        <v/>
      </c>
      <c r="S482" s="75" t="str">
        <f aca="false">IF($R482="","",N(元データ_B!$B$480))</f>
        <v/>
      </c>
      <c r="T482" s="75" t="str">
        <f aca="false">IF($R482="","",N(元データ_B!$F$480))</f>
        <v/>
      </c>
      <c r="U482" s="74" t="str">
        <f aca="false">IF($R482="","",IF(COUNTIF(店舗マスタ!$B$5:$B$304,$R482)&gt;0,"登録済","未登録→マスタに追加"))</f>
        <v/>
      </c>
    </row>
    <row r="483" customFormat="false" ht="15" hidden="false" customHeight="false" outlineLevel="0" collapsed="false">
      <c r="A483" s="74" t="n">
        <v>481</v>
      </c>
      <c r="B483" s="74" t="str">
        <f aca="false">IF(元データ_PB合計!$A$481="","",元データ_PB合計!$A$481)</f>
        <v/>
      </c>
      <c r="C483" s="74" t="str">
        <f aca="false">IF(LEFT(B483,1)="(",IFERROR(VALUE(MID(B483,2,FIND(")",B483)-2)),""),"")</f>
        <v/>
      </c>
      <c r="D483" s="75" t="str">
        <f aca="false">IF($C483="","",N(元データ_PB合計!$B$481))</f>
        <v/>
      </c>
      <c r="E483" s="75" t="str">
        <f aca="false">IF($C483="","",N(元データ_PB合計!$C$481))</f>
        <v/>
      </c>
      <c r="F483" s="75" t="str">
        <f aca="false">IF($C483="","",N(元データ_PB合計!$F$481))</f>
        <v/>
      </c>
      <c r="G483" s="74" t="str">
        <f aca="false">IF($C483="","",IF(COUNTIF(店舗マスタ!$B$5:$B$304,$C483)&gt;0,"登録済","未登録→マスタに追加"))</f>
        <v/>
      </c>
      <c r="I483" s="74" t="n">
        <v>481</v>
      </c>
      <c r="J483" s="74" t="str">
        <f aca="false">IF(元データ_P!$A$481="","",元データ_P!$A$481)</f>
        <v/>
      </c>
      <c r="K483" s="74" t="str">
        <f aca="false">IF(LEFT(J483,1)="(",IFERROR(VALUE(MID(J483,2,FIND(")",J483)-2)),""),"")</f>
        <v/>
      </c>
      <c r="L483" s="75" t="str">
        <f aca="false">IF($K483="","",N(元データ_P!$B$481))</f>
        <v/>
      </c>
      <c r="M483" s="75" t="str">
        <f aca="false">IF($K483="","",N(元データ_P!$F$481))</f>
        <v/>
      </c>
      <c r="N483" s="74" t="str">
        <f aca="false">IF($K483="","",IF(COUNTIF(店舗マスタ!$B$5:$B$304,$K483)&gt;0,"登録済","未登録→マスタに追加"))</f>
        <v/>
      </c>
      <c r="P483" s="74" t="n">
        <v>481</v>
      </c>
      <c r="Q483" s="74" t="str">
        <f aca="false">IF(元データ_B!$A$481="","",元データ_B!$A$481)</f>
        <v/>
      </c>
      <c r="R483" s="74" t="str">
        <f aca="false">IF(LEFT(Q483,1)="(",IFERROR(VALUE(MID(Q483,2,FIND(")",Q483)-2)),""),"")</f>
        <v/>
      </c>
      <c r="S483" s="75" t="str">
        <f aca="false">IF($R483="","",N(元データ_B!$B$481))</f>
        <v/>
      </c>
      <c r="T483" s="75" t="str">
        <f aca="false">IF($R483="","",N(元データ_B!$F$481))</f>
        <v/>
      </c>
      <c r="U483" s="74" t="str">
        <f aca="false">IF($R483="","",IF(COUNTIF(店舗マスタ!$B$5:$B$304,$R483)&gt;0,"登録済","未登録→マスタに追加"))</f>
        <v/>
      </c>
    </row>
    <row r="484" customFormat="false" ht="15" hidden="false" customHeight="false" outlineLevel="0" collapsed="false">
      <c r="A484" s="74" t="n">
        <v>482</v>
      </c>
      <c r="B484" s="74" t="str">
        <f aca="false">IF(元データ_PB合計!$A$482="","",元データ_PB合計!$A$482)</f>
        <v/>
      </c>
      <c r="C484" s="74" t="str">
        <f aca="false">IF(LEFT(B484,1)="(",IFERROR(VALUE(MID(B484,2,FIND(")",B484)-2)),""),"")</f>
        <v/>
      </c>
      <c r="D484" s="75" t="str">
        <f aca="false">IF($C484="","",N(元データ_PB合計!$B$482))</f>
        <v/>
      </c>
      <c r="E484" s="75" t="str">
        <f aca="false">IF($C484="","",N(元データ_PB合計!$C$482))</f>
        <v/>
      </c>
      <c r="F484" s="75" t="str">
        <f aca="false">IF($C484="","",N(元データ_PB合計!$F$482))</f>
        <v/>
      </c>
      <c r="G484" s="74" t="str">
        <f aca="false">IF($C484="","",IF(COUNTIF(店舗マスタ!$B$5:$B$304,$C484)&gt;0,"登録済","未登録→マスタに追加"))</f>
        <v/>
      </c>
      <c r="I484" s="74" t="n">
        <v>482</v>
      </c>
      <c r="J484" s="74" t="str">
        <f aca="false">IF(元データ_P!$A$482="","",元データ_P!$A$482)</f>
        <v/>
      </c>
      <c r="K484" s="74" t="str">
        <f aca="false">IF(LEFT(J484,1)="(",IFERROR(VALUE(MID(J484,2,FIND(")",J484)-2)),""),"")</f>
        <v/>
      </c>
      <c r="L484" s="75" t="str">
        <f aca="false">IF($K484="","",N(元データ_P!$B$482))</f>
        <v/>
      </c>
      <c r="M484" s="75" t="str">
        <f aca="false">IF($K484="","",N(元データ_P!$F$482))</f>
        <v/>
      </c>
      <c r="N484" s="74" t="str">
        <f aca="false">IF($K484="","",IF(COUNTIF(店舗マスタ!$B$5:$B$304,$K484)&gt;0,"登録済","未登録→マスタに追加"))</f>
        <v/>
      </c>
      <c r="P484" s="74" t="n">
        <v>482</v>
      </c>
      <c r="Q484" s="74" t="str">
        <f aca="false">IF(元データ_B!$A$482="","",元データ_B!$A$482)</f>
        <v/>
      </c>
      <c r="R484" s="74" t="str">
        <f aca="false">IF(LEFT(Q484,1)="(",IFERROR(VALUE(MID(Q484,2,FIND(")",Q484)-2)),""),"")</f>
        <v/>
      </c>
      <c r="S484" s="75" t="str">
        <f aca="false">IF($R484="","",N(元データ_B!$B$482))</f>
        <v/>
      </c>
      <c r="T484" s="75" t="str">
        <f aca="false">IF($R484="","",N(元データ_B!$F$482))</f>
        <v/>
      </c>
      <c r="U484" s="74" t="str">
        <f aca="false">IF($R484="","",IF(COUNTIF(店舗マスタ!$B$5:$B$304,$R484)&gt;0,"登録済","未登録→マスタに追加"))</f>
        <v/>
      </c>
    </row>
    <row r="485" customFormat="false" ht="15" hidden="false" customHeight="false" outlineLevel="0" collapsed="false">
      <c r="A485" s="74" t="n">
        <v>483</v>
      </c>
      <c r="B485" s="74" t="str">
        <f aca="false">IF(元データ_PB合計!$A$483="","",元データ_PB合計!$A$483)</f>
        <v/>
      </c>
      <c r="C485" s="74" t="str">
        <f aca="false">IF(LEFT(B485,1)="(",IFERROR(VALUE(MID(B485,2,FIND(")",B485)-2)),""),"")</f>
        <v/>
      </c>
      <c r="D485" s="75" t="str">
        <f aca="false">IF($C485="","",N(元データ_PB合計!$B$483))</f>
        <v/>
      </c>
      <c r="E485" s="75" t="str">
        <f aca="false">IF($C485="","",N(元データ_PB合計!$C$483))</f>
        <v/>
      </c>
      <c r="F485" s="75" t="str">
        <f aca="false">IF($C485="","",N(元データ_PB合計!$F$483))</f>
        <v/>
      </c>
      <c r="G485" s="74" t="str">
        <f aca="false">IF($C485="","",IF(COUNTIF(店舗マスタ!$B$5:$B$304,$C485)&gt;0,"登録済","未登録→マスタに追加"))</f>
        <v/>
      </c>
      <c r="I485" s="74" t="n">
        <v>483</v>
      </c>
      <c r="J485" s="74" t="str">
        <f aca="false">IF(元データ_P!$A$483="","",元データ_P!$A$483)</f>
        <v/>
      </c>
      <c r="K485" s="74" t="str">
        <f aca="false">IF(LEFT(J485,1)="(",IFERROR(VALUE(MID(J485,2,FIND(")",J485)-2)),""),"")</f>
        <v/>
      </c>
      <c r="L485" s="75" t="str">
        <f aca="false">IF($K485="","",N(元データ_P!$B$483))</f>
        <v/>
      </c>
      <c r="M485" s="75" t="str">
        <f aca="false">IF($K485="","",N(元データ_P!$F$483))</f>
        <v/>
      </c>
      <c r="N485" s="74" t="str">
        <f aca="false">IF($K485="","",IF(COUNTIF(店舗マスタ!$B$5:$B$304,$K485)&gt;0,"登録済","未登録→マスタに追加"))</f>
        <v/>
      </c>
      <c r="P485" s="74" t="n">
        <v>483</v>
      </c>
      <c r="Q485" s="74" t="str">
        <f aca="false">IF(元データ_B!$A$483="","",元データ_B!$A$483)</f>
        <v/>
      </c>
      <c r="R485" s="74" t="str">
        <f aca="false">IF(LEFT(Q485,1)="(",IFERROR(VALUE(MID(Q485,2,FIND(")",Q485)-2)),""),"")</f>
        <v/>
      </c>
      <c r="S485" s="75" t="str">
        <f aca="false">IF($R485="","",N(元データ_B!$B$483))</f>
        <v/>
      </c>
      <c r="T485" s="75" t="str">
        <f aca="false">IF($R485="","",N(元データ_B!$F$483))</f>
        <v/>
      </c>
      <c r="U485" s="74" t="str">
        <f aca="false">IF($R485="","",IF(COUNTIF(店舗マスタ!$B$5:$B$304,$R485)&gt;0,"登録済","未登録→マスタに追加"))</f>
        <v/>
      </c>
    </row>
    <row r="486" customFormat="false" ht="15" hidden="false" customHeight="false" outlineLevel="0" collapsed="false">
      <c r="A486" s="74" t="n">
        <v>484</v>
      </c>
      <c r="B486" s="74" t="str">
        <f aca="false">IF(元データ_PB合計!$A$484="","",元データ_PB合計!$A$484)</f>
        <v/>
      </c>
      <c r="C486" s="74" t="str">
        <f aca="false">IF(LEFT(B486,1)="(",IFERROR(VALUE(MID(B486,2,FIND(")",B486)-2)),""),"")</f>
        <v/>
      </c>
      <c r="D486" s="75" t="str">
        <f aca="false">IF($C486="","",N(元データ_PB合計!$B$484))</f>
        <v/>
      </c>
      <c r="E486" s="75" t="str">
        <f aca="false">IF($C486="","",N(元データ_PB合計!$C$484))</f>
        <v/>
      </c>
      <c r="F486" s="75" t="str">
        <f aca="false">IF($C486="","",N(元データ_PB合計!$F$484))</f>
        <v/>
      </c>
      <c r="G486" s="74" t="str">
        <f aca="false">IF($C486="","",IF(COUNTIF(店舗マスタ!$B$5:$B$304,$C486)&gt;0,"登録済","未登録→マスタに追加"))</f>
        <v/>
      </c>
      <c r="I486" s="74" t="n">
        <v>484</v>
      </c>
      <c r="J486" s="74" t="str">
        <f aca="false">IF(元データ_P!$A$484="","",元データ_P!$A$484)</f>
        <v/>
      </c>
      <c r="K486" s="74" t="str">
        <f aca="false">IF(LEFT(J486,1)="(",IFERROR(VALUE(MID(J486,2,FIND(")",J486)-2)),""),"")</f>
        <v/>
      </c>
      <c r="L486" s="75" t="str">
        <f aca="false">IF($K486="","",N(元データ_P!$B$484))</f>
        <v/>
      </c>
      <c r="M486" s="75" t="str">
        <f aca="false">IF($K486="","",N(元データ_P!$F$484))</f>
        <v/>
      </c>
      <c r="N486" s="74" t="str">
        <f aca="false">IF($K486="","",IF(COUNTIF(店舗マスタ!$B$5:$B$304,$K486)&gt;0,"登録済","未登録→マスタに追加"))</f>
        <v/>
      </c>
      <c r="P486" s="74" t="n">
        <v>484</v>
      </c>
      <c r="Q486" s="74" t="str">
        <f aca="false">IF(元データ_B!$A$484="","",元データ_B!$A$484)</f>
        <v/>
      </c>
      <c r="R486" s="74" t="str">
        <f aca="false">IF(LEFT(Q486,1)="(",IFERROR(VALUE(MID(Q486,2,FIND(")",Q486)-2)),""),"")</f>
        <v/>
      </c>
      <c r="S486" s="75" t="str">
        <f aca="false">IF($R486="","",N(元データ_B!$B$484))</f>
        <v/>
      </c>
      <c r="T486" s="75" t="str">
        <f aca="false">IF($R486="","",N(元データ_B!$F$484))</f>
        <v/>
      </c>
      <c r="U486" s="74" t="str">
        <f aca="false">IF($R486="","",IF(COUNTIF(店舗マスタ!$B$5:$B$304,$R486)&gt;0,"登録済","未登録→マスタに追加"))</f>
        <v/>
      </c>
    </row>
    <row r="487" customFormat="false" ht="15" hidden="false" customHeight="false" outlineLevel="0" collapsed="false">
      <c r="A487" s="74" t="n">
        <v>485</v>
      </c>
      <c r="B487" s="74" t="str">
        <f aca="false">IF(元データ_PB合計!$A$485="","",元データ_PB合計!$A$485)</f>
        <v/>
      </c>
      <c r="C487" s="74" t="str">
        <f aca="false">IF(LEFT(B487,1)="(",IFERROR(VALUE(MID(B487,2,FIND(")",B487)-2)),""),"")</f>
        <v/>
      </c>
      <c r="D487" s="75" t="str">
        <f aca="false">IF($C487="","",N(元データ_PB合計!$B$485))</f>
        <v/>
      </c>
      <c r="E487" s="75" t="str">
        <f aca="false">IF($C487="","",N(元データ_PB合計!$C$485))</f>
        <v/>
      </c>
      <c r="F487" s="75" t="str">
        <f aca="false">IF($C487="","",N(元データ_PB合計!$F$485))</f>
        <v/>
      </c>
      <c r="G487" s="74" t="str">
        <f aca="false">IF($C487="","",IF(COUNTIF(店舗マスタ!$B$5:$B$304,$C487)&gt;0,"登録済","未登録→マスタに追加"))</f>
        <v/>
      </c>
      <c r="I487" s="74" t="n">
        <v>485</v>
      </c>
      <c r="J487" s="74" t="str">
        <f aca="false">IF(元データ_P!$A$485="","",元データ_P!$A$485)</f>
        <v/>
      </c>
      <c r="K487" s="74" t="str">
        <f aca="false">IF(LEFT(J487,1)="(",IFERROR(VALUE(MID(J487,2,FIND(")",J487)-2)),""),"")</f>
        <v/>
      </c>
      <c r="L487" s="75" t="str">
        <f aca="false">IF($K487="","",N(元データ_P!$B$485))</f>
        <v/>
      </c>
      <c r="M487" s="75" t="str">
        <f aca="false">IF($K487="","",N(元データ_P!$F$485))</f>
        <v/>
      </c>
      <c r="N487" s="74" t="str">
        <f aca="false">IF($K487="","",IF(COUNTIF(店舗マスタ!$B$5:$B$304,$K487)&gt;0,"登録済","未登録→マスタに追加"))</f>
        <v/>
      </c>
      <c r="P487" s="74" t="n">
        <v>485</v>
      </c>
      <c r="Q487" s="74" t="str">
        <f aca="false">IF(元データ_B!$A$485="","",元データ_B!$A$485)</f>
        <v/>
      </c>
      <c r="R487" s="74" t="str">
        <f aca="false">IF(LEFT(Q487,1)="(",IFERROR(VALUE(MID(Q487,2,FIND(")",Q487)-2)),""),"")</f>
        <v/>
      </c>
      <c r="S487" s="75" t="str">
        <f aca="false">IF($R487="","",N(元データ_B!$B$485))</f>
        <v/>
      </c>
      <c r="T487" s="75" t="str">
        <f aca="false">IF($R487="","",N(元データ_B!$F$485))</f>
        <v/>
      </c>
      <c r="U487" s="74" t="str">
        <f aca="false">IF($R487="","",IF(COUNTIF(店舗マスタ!$B$5:$B$304,$R487)&gt;0,"登録済","未登録→マスタに追加"))</f>
        <v/>
      </c>
    </row>
    <row r="488" customFormat="false" ht="15" hidden="false" customHeight="false" outlineLevel="0" collapsed="false">
      <c r="A488" s="74" t="n">
        <v>486</v>
      </c>
      <c r="B488" s="74" t="str">
        <f aca="false">IF(元データ_PB合計!$A$486="","",元データ_PB合計!$A$486)</f>
        <v/>
      </c>
      <c r="C488" s="74" t="str">
        <f aca="false">IF(LEFT(B488,1)="(",IFERROR(VALUE(MID(B488,2,FIND(")",B488)-2)),""),"")</f>
        <v/>
      </c>
      <c r="D488" s="75" t="str">
        <f aca="false">IF($C488="","",N(元データ_PB合計!$B$486))</f>
        <v/>
      </c>
      <c r="E488" s="75" t="str">
        <f aca="false">IF($C488="","",N(元データ_PB合計!$C$486))</f>
        <v/>
      </c>
      <c r="F488" s="75" t="str">
        <f aca="false">IF($C488="","",N(元データ_PB合計!$F$486))</f>
        <v/>
      </c>
      <c r="G488" s="74" t="str">
        <f aca="false">IF($C488="","",IF(COUNTIF(店舗マスタ!$B$5:$B$304,$C488)&gt;0,"登録済","未登録→マスタに追加"))</f>
        <v/>
      </c>
      <c r="I488" s="74" t="n">
        <v>486</v>
      </c>
      <c r="J488" s="74" t="str">
        <f aca="false">IF(元データ_P!$A$486="","",元データ_P!$A$486)</f>
        <v/>
      </c>
      <c r="K488" s="74" t="str">
        <f aca="false">IF(LEFT(J488,1)="(",IFERROR(VALUE(MID(J488,2,FIND(")",J488)-2)),""),"")</f>
        <v/>
      </c>
      <c r="L488" s="75" t="str">
        <f aca="false">IF($K488="","",N(元データ_P!$B$486))</f>
        <v/>
      </c>
      <c r="M488" s="75" t="str">
        <f aca="false">IF($K488="","",N(元データ_P!$F$486))</f>
        <v/>
      </c>
      <c r="N488" s="74" t="str">
        <f aca="false">IF($K488="","",IF(COUNTIF(店舗マスタ!$B$5:$B$304,$K488)&gt;0,"登録済","未登録→マスタに追加"))</f>
        <v/>
      </c>
      <c r="P488" s="74" t="n">
        <v>486</v>
      </c>
      <c r="Q488" s="74" t="str">
        <f aca="false">IF(元データ_B!$A$486="","",元データ_B!$A$486)</f>
        <v/>
      </c>
      <c r="R488" s="74" t="str">
        <f aca="false">IF(LEFT(Q488,1)="(",IFERROR(VALUE(MID(Q488,2,FIND(")",Q488)-2)),""),"")</f>
        <v/>
      </c>
      <c r="S488" s="75" t="str">
        <f aca="false">IF($R488="","",N(元データ_B!$B$486))</f>
        <v/>
      </c>
      <c r="T488" s="75" t="str">
        <f aca="false">IF($R488="","",N(元データ_B!$F$486))</f>
        <v/>
      </c>
      <c r="U488" s="74" t="str">
        <f aca="false">IF($R488="","",IF(COUNTIF(店舗マスタ!$B$5:$B$304,$R488)&gt;0,"登録済","未登録→マスタに追加"))</f>
        <v/>
      </c>
    </row>
    <row r="489" customFormat="false" ht="15" hidden="false" customHeight="false" outlineLevel="0" collapsed="false">
      <c r="A489" s="74" t="n">
        <v>487</v>
      </c>
      <c r="B489" s="74" t="str">
        <f aca="false">IF(元データ_PB合計!$A$487="","",元データ_PB合計!$A$487)</f>
        <v/>
      </c>
      <c r="C489" s="74" t="str">
        <f aca="false">IF(LEFT(B489,1)="(",IFERROR(VALUE(MID(B489,2,FIND(")",B489)-2)),""),"")</f>
        <v/>
      </c>
      <c r="D489" s="75" t="str">
        <f aca="false">IF($C489="","",N(元データ_PB合計!$B$487))</f>
        <v/>
      </c>
      <c r="E489" s="75" t="str">
        <f aca="false">IF($C489="","",N(元データ_PB合計!$C$487))</f>
        <v/>
      </c>
      <c r="F489" s="75" t="str">
        <f aca="false">IF($C489="","",N(元データ_PB合計!$F$487))</f>
        <v/>
      </c>
      <c r="G489" s="74" t="str">
        <f aca="false">IF($C489="","",IF(COUNTIF(店舗マスタ!$B$5:$B$304,$C489)&gt;0,"登録済","未登録→マスタに追加"))</f>
        <v/>
      </c>
      <c r="I489" s="74" t="n">
        <v>487</v>
      </c>
      <c r="J489" s="74" t="str">
        <f aca="false">IF(元データ_P!$A$487="","",元データ_P!$A$487)</f>
        <v/>
      </c>
      <c r="K489" s="74" t="str">
        <f aca="false">IF(LEFT(J489,1)="(",IFERROR(VALUE(MID(J489,2,FIND(")",J489)-2)),""),"")</f>
        <v/>
      </c>
      <c r="L489" s="75" t="str">
        <f aca="false">IF($K489="","",N(元データ_P!$B$487))</f>
        <v/>
      </c>
      <c r="M489" s="75" t="str">
        <f aca="false">IF($K489="","",N(元データ_P!$F$487))</f>
        <v/>
      </c>
      <c r="N489" s="74" t="str">
        <f aca="false">IF($K489="","",IF(COUNTIF(店舗マスタ!$B$5:$B$304,$K489)&gt;0,"登録済","未登録→マスタに追加"))</f>
        <v/>
      </c>
      <c r="P489" s="74" t="n">
        <v>487</v>
      </c>
      <c r="Q489" s="74" t="str">
        <f aca="false">IF(元データ_B!$A$487="","",元データ_B!$A$487)</f>
        <v/>
      </c>
      <c r="R489" s="74" t="str">
        <f aca="false">IF(LEFT(Q489,1)="(",IFERROR(VALUE(MID(Q489,2,FIND(")",Q489)-2)),""),"")</f>
        <v/>
      </c>
      <c r="S489" s="75" t="str">
        <f aca="false">IF($R489="","",N(元データ_B!$B$487))</f>
        <v/>
      </c>
      <c r="T489" s="75" t="str">
        <f aca="false">IF($R489="","",N(元データ_B!$F$487))</f>
        <v/>
      </c>
      <c r="U489" s="74" t="str">
        <f aca="false">IF($R489="","",IF(COUNTIF(店舗マスタ!$B$5:$B$304,$R489)&gt;0,"登録済","未登録→マスタに追加"))</f>
        <v/>
      </c>
    </row>
    <row r="490" customFormat="false" ht="15" hidden="false" customHeight="false" outlineLevel="0" collapsed="false">
      <c r="A490" s="74" t="n">
        <v>488</v>
      </c>
      <c r="B490" s="74" t="str">
        <f aca="false">IF(元データ_PB合計!$A$488="","",元データ_PB合計!$A$488)</f>
        <v/>
      </c>
      <c r="C490" s="74" t="str">
        <f aca="false">IF(LEFT(B490,1)="(",IFERROR(VALUE(MID(B490,2,FIND(")",B490)-2)),""),"")</f>
        <v/>
      </c>
      <c r="D490" s="75" t="str">
        <f aca="false">IF($C490="","",N(元データ_PB合計!$B$488))</f>
        <v/>
      </c>
      <c r="E490" s="75" t="str">
        <f aca="false">IF($C490="","",N(元データ_PB合計!$C$488))</f>
        <v/>
      </c>
      <c r="F490" s="75" t="str">
        <f aca="false">IF($C490="","",N(元データ_PB合計!$F$488))</f>
        <v/>
      </c>
      <c r="G490" s="74" t="str">
        <f aca="false">IF($C490="","",IF(COUNTIF(店舗マスタ!$B$5:$B$304,$C490)&gt;0,"登録済","未登録→マスタに追加"))</f>
        <v/>
      </c>
      <c r="I490" s="74" t="n">
        <v>488</v>
      </c>
      <c r="J490" s="74" t="str">
        <f aca="false">IF(元データ_P!$A$488="","",元データ_P!$A$488)</f>
        <v/>
      </c>
      <c r="K490" s="74" t="str">
        <f aca="false">IF(LEFT(J490,1)="(",IFERROR(VALUE(MID(J490,2,FIND(")",J490)-2)),""),"")</f>
        <v/>
      </c>
      <c r="L490" s="75" t="str">
        <f aca="false">IF($K490="","",N(元データ_P!$B$488))</f>
        <v/>
      </c>
      <c r="M490" s="75" t="str">
        <f aca="false">IF($K490="","",N(元データ_P!$F$488))</f>
        <v/>
      </c>
      <c r="N490" s="74" t="str">
        <f aca="false">IF($K490="","",IF(COUNTIF(店舗マスタ!$B$5:$B$304,$K490)&gt;0,"登録済","未登録→マスタに追加"))</f>
        <v/>
      </c>
      <c r="P490" s="74" t="n">
        <v>488</v>
      </c>
      <c r="Q490" s="74" t="str">
        <f aca="false">IF(元データ_B!$A$488="","",元データ_B!$A$488)</f>
        <v/>
      </c>
      <c r="R490" s="74" t="str">
        <f aca="false">IF(LEFT(Q490,1)="(",IFERROR(VALUE(MID(Q490,2,FIND(")",Q490)-2)),""),"")</f>
        <v/>
      </c>
      <c r="S490" s="75" t="str">
        <f aca="false">IF($R490="","",N(元データ_B!$B$488))</f>
        <v/>
      </c>
      <c r="T490" s="75" t="str">
        <f aca="false">IF($R490="","",N(元データ_B!$F$488))</f>
        <v/>
      </c>
      <c r="U490" s="74" t="str">
        <f aca="false">IF($R490="","",IF(COUNTIF(店舗マスタ!$B$5:$B$304,$R490)&gt;0,"登録済","未登録→マスタに追加"))</f>
        <v/>
      </c>
    </row>
    <row r="491" customFormat="false" ht="15" hidden="false" customHeight="false" outlineLevel="0" collapsed="false">
      <c r="A491" s="74" t="n">
        <v>489</v>
      </c>
      <c r="B491" s="74" t="str">
        <f aca="false">IF(元データ_PB合計!$A$489="","",元データ_PB合計!$A$489)</f>
        <v/>
      </c>
      <c r="C491" s="74" t="str">
        <f aca="false">IF(LEFT(B491,1)="(",IFERROR(VALUE(MID(B491,2,FIND(")",B491)-2)),""),"")</f>
        <v/>
      </c>
      <c r="D491" s="75" t="str">
        <f aca="false">IF($C491="","",N(元データ_PB合計!$B$489))</f>
        <v/>
      </c>
      <c r="E491" s="75" t="str">
        <f aca="false">IF($C491="","",N(元データ_PB合計!$C$489))</f>
        <v/>
      </c>
      <c r="F491" s="75" t="str">
        <f aca="false">IF($C491="","",N(元データ_PB合計!$F$489))</f>
        <v/>
      </c>
      <c r="G491" s="74" t="str">
        <f aca="false">IF($C491="","",IF(COUNTIF(店舗マスタ!$B$5:$B$304,$C491)&gt;0,"登録済","未登録→マスタに追加"))</f>
        <v/>
      </c>
      <c r="I491" s="74" t="n">
        <v>489</v>
      </c>
      <c r="J491" s="74" t="str">
        <f aca="false">IF(元データ_P!$A$489="","",元データ_P!$A$489)</f>
        <v/>
      </c>
      <c r="K491" s="74" t="str">
        <f aca="false">IF(LEFT(J491,1)="(",IFERROR(VALUE(MID(J491,2,FIND(")",J491)-2)),""),"")</f>
        <v/>
      </c>
      <c r="L491" s="75" t="str">
        <f aca="false">IF($K491="","",N(元データ_P!$B$489))</f>
        <v/>
      </c>
      <c r="M491" s="75" t="str">
        <f aca="false">IF($K491="","",N(元データ_P!$F$489))</f>
        <v/>
      </c>
      <c r="N491" s="74" t="str">
        <f aca="false">IF($K491="","",IF(COUNTIF(店舗マスタ!$B$5:$B$304,$K491)&gt;0,"登録済","未登録→マスタに追加"))</f>
        <v/>
      </c>
      <c r="P491" s="74" t="n">
        <v>489</v>
      </c>
      <c r="Q491" s="74" t="str">
        <f aca="false">IF(元データ_B!$A$489="","",元データ_B!$A$489)</f>
        <v/>
      </c>
      <c r="R491" s="74" t="str">
        <f aca="false">IF(LEFT(Q491,1)="(",IFERROR(VALUE(MID(Q491,2,FIND(")",Q491)-2)),""),"")</f>
        <v/>
      </c>
      <c r="S491" s="75" t="str">
        <f aca="false">IF($R491="","",N(元データ_B!$B$489))</f>
        <v/>
      </c>
      <c r="T491" s="75" t="str">
        <f aca="false">IF($R491="","",N(元データ_B!$F$489))</f>
        <v/>
      </c>
      <c r="U491" s="74" t="str">
        <f aca="false">IF($R491="","",IF(COUNTIF(店舗マスタ!$B$5:$B$304,$R491)&gt;0,"登録済","未登録→マスタに追加"))</f>
        <v/>
      </c>
    </row>
    <row r="492" customFormat="false" ht="15" hidden="false" customHeight="false" outlineLevel="0" collapsed="false">
      <c r="A492" s="74" t="n">
        <v>490</v>
      </c>
      <c r="B492" s="74" t="str">
        <f aca="false">IF(元データ_PB合計!$A$490="","",元データ_PB合計!$A$490)</f>
        <v/>
      </c>
      <c r="C492" s="74" t="str">
        <f aca="false">IF(LEFT(B492,1)="(",IFERROR(VALUE(MID(B492,2,FIND(")",B492)-2)),""),"")</f>
        <v/>
      </c>
      <c r="D492" s="75" t="str">
        <f aca="false">IF($C492="","",N(元データ_PB合計!$B$490))</f>
        <v/>
      </c>
      <c r="E492" s="75" t="str">
        <f aca="false">IF($C492="","",N(元データ_PB合計!$C$490))</f>
        <v/>
      </c>
      <c r="F492" s="75" t="str">
        <f aca="false">IF($C492="","",N(元データ_PB合計!$F$490))</f>
        <v/>
      </c>
      <c r="G492" s="74" t="str">
        <f aca="false">IF($C492="","",IF(COUNTIF(店舗マスタ!$B$5:$B$304,$C492)&gt;0,"登録済","未登録→マスタに追加"))</f>
        <v/>
      </c>
      <c r="I492" s="74" t="n">
        <v>490</v>
      </c>
      <c r="J492" s="74" t="str">
        <f aca="false">IF(元データ_P!$A$490="","",元データ_P!$A$490)</f>
        <v/>
      </c>
      <c r="K492" s="74" t="str">
        <f aca="false">IF(LEFT(J492,1)="(",IFERROR(VALUE(MID(J492,2,FIND(")",J492)-2)),""),"")</f>
        <v/>
      </c>
      <c r="L492" s="75" t="str">
        <f aca="false">IF($K492="","",N(元データ_P!$B$490))</f>
        <v/>
      </c>
      <c r="M492" s="75" t="str">
        <f aca="false">IF($K492="","",N(元データ_P!$F$490))</f>
        <v/>
      </c>
      <c r="N492" s="74" t="str">
        <f aca="false">IF($K492="","",IF(COUNTIF(店舗マスタ!$B$5:$B$304,$K492)&gt;0,"登録済","未登録→マスタに追加"))</f>
        <v/>
      </c>
      <c r="P492" s="74" t="n">
        <v>490</v>
      </c>
      <c r="Q492" s="74" t="str">
        <f aca="false">IF(元データ_B!$A$490="","",元データ_B!$A$490)</f>
        <v/>
      </c>
      <c r="R492" s="74" t="str">
        <f aca="false">IF(LEFT(Q492,1)="(",IFERROR(VALUE(MID(Q492,2,FIND(")",Q492)-2)),""),"")</f>
        <v/>
      </c>
      <c r="S492" s="75" t="str">
        <f aca="false">IF($R492="","",N(元データ_B!$B$490))</f>
        <v/>
      </c>
      <c r="T492" s="75" t="str">
        <f aca="false">IF($R492="","",N(元データ_B!$F$490))</f>
        <v/>
      </c>
      <c r="U492" s="74" t="str">
        <f aca="false">IF($R492="","",IF(COUNTIF(店舗マスタ!$B$5:$B$304,$R492)&gt;0,"登録済","未登録→マスタに追加"))</f>
        <v/>
      </c>
    </row>
    <row r="493" customFormat="false" ht="15" hidden="false" customHeight="false" outlineLevel="0" collapsed="false">
      <c r="A493" s="74" t="n">
        <v>491</v>
      </c>
      <c r="B493" s="74" t="str">
        <f aca="false">IF(元データ_PB合計!$A$491="","",元データ_PB合計!$A$491)</f>
        <v/>
      </c>
      <c r="C493" s="74" t="str">
        <f aca="false">IF(LEFT(B493,1)="(",IFERROR(VALUE(MID(B493,2,FIND(")",B493)-2)),""),"")</f>
        <v/>
      </c>
      <c r="D493" s="75" t="str">
        <f aca="false">IF($C493="","",N(元データ_PB合計!$B$491))</f>
        <v/>
      </c>
      <c r="E493" s="75" t="str">
        <f aca="false">IF($C493="","",N(元データ_PB合計!$C$491))</f>
        <v/>
      </c>
      <c r="F493" s="75" t="str">
        <f aca="false">IF($C493="","",N(元データ_PB合計!$F$491))</f>
        <v/>
      </c>
      <c r="G493" s="74" t="str">
        <f aca="false">IF($C493="","",IF(COUNTIF(店舗マスタ!$B$5:$B$304,$C493)&gt;0,"登録済","未登録→マスタに追加"))</f>
        <v/>
      </c>
      <c r="I493" s="74" t="n">
        <v>491</v>
      </c>
      <c r="J493" s="74" t="str">
        <f aca="false">IF(元データ_P!$A$491="","",元データ_P!$A$491)</f>
        <v/>
      </c>
      <c r="K493" s="74" t="str">
        <f aca="false">IF(LEFT(J493,1)="(",IFERROR(VALUE(MID(J493,2,FIND(")",J493)-2)),""),"")</f>
        <v/>
      </c>
      <c r="L493" s="75" t="str">
        <f aca="false">IF($K493="","",N(元データ_P!$B$491))</f>
        <v/>
      </c>
      <c r="M493" s="75" t="str">
        <f aca="false">IF($K493="","",N(元データ_P!$F$491))</f>
        <v/>
      </c>
      <c r="N493" s="74" t="str">
        <f aca="false">IF($K493="","",IF(COUNTIF(店舗マスタ!$B$5:$B$304,$K493)&gt;0,"登録済","未登録→マスタに追加"))</f>
        <v/>
      </c>
      <c r="P493" s="74" t="n">
        <v>491</v>
      </c>
      <c r="Q493" s="74" t="str">
        <f aca="false">IF(元データ_B!$A$491="","",元データ_B!$A$491)</f>
        <v/>
      </c>
      <c r="R493" s="74" t="str">
        <f aca="false">IF(LEFT(Q493,1)="(",IFERROR(VALUE(MID(Q493,2,FIND(")",Q493)-2)),""),"")</f>
        <v/>
      </c>
      <c r="S493" s="75" t="str">
        <f aca="false">IF($R493="","",N(元データ_B!$B$491))</f>
        <v/>
      </c>
      <c r="T493" s="75" t="str">
        <f aca="false">IF($R493="","",N(元データ_B!$F$491))</f>
        <v/>
      </c>
      <c r="U493" s="74" t="str">
        <f aca="false">IF($R493="","",IF(COUNTIF(店舗マスタ!$B$5:$B$304,$R493)&gt;0,"登録済","未登録→マスタに追加"))</f>
        <v/>
      </c>
    </row>
    <row r="494" customFormat="false" ht="15" hidden="false" customHeight="false" outlineLevel="0" collapsed="false">
      <c r="A494" s="74" t="n">
        <v>492</v>
      </c>
      <c r="B494" s="74" t="str">
        <f aca="false">IF(元データ_PB合計!$A$492="","",元データ_PB合計!$A$492)</f>
        <v/>
      </c>
      <c r="C494" s="74" t="str">
        <f aca="false">IF(LEFT(B494,1)="(",IFERROR(VALUE(MID(B494,2,FIND(")",B494)-2)),""),"")</f>
        <v/>
      </c>
      <c r="D494" s="75" t="str">
        <f aca="false">IF($C494="","",N(元データ_PB合計!$B$492))</f>
        <v/>
      </c>
      <c r="E494" s="75" t="str">
        <f aca="false">IF($C494="","",N(元データ_PB合計!$C$492))</f>
        <v/>
      </c>
      <c r="F494" s="75" t="str">
        <f aca="false">IF($C494="","",N(元データ_PB合計!$F$492))</f>
        <v/>
      </c>
      <c r="G494" s="74" t="str">
        <f aca="false">IF($C494="","",IF(COUNTIF(店舗マスタ!$B$5:$B$304,$C494)&gt;0,"登録済","未登録→マスタに追加"))</f>
        <v/>
      </c>
      <c r="I494" s="74" t="n">
        <v>492</v>
      </c>
      <c r="J494" s="74" t="str">
        <f aca="false">IF(元データ_P!$A$492="","",元データ_P!$A$492)</f>
        <v/>
      </c>
      <c r="K494" s="74" t="str">
        <f aca="false">IF(LEFT(J494,1)="(",IFERROR(VALUE(MID(J494,2,FIND(")",J494)-2)),""),"")</f>
        <v/>
      </c>
      <c r="L494" s="75" t="str">
        <f aca="false">IF($K494="","",N(元データ_P!$B$492))</f>
        <v/>
      </c>
      <c r="M494" s="75" t="str">
        <f aca="false">IF($K494="","",N(元データ_P!$F$492))</f>
        <v/>
      </c>
      <c r="N494" s="74" t="str">
        <f aca="false">IF($K494="","",IF(COUNTIF(店舗マスタ!$B$5:$B$304,$K494)&gt;0,"登録済","未登録→マスタに追加"))</f>
        <v/>
      </c>
      <c r="P494" s="74" t="n">
        <v>492</v>
      </c>
      <c r="Q494" s="74" t="str">
        <f aca="false">IF(元データ_B!$A$492="","",元データ_B!$A$492)</f>
        <v/>
      </c>
      <c r="R494" s="74" t="str">
        <f aca="false">IF(LEFT(Q494,1)="(",IFERROR(VALUE(MID(Q494,2,FIND(")",Q494)-2)),""),"")</f>
        <v/>
      </c>
      <c r="S494" s="75" t="str">
        <f aca="false">IF($R494="","",N(元データ_B!$B$492))</f>
        <v/>
      </c>
      <c r="T494" s="75" t="str">
        <f aca="false">IF($R494="","",N(元データ_B!$F$492))</f>
        <v/>
      </c>
      <c r="U494" s="74" t="str">
        <f aca="false">IF($R494="","",IF(COUNTIF(店舗マスタ!$B$5:$B$304,$R494)&gt;0,"登録済","未登録→マスタに追加"))</f>
        <v/>
      </c>
    </row>
    <row r="495" customFormat="false" ht="15" hidden="false" customHeight="false" outlineLevel="0" collapsed="false">
      <c r="A495" s="74" t="n">
        <v>493</v>
      </c>
      <c r="B495" s="74" t="str">
        <f aca="false">IF(元データ_PB合計!$A$493="","",元データ_PB合計!$A$493)</f>
        <v/>
      </c>
      <c r="C495" s="74" t="str">
        <f aca="false">IF(LEFT(B495,1)="(",IFERROR(VALUE(MID(B495,2,FIND(")",B495)-2)),""),"")</f>
        <v/>
      </c>
      <c r="D495" s="75" t="str">
        <f aca="false">IF($C495="","",N(元データ_PB合計!$B$493))</f>
        <v/>
      </c>
      <c r="E495" s="75" t="str">
        <f aca="false">IF($C495="","",N(元データ_PB合計!$C$493))</f>
        <v/>
      </c>
      <c r="F495" s="75" t="str">
        <f aca="false">IF($C495="","",N(元データ_PB合計!$F$493))</f>
        <v/>
      </c>
      <c r="G495" s="74" t="str">
        <f aca="false">IF($C495="","",IF(COUNTIF(店舗マスタ!$B$5:$B$304,$C495)&gt;0,"登録済","未登録→マスタに追加"))</f>
        <v/>
      </c>
      <c r="I495" s="74" t="n">
        <v>493</v>
      </c>
      <c r="J495" s="74" t="str">
        <f aca="false">IF(元データ_P!$A$493="","",元データ_P!$A$493)</f>
        <v/>
      </c>
      <c r="K495" s="74" t="str">
        <f aca="false">IF(LEFT(J495,1)="(",IFERROR(VALUE(MID(J495,2,FIND(")",J495)-2)),""),"")</f>
        <v/>
      </c>
      <c r="L495" s="75" t="str">
        <f aca="false">IF($K495="","",N(元データ_P!$B$493))</f>
        <v/>
      </c>
      <c r="M495" s="75" t="str">
        <f aca="false">IF($K495="","",N(元データ_P!$F$493))</f>
        <v/>
      </c>
      <c r="N495" s="74" t="str">
        <f aca="false">IF($K495="","",IF(COUNTIF(店舗マスタ!$B$5:$B$304,$K495)&gt;0,"登録済","未登録→マスタに追加"))</f>
        <v/>
      </c>
      <c r="P495" s="74" t="n">
        <v>493</v>
      </c>
      <c r="Q495" s="74" t="str">
        <f aca="false">IF(元データ_B!$A$493="","",元データ_B!$A$493)</f>
        <v/>
      </c>
      <c r="R495" s="74" t="str">
        <f aca="false">IF(LEFT(Q495,1)="(",IFERROR(VALUE(MID(Q495,2,FIND(")",Q495)-2)),""),"")</f>
        <v/>
      </c>
      <c r="S495" s="75" t="str">
        <f aca="false">IF($R495="","",N(元データ_B!$B$493))</f>
        <v/>
      </c>
      <c r="T495" s="75" t="str">
        <f aca="false">IF($R495="","",N(元データ_B!$F$493))</f>
        <v/>
      </c>
      <c r="U495" s="74" t="str">
        <f aca="false">IF($R495="","",IF(COUNTIF(店舗マスタ!$B$5:$B$304,$R495)&gt;0,"登録済","未登録→マスタに追加"))</f>
        <v/>
      </c>
    </row>
    <row r="496" customFormat="false" ht="15" hidden="false" customHeight="false" outlineLevel="0" collapsed="false">
      <c r="A496" s="74" t="n">
        <v>494</v>
      </c>
      <c r="B496" s="74" t="str">
        <f aca="false">IF(元データ_PB合計!$A$494="","",元データ_PB合計!$A$494)</f>
        <v/>
      </c>
      <c r="C496" s="74" t="str">
        <f aca="false">IF(LEFT(B496,1)="(",IFERROR(VALUE(MID(B496,2,FIND(")",B496)-2)),""),"")</f>
        <v/>
      </c>
      <c r="D496" s="75" t="str">
        <f aca="false">IF($C496="","",N(元データ_PB合計!$B$494))</f>
        <v/>
      </c>
      <c r="E496" s="75" t="str">
        <f aca="false">IF($C496="","",N(元データ_PB合計!$C$494))</f>
        <v/>
      </c>
      <c r="F496" s="75" t="str">
        <f aca="false">IF($C496="","",N(元データ_PB合計!$F$494))</f>
        <v/>
      </c>
      <c r="G496" s="74" t="str">
        <f aca="false">IF($C496="","",IF(COUNTIF(店舗マスタ!$B$5:$B$304,$C496)&gt;0,"登録済","未登録→マスタに追加"))</f>
        <v/>
      </c>
      <c r="I496" s="74" t="n">
        <v>494</v>
      </c>
      <c r="J496" s="74" t="str">
        <f aca="false">IF(元データ_P!$A$494="","",元データ_P!$A$494)</f>
        <v/>
      </c>
      <c r="K496" s="74" t="str">
        <f aca="false">IF(LEFT(J496,1)="(",IFERROR(VALUE(MID(J496,2,FIND(")",J496)-2)),""),"")</f>
        <v/>
      </c>
      <c r="L496" s="75" t="str">
        <f aca="false">IF($K496="","",N(元データ_P!$B$494))</f>
        <v/>
      </c>
      <c r="M496" s="75" t="str">
        <f aca="false">IF($K496="","",N(元データ_P!$F$494))</f>
        <v/>
      </c>
      <c r="N496" s="74" t="str">
        <f aca="false">IF($K496="","",IF(COUNTIF(店舗マスタ!$B$5:$B$304,$K496)&gt;0,"登録済","未登録→マスタに追加"))</f>
        <v/>
      </c>
      <c r="P496" s="74" t="n">
        <v>494</v>
      </c>
      <c r="Q496" s="74" t="str">
        <f aca="false">IF(元データ_B!$A$494="","",元データ_B!$A$494)</f>
        <v/>
      </c>
      <c r="R496" s="74" t="str">
        <f aca="false">IF(LEFT(Q496,1)="(",IFERROR(VALUE(MID(Q496,2,FIND(")",Q496)-2)),""),"")</f>
        <v/>
      </c>
      <c r="S496" s="75" t="str">
        <f aca="false">IF($R496="","",N(元データ_B!$B$494))</f>
        <v/>
      </c>
      <c r="T496" s="75" t="str">
        <f aca="false">IF($R496="","",N(元データ_B!$F$494))</f>
        <v/>
      </c>
      <c r="U496" s="74" t="str">
        <f aca="false">IF($R496="","",IF(COUNTIF(店舗マスタ!$B$5:$B$304,$R496)&gt;0,"登録済","未登録→マスタに追加"))</f>
        <v/>
      </c>
    </row>
    <row r="497" customFormat="false" ht="15" hidden="false" customHeight="false" outlineLevel="0" collapsed="false">
      <c r="A497" s="74" t="n">
        <v>495</v>
      </c>
      <c r="B497" s="74" t="str">
        <f aca="false">IF(元データ_PB合計!$A$495="","",元データ_PB合計!$A$495)</f>
        <v/>
      </c>
      <c r="C497" s="74" t="str">
        <f aca="false">IF(LEFT(B497,1)="(",IFERROR(VALUE(MID(B497,2,FIND(")",B497)-2)),""),"")</f>
        <v/>
      </c>
      <c r="D497" s="75" t="str">
        <f aca="false">IF($C497="","",N(元データ_PB合計!$B$495))</f>
        <v/>
      </c>
      <c r="E497" s="75" t="str">
        <f aca="false">IF($C497="","",N(元データ_PB合計!$C$495))</f>
        <v/>
      </c>
      <c r="F497" s="75" t="str">
        <f aca="false">IF($C497="","",N(元データ_PB合計!$F$495))</f>
        <v/>
      </c>
      <c r="G497" s="74" t="str">
        <f aca="false">IF($C497="","",IF(COUNTIF(店舗マスタ!$B$5:$B$304,$C497)&gt;0,"登録済","未登録→マスタに追加"))</f>
        <v/>
      </c>
      <c r="I497" s="74" t="n">
        <v>495</v>
      </c>
      <c r="J497" s="74" t="str">
        <f aca="false">IF(元データ_P!$A$495="","",元データ_P!$A$495)</f>
        <v/>
      </c>
      <c r="K497" s="74" t="str">
        <f aca="false">IF(LEFT(J497,1)="(",IFERROR(VALUE(MID(J497,2,FIND(")",J497)-2)),""),"")</f>
        <v/>
      </c>
      <c r="L497" s="75" t="str">
        <f aca="false">IF($K497="","",N(元データ_P!$B$495))</f>
        <v/>
      </c>
      <c r="M497" s="75" t="str">
        <f aca="false">IF($K497="","",N(元データ_P!$F$495))</f>
        <v/>
      </c>
      <c r="N497" s="74" t="str">
        <f aca="false">IF($K497="","",IF(COUNTIF(店舗マスタ!$B$5:$B$304,$K497)&gt;0,"登録済","未登録→マスタに追加"))</f>
        <v/>
      </c>
      <c r="P497" s="74" t="n">
        <v>495</v>
      </c>
      <c r="Q497" s="74" t="str">
        <f aca="false">IF(元データ_B!$A$495="","",元データ_B!$A$495)</f>
        <v/>
      </c>
      <c r="R497" s="74" t="str">
        <f aca="false">IF(LEFT(Q497,1)="(",IFERROR(VALUE(MID(Q497,2,FIND(")",Q497)-2)),""),"")</f>
        <v/>
      </c>
      <c r="S497" s="75" t="str">
        <f aca="false">IF($R497="","",N(元データ_B!$B$495))</f>
        <v/>
      </c>
      <c r="T497" s="75" t="str">
        <f aca="false">IF($R497="","",N(元データ_B!$F$495))</f>
        <v/>
      </c>
      <c r="U497" s="74" t="str">
        <f aca="false">IF($R497="","",IF(COUNTIF(店舗マスタ!$B$5:$B$304,$R497)&gt;0,"登録済","未登録→マスタに追加"))</f>
        <v/>
      </c>
    </row>
    <row r="498" customFormat="false" ht="15" hidden="false" customHeight="false" outlineLevel="0" collapsed="false">
      <c r="A498" s="74" t="n">
        <v>496</v>
      </c>
      <c r="B498" s="74" t="str">
        <f aca="false">IF(元データ_PB合計!$A$496="","",元データ_PB合計!$A$496)</f>
        <v/>
      </c>
      <c r="C498" s="74" t="str">
        <f aca="false">IF(LEFT(B498,1)="(",IFERROR(VALUE(MID(B498,2,FIND(")",B498)-2)),""),"")</f>
        <v/>
      </c>
      <c r="D498" s="75" t="str">
        <f aca="false">IF($C498="","",N(元データ_PB合計!$B$496))</f>
        <v/>
      </c>
      <c r="E498" s="75" t="str">
        <f aca="false">IF($C498="","",N(元データ_PB合計!$C$496))</f>
        <v/>
      </c>
      <c r="F498" s="75" t="str">
        <f aca="false">IF($C498="","",N(元データ_PB合計!$F$496))</f>
        <v/>
      </c>
      <c r="G498" s="74" t="str">
        <f aca="false">IF($C498="","",IF(COUNTIF(店舗マスタ!$B$5:$B$304,$C498)&gt;0,"登録済","未登録→マスタに追加"))</f>
        <v/>
      </c>
      <c r="I498" s="74" t="n">
        <v>496</v>
      </c>
      <c r="J498" s="74" t="str">
        <f aca="false">IF(元データ_P!$A$496="","",元データ_P!$A$496)</f>
        <v/>
      </c>
      <c r="K498" s="74" t="str">
        <f aca="false">IF(LEFT(J498,1)="(",IFERROR(VALUE(MID(J498,2,FIND(")",J498)-2)),""),"")</f>
        <v/>
      </c>
      <c r="L498" s="75" t="str">
        <f aca="false">IF($K498="","",N(元データ_P!$B$496))</f>
        <v/>
      </c>
      <c r="M498" s="75" t="str">
        <f aca="false">IF($K498="","",N(元データ_P!$F$496))</f>
        <v/>
      </c>
      <c r="N498" s="74" t="str">
        <f aca="false">IF($K498="","",IF(COUNTIF(店舗マスタ!$B$5:$B$304,$K498)&gt;0,"登録済","未登録→マスタに追加"))</f>
        <v/>
      </c>
      <c r="P498" s="74" t="n">
        <v>496</v>
      </c>
      <c r="Q498" s="74" t="str">
        <f aca="false">IF(元データ_B!$A$496="","",元データ_B!$A$496)</f>
        <v/>
      </c>
      <c r="R498" s="74" t="str">
        <f aca="false">IF(LEFT(Q498,1)="(",IFERROR(VALUE(MID(Q498,2,FIND(")",Q498)-2)),""),"")</f>
        <v/>
      </c>
      <c r="S498" s="75" t="str">
        <f aca="false">IF($R498="","",N(元データ_B!$B$496))</f>
        <v/>
      </c>
      <c r="T498" s="75" t="str">
        <f aca="false">IF($R498="","",N(元データ_B!$F$496))</f>
        <v/>
      </c>
      <c r="U498" s="74" t="str">
        <f aca="false">IF($R498="","",IF(COUNTIF(店舗マスタ!$B$5:$B$304,$R498)&gt;0,"登録済","未登録→マスタに追加"))</f>
        <v/>
      </c>
    </row>
    <row r="499" customFormat="false" ht="15" hidden="false" customHeight="false" outlineLevel="0" collapsed="false">
      <c r="A499" s="74" t="n">
        <v>497</v>
      </c>
      <c r="B499" s="74" t="str">
        <f aca="false">IF(元データ_PB合計!$A$497="","",元データ_PB合計!$A$497)</f>
        <v/>
      </c>
      <c r="C499" s="74" t="str">
        <f aca="false">IF(LEFT(B499,1)="(",IFERROR(VALUE(MID(B499,2,FIND(")",B499)-2)),""),"")</f>
        <v/>
      </c>
      <c r="D499" s="75" t="str">
        <f aca="false">IF($C499="","",N(元データ_PB合計!$B$497))</f>
        <v/>
      </c>
      <c r="E499" s="75" t="str">
        <f aca="false">IF($C499="","",N(元データ_PB合計!$C$497))</f>
        <v/>
      </c>
      <c r="F499" s="75" t="str">
        <f aca="false">IF($C499="","",N(元データ_PB合計!$F$497))</f>
        <v/>
      </c>
      <c r="G499" s="74" t="str">
        <f aca="false">IF($C499="","",IF(COUNTIF(店舗マスタ!$B$5:$B$304,$C499)&gt;0,"登録済","未登録→マスタに追加"))</f>
        <v/>
      </c>
      <c r="I499" s="74" t="n">
        <v>497</v>
      </c>
      <c r="J499" s="74" t="str">
        <f aca="false">IF(元データ_P!$A$497="","",元データ_P!$A$497)</f>
        <v/>
      </c>
      <c r="K499" s="74" t="str">
        <f aca="false">IF(LEFT(J499,1)="(",IFERROR(VALUE(MID(J499,2,FIND(")",J499)-2)),""),"")</f>
        <v/>
      </c>
      <c r="L499" s="75" t="str">
        <f aca="false">IF($K499="","",N(元データ_P!$B$497))</f>
        <v/>
      </c>
      <c r="M499" s="75" t="str">
        <f aca="false">IF($K499="","",N(元データ_P!$F$497))</f>
        <v/>
      </c>
      <c r="N499" s="74" t="str">
        <f aca="false">IF($K499="","",IF(COUNTIF(店舗マスタ!$B$5:$B$304,$K499)&gt;0,"登録済","未登録→マスタに追加"))</f>
        <v/>
      </c>
      <c r="P499" s="74" t="n">
        <v>497</v>
      </c>
      <c r="Q499" s="74" t="str">
        <f aca="false">IF(元データ_B!$A$497="","",元データ_B!$A$497)</f>
        <v/>
      </c>
      <c r="R499" s="74" t="str">
        <f aca="false">IF(LEFT(Q499,1)="(",IFERROR(VALUE(MID(Q499,2,FIND(")",Q499)-2)),""),"")</f>
        <v/>
      </c>
      <c r="S499" s="75" t="str">
        <f aca="false">IF($R499="","",N(元データ_B!$B$497))</f>
        <v/>
      </c>
      <c r="T499" s="75" t="str">
        <f aca="false">IF($R499="","",N(元データ_B!$F$497))</f>
        <v/>
      </c>
      <c r="U499" s="74" t="str">
        <f aca="false">IF($R499="","",IF(COUNTIF(店舗マスタ!$B$5:$B$304,$R499)&gt;0,"登録済","未登録→マスタに追加"))</f>
        <v/>
      </c>
    </row>
    <row r="500" customFormat="false" ht="15" hidden="false" customHeight="false" outlineLevel="0" collapsed="false">
      <c r="A500" s="74" t="n">
        <v>498</v>
      </c>
      <c r="B500" s="74" t="str">
        <f aca="false">IF(元データ_PB合計!$A$498="","",元データ_PB合計!$A$498)</f>
        <v/>
      </c>
      <c r="C500" s="74" t="str">
        <f aca="false">IF(LEFT(B500,1)="(",IFERROR(VALUE(MID(B500,2,FIND(")",B500)-2)),""),"")</f>
        <v/>
      </c>
      <c r="D500" s="75" t="str">
        <f aca="false">IF($C500="","",N(元データ_PB合計!$B$498))</f>
        <v/>
      </c>
      <c r="E500" s="75" t="str">
        <f aca="false">IF($C500="","",N(元データ_PB合計!$C$498))</f>
        <v/>
      </c>
      <c r="F500" s="75" t="str">
        <f aca="false">IF($C500="","",N(元データ_PB合計!$F$498))</f>
        <v/>
      </c>
      <c r="G500" s="74" t="str">
        <f aca="false">IF($C500="","",IF(COUNTIF(店舗マスタ!$B$5:$B$304,$C500)&gt;0,"登録済","未登録→マスタに追加"))</f>
        <v/>
      </c>
      <c r="I500" s="74" t="n">
        <v>498</v>
      </c>
      <c r="J500" s="74" t="str">
        <f aca="false">IF(元データ_P!$A$498="","",元データ_P!$A$498)</f>
        <v/>
      </c>
      <c r="K500" s="74" t="str">
        <f aca="false">IF(LEFT(J500,1)="(",IFERROR(VALUE(MID(J500,2,FIND(")",J500)-2)),""),"")</f>
        <v/>
      </c>
      <c r="L500" s="75" t="str">
        <f aca="false">IF($K500="","",N(元データ_P!$B$498))</f>
        <v/>
      </c>
      <c r="M500" s="75" t="str">
        <f aca="false">IF($K500="","",N(元データ_P!$F$498))</f>
        <v/>
      </c>
      <c r="N500" s="74" t="str">
        <f aca="false">IF($K500="","",IF(COUNTIF(店舗マスタ!$B$5:$B$304,$K500)&gt;0,"登録済","未登録→マスタに追加"))</f>
        <v/>
      </c>
      <c r="P500" s="74" t="n">
        <v>498</v>
      </c>
      <c r="Q500" s="74" t="str">
        <f aca="false">IF(元データ_B!$A$498="","",元データ_B!$A$498)</f>
        <v/>
      </c>
      <c r="R500" s="74" t="str">
        <f aca="false">IF(LEFT(Q500,1)="(",IFERROR(VALUE(MID(Q500,2,FIND(")",Q500)-2)),""),"")</f>
        <v/>
      </c>
      <c r="S500" s="75" t="str">
        <f aca="false">IF($R500="","",N(元データ_B!$B$498))</f>
        <v/>
      </c>
      <c r="T500" s="75" t="str">
        <f aca="false">IF($R500="","",N(元データ_B!$F$498))</f>
        <v/>
      </c>
      <c r="U500" s="74" t="str">
        <f aca="false">IF($R500="","",IF(COUNTIF(店舗マスタ!$B$5:$B$304,$R500)&gt;0,"登録済","未登録→マスタに追加"))</f>
        <v/>
      </c>
    </row>
    <row r="501" customFormat="false" ht="15" hidden="false" customHeight="false" outlineLevel="0" collapsed="false">
      <c r="A501" s="74" t="n">
        <v>499</v>
      </c>
      <c r="B501" s="74" t="str">
        <f aca="false">IF(元データ_PB合計!$A$499="","",元データ_PB合計!$A$499)</f>
        <v/>
      </c>
      <c r="C501" s="74" t="str">
        <f aca="false">IF(LEFT(B501,1)="(",IFERROR(VALUE(MID(B501,2,FIND(")",B501)-2)),""),"")</f>
        <v/>
      </c>
      <c r="D501" s="75" t="str">
        <f aca="false">IF($C501="","",N(元データ_PB合計!$B$499))</f>
        <v/>
      </c>
      <c r="E501" s="75" t="str">
        <f aca="false">IF($C501="","",N(元データ_PB合計!$C$499))</f>
        <v/>
      </c>
      <c r="F501" s="75" t="str">
        <f aca="false">IF($C501="","",N(元データ_PB合計!$F$499))</f>
        <v/>
      </c>
      <c r="G501" s="74" t="str">
        <f aca="false">IF($C501="","",IF(COUNTIF(店舗マスタ!$B$5:$B$304,$C501)&gt;0,"登録済","未登録→マスタに追加"))</f>
        <v/>
      </c>
      <c r="I501" s="74" t="n">
        <v>499</v>
      </c>
      <c r="J501" s="74" t="str">
        <f aca="false">IF(元データ_P!$A$499="","",元データ_P!$A$499)</f>
        <v/>
      </c>
      <c r="K501" s="74" t="str">
        <f aca="false">IF(LEFT(J501,1)="(",IFERROR(VALUE(MID(J501,2,FIND(")",J501)-2)),""),"")</f>
        <v/>
      </c>
      <c r="L501" s="75" t="str">
        <f aca="false">IF($K501="","",N(元データ_P!$B$499))</f>
        <v/>
      </c>
      <c r="M501" s="75" t="str">
        <f aca="false">IF($K501="","",N(元データ_P!$F$499))</f>
        <v/>
      </c>
      <c r="N501" s="74" t="str">
        <f aca="false">IF($K501="","",IF(COUNTIF(店舗マスタ!$B$5:$B$304,$K501)&gt;0,"登録済","未登録→マスタに追加"))</f>
        <v/>
      </c>
      <c r="P501" s="74" t="n">
        <v>499</v>
      </c>
      <c r="Q501" s="74" t="str">
        <f aca="false">IF(元データ_B!$A$499="","",元データ_B!$A$499)</f>
        <v/>
      </c>
      <c r="R501" s="74" t="str">
        <f aca="false">IF(LEFT(Q501,1)="(",IFERROR(VALUE(MID(Q501,2,FIND(")",Q501)-2)),""),"")</f>
        <v/>
      </c>
      <c r="S501" s="75" t="str">
        <f aca="false">IF($R501="","",N(元データ_B!$B$499))</f>
        <v/>
      </c>
      <c r="T501" s="75" t="str">
        <f aca="false">IF($R501="","",N(元データ_B!$F$499))</f>
        <v/>
      </c>
      <c r="U501" s="74" t="str">
        <f aca="false">IF($R501="","",IF(COUNTIF(店舗マスタ!$B$5:$B$304,$R501)&gt;0,"登録済","未登録→マスタに追加"))</f>
        <v/>
      </c>
    </row>
    <row r="502" customFormat="false" ht="15" hidden="false" customHeight="false" outlineLevel="0" collapsed="false">
      <c r="A502" s="74" t="n">
        <v>500</v>
      </c>
      <c r="B502" s="74" t="str">
        <f aca="false">IF(元データ_PB合計!$A$500="","",元データ_PB合計!$A$500)</f>
        <v/>
      </c>
      <c r="C502" s="74" t="str">
        <f aca="false">IF(LEFT(B502,1)="(",IFERROR(VALUE(MID(B502,2,FIND(")",B502)-2)),""),"")</f>
        <v/>
      </c>
      <c r="D502" s="75" t="str">
        <f aca="false">IF($C502="","",N(元データ_PB合計!$B$500))</f>
        <v/>
      </c>
      <c r="E502" s="75" t="str">
        <f aca="false">IF($C502="","",N(元データ_PB合計!$C$500))</f>
        <v/>
      </c>
      <c r="F502" s="75" t="str">
        <f aca="false">IF($C502="","",N(元データ_PB合計!$F$500))</f>
        <v/>
      </c>
      <c r="G502" s="74" t="str">
        <f aca="false">IF($C502="","",IF(COUNTIF(店舗マスタ!$B$5:$B$304,$C502)&gt;0,"登録済","未登録→マスタに追加"))</f>
        <v/>
      </c>
      <c r="I502" s="74" t="n">
        <v>500</v>
      </c>
      <c r="J502" s="74" t="str">
        <f aca="false">IF(元データ_P!$A$500="","",元データ_P!$A$500)</f>
        <v/>
      </c>
      <c r="K502" s="74" t="str">
        <f aca="false">IF(LEFT(J502,1)="(",IFERROR(VALUE(MID(J502,2,FIND(")",J502)-2)),""),"")</f>
        <v/>
      </c>
      <c r="L502" s="75" t="str">
        <f aca="false">IF($K502="","",N(元データ_P!$B$500))</f>
        <v/>
      </c>
      <c r="M502" s="75" t="str">
        <f aca="false">IF($K502="","",N(元データ_P!$F$500))</f>
        <v/>
      </c>
      <c r="N502" s="74" t="str">
        <f aca="false">IF($K502="","",IF(COUNTIF(店舗マスタ!$B$5:$B$304,$K502)&gt;0,"登録済","未登録→マスタに追加"))</f>
        <v/>
      </c>
      <c r="P502" s="74" t="n">
        <v>500</v>
      </c>
      <c r="Q502" s="74" t="str">
        <f aca="false">IF(元データ_B!$A$500="","",元データ_B!$A$500)</f>
        <v/>
      </c>
      <c r="R502" s="74" t="str">
        <f aca="false">IF(LEFT(Q502,1)="(",IFERROR(VALUE(MID(Q502,2,FIND(")",Q502)-2)),""),"")</f>
        <v/>
      </c>
      <c r="S502" s="75" t="str">
        <f aca="false">IF($R502="","",N(元データ_B!$B$500))</f>
        <v/>
      </c>
      <c r="T502" s="75" t="str">
        <f aca="false">IF($R502="","",N(元データ_B!$F$500))</f>
        <v/>
      </c>
      <c r="U502" s="74" t="str">
        <f aca="false">IF($R502="","",IF(COUNTIF(店舗マスタ!$B$5:$B$304,$R502)&gt;0,"登録済","未登録→マスタに追加"))</f>
        <v/>
      </c>
    </row>
    <row r="503" customFormat="false" ht="15" hidden="false" customHeight="false" outlineLevel="0" collapsed="false">
      <c r="A503" s="74" t="n">
        <v>501</v>
      </c>
      <c r="B503" s="74" t="str">
        <f aca="false">IF(元データ_PB合計!$A$501="","",元データ_PB合計!$A$501)</f>
        <v/>
      </c>
      <c r="C503" s="74" t="str">
        <f aca="false">IF(LEFT(B503,1)="(",IFERROR(VALUE(MID(B503,2,FIND(")",B503)-2)),""),"")</f>
        <v/>
      </c>
      <c r="D503" s="75" t="str">
        <f aca="false">IF($C503="","",N(元データ_PB合計!$B$501))</f>
        <v/>
      </c>
      <c r="E503" s="75" t="str">
        <f aca="false">IF($C503="","",N(元データ_PB合計!$C$501))</f>
        <v/>
      </c>
      <c r="F503" s="75" t="str">
        <f aca="false">IF($C503="","",N(元データ_PB合計!$F$501))</f>
        <v/>
      </c>
      <c r="G503" s="74" t="str">
        <f aca="false">IF($C503="","",IF(COUNTIF(店舗マスタ!$B$5:$B$304,$C503)&gt;0,"登録済","未登録→マスタに追加"))</f>
        <v/>
      </c>
      <c r="I503" s="74" t="n">
        <v>501</v>
      </c>
      <c r="J503" s="74" t="str">
        <f aca="false">IF(元データ_P!$A$501="","",元データ_P!$A$501)</f>
        <v/>
      </c>
      <c r="K503" s="74" t="str">
        <f aca="false">IF(LEFT(J503,1)="(",IFERROR(VALUE(MID(J503,2,FIND(")",J503)-2)),""),"")</f>
        <v/>
      </c>
      <c r="L503" s="75" t="str">
        <f aca="false">IF($K503="","",N(元データ_P!$B$501))</f>
        <v/>
      </c>
      <c r="M503" s="75" t="str">
        <f aca="false">IF($K503="","",N(元データ_P!$F$501))</f>
        <v/>
      </c>
      <c r="N503" s="74" t="str">
        <f aca="false">IF($K503="","",IF(COUNTIF(店舗マスタ!$B$5:$B$304,$K503)&gt;0,"登録済","未登録→マスタに追加"))</f>
        <v/>
      </c>
      <c r="P503" s="74" t="n">
        <v>501</v>
      </c>
      <c r="Q503" s="74" t="str">
        <f aca="false">IF(元データ_B!$A$501="","",元データ_B!$A$501)</f>
        <v/>
      </c>
      <c r="R503" s="74" t="str">
        <f aca="false">IF(LEFT(Q503,1)="(",IFERROR(VALUE(MID(Q503,2,FIND(")",Q503)-2)),""),"")</f>
        <v/>
      </c>
      <c r="S503" s="75" t="str">
        <f aca="false">IF($R503="","",N(元データ_B!$B$501))</f>
        <v/>
      </c>
      <c r="T503" s="75" t="str">
        <f aca="false">IF($R503="","",N(元データ_B!$F$501))</f>
        <v/>
      </c>
      <c r="U503" s="74" t="str">
        <f aca="false">IF($R503="","",IF(COUNTIF(店舗マスタ!$B$5:$B$304,$R503)&gt;0,"登録済","未登録→マスタに追加"))</f>
        <v/>
      </c>
    </row>
    <row r="504" customFormat="false" ht="15" hidden="false" customHeight="false" outlineLevel="0" collapsed="false">
      <c r="A504" s="74" t="n">
        <v>502</v>
      </c>
      <c r="B504" s="74" t="str">
        <f aca="false">IF(元データ_PB合計!$A$502="","",元データ_PB合計!$A$502)</f>
        <v/>
      </c>
      <c r="C504" s="74" t="str">
        <f aca="false">IF(LEFT(B504,1)="(",IFERROR(VALUE(MID(B504,2,FIND(")",B504)-2)),""),"")</f>
        <v/>
      </c>
      <c r="D504" s="75" t="str">
        <f aca="false">IF($C504="","",N(元データ_PB合計!$B$502))</f>
        <v/>
      </c>
      <c r="E504" s="75" t="str">
        <f aca="false">IF($C504="","",N(元データ_PB合計!$C$502))</f>
        <v/>
      </c>
      <c r="F504" s="75" t="str">
        <f aca="false">IF($C504="","",N(元データ_PB合計!$F$502))</f>
        <v/>
      </c>
      <c r="G504" s="74" t="str">
        <f aca="false">IF($C504="","",IF(COUNTIF(店舗マスタ!$B$5:$B$304,$C504)&gt;0,"登録済","未登録→マスタに追加"))</f>
        <v/>
      </c>
      <c r="I504" s="74" t="n">
        <v>502</v>
      </c>
      <c r="J504" s="74" t="str">
        <f aca="false">IF(元データ_P!$A$502="","",元データ_P!$A$502)</f>
        <v/>
      </c>
      <c r="K504" s="74" t="str">
        <f aca="false">IF(LEFT(J504,1)="(",IFERROR(VALUE(MID(J504,2,FIND(")",J504)-2)),""),"")</f>
        <v/>
      </c>
      <c r="L504" s="75" t="str">
        <f aca="false">IF($K504="","",N(元データ_P!$B$502))</f>
        <v/>
      </c>
      <c r="M504" s="75" t="str">
        <f aca="false">IF($K504="","",N(元データ_P!$F$502))</f>
        <v/>
      </c>
      <c r="N504" s="74" t="str">
        <f aca="false">IF($K504="","",IF(COUNTIF(店舗マスタ!$B$5:$B$304,$K504)&gt;0,"登録済","未登録→マスタに追加"))</f>
        <v/>
      </c>
      <c r="P504" s="74" t="n">
        <v>502</v>
      </c>
      <c r="Q504" s="74" t="str">
        <f aca="false">IF(元データ_B!$A$502="","",元データ_B!$A$502)</f>
        <v/>
      </c>
      <c r="R504" s="74" t="str">
        <f aca="false">IF(LEFT(Q504,1)="(",IFERROR(VALUE(MID(Q504,2,FIND(")",Q504)-2)),""),"")</f>
        <v/>
      </c>
      <c r="S504" s="75" t="str">
        <f aca="false">IF($R504="","",N(元データ_B!$B$502))</f>
        <v/>
      </c>
      <c r="T504" s="75" t="str">
        <f aca="false">IF($R504="","",N(元データ_B!$F$502))</f>
        <v/>
      </c>
      <c r="U504" s="74" t="str">
        <f aca="false">IF($R504="","",IF(COUNTIF(店舗マスタ!$B$5:$B$304,$R504)&gt;0,"登録済","未登録→マスタに追加"))</f>
        <v/>
      </c>
    </row>
    <row r="505" customFormat="false" ht="15" hidden="false" customHeight="false" outlineLevel="0" collapsed="false">
      <c r="A505" s="74" t="n">
        <v>503</v>
      </c>
      <c r="B505" s="74" t="str">
        <f aca="false">IF(元データ_PB合計!$A$503="","",元データ_PB合計!$A$503)</f>
        <v/>
      </c>
      <c r="C505" s="74" t="str">
        <f aca="false">IF(LEFT(B505,1)="(",IFERROR(VALUE(MID(B505,2,FIND(")",B505)-2)),""),"")</f>
        <v/>
      </c>
      <c r="D505" s="75" t="str">
        <f aca="false">IF($C505="","",N(元データ_PB合計!$B$503))</f>
        <v/>
      </c>
      <c r="E505" s="75" t="str">
        <f aca="false">IF($C505="","",N(元データ_PB合計!$C$503))</f>
        <v/>
      </c>
      <c r="F505" s="75" t="str">
        <f aca="false">IF($C505="","",N(元データ_PB合計!$F$503))</f>
        <v/>
      </c>
      <c r="G505" s="74" t="str">
        <f aca="false">IF($C505="","",IF(COUNTIF(店舗マスタ!$B$5:$B$304,$C505)&gt;0,"登録済","未登録→マスタに追加"))</f>
        <v/>
      </c>
      <c r="I505" s="74" t="n">
        <v>503</v>
      </c>
      <c r="J505" s="74" t="str">
        <f aca="false">IF(元データ_P!$A$503="","",元データ_P!$A$503)</f>
        <v/>
      </c>
      <c r="K505" s="74" t="str">
        <f aca="false">IF(LEFT(J505,1)="(",IFERROR(VALUE(MID(J505,2,FIND(")",J505)-2)),""),"")</f>
        <v/>
      </c>
      <c r="L505" s="75" t="str">
        <f aca="false">IF($K505="","",N(元データ_P!$B$503))</f>
        <v/>
      </c>
      <c r="M505" s="75" t="str">
        <f aca="false">IF($K505="","",N(元データ_P!$F$503))</f>
        <v/>
      </c>
      <c r="N505" s="74" t="str">
        <f aca="false">IF($K505="","",IF(COUNTIF(店舗マスタ!$B$5:$B$304,$K505)&gt;0,"登録済","未登録→マスタに追加"))</f>
        <v/>
      </c>
      <c r="P505" s="74" t="n">
        <v>503</v>
      </c>
      <c r="Q505" s="74" t="str">
        <f aca="false">IF(元データ_B!$A$503="","",元データ_B!$A$503)</f>
        <v/>
      </c>
      <c r="R505" s="74" t="str">
        <f aca="false">IF(LEFT(Q505,1)="(",IFERROR(VALUE(MID(Q505,2,FIND(")",Q505)-2)),""),"")</f>
        <v/>
      </c>
      <c r="S505" s="75" t="str">
        <f aca="false">IF($R505="","",N(元データ_B!$B$503))</f>
        <v/>
      </c>
      <c r="T505" s="75" t="str">
        <f aca="false">IF($R505="","",N(元データ_B!$F$503))</f>
        <v/>
      </c>
      <c r="U505" s="74" t="str">
        <f aca="false">IF($R505="","",IF(COUNTIF(店舗マスタ!$B$5:$B$304,$R505)&gt;0,"登録済","未登録→マスタに追加"))</f>
        <v/>
      </c>
    </row>
  </sheetData>
  <conditionalFormatting sqref="A6:G505">
    <cfRule type="expression" priority="2" aboveAverage="0" equalAverage="0" bottom="0" percent="0" rank="0" text="" dxfId="2">
      <formula>LEFT($G6,3)="未登録"</formula>
    </cfRule>
  </conditionalFormatting>
  <conditionalFormatting sqref="I6:N505">
    <cfRule type="expression" priority="3" aboveAverage="0" equalAverage="0" bottom="0" percent="0" rank="0" text="" dxfId="2">
      <formula>LEFT($N6,3)="未登録"</formula>
    </cfRule>
  </conditionalFormatting>
  <conditionalFormatting sqref="P6:U505">
    <cfRule type="expression" priority="4" aboveAverage="0" equalAverage="0" bottom="0" percent="0" rank="0" text="" dxfId="2">
      <formula>LEFT($U6,3)="未登録"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2026-10-07T01:16:26Z</dcterms:created>
  <dc:creator>openpyxl</dc:creator>
  <dc:description/>
  <dc:language>en-US</dc:language>
  <cp:lastModifiedBy/>
  <dcterms:modified xsi:type="dcterms:W3CDTF">2026-10-07T01:16:28Z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